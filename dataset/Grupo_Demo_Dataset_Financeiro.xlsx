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Premissas" sheetId="2" state="visible" r:id="rId4"/>
    <sheet name="DRE_Consolidado" sheetId="3" state="visible" r:id="rId5"/>
    <sheet name="Balanco_Consolidado" sheetId="4" state="visible" r:id="rId6"/>
    <sheet name="DFC_Consolidado" sheetId="5" state="visible" r:id="rId7"/>
    <sheet name="KPIs_Mensais" sheetId="6" state="visible" r:id="rId8"/>
    <sheet name="Cenarios" sheetId="7" state="visible" r:id="rId9"/>
    <sheet name="Sensibilidade" sheetId="8" state="visible" r:id="rId10"/>
    <sheet name="Vendas_Representantes" sheetId="9" state="visible" r:id="rId11"/>
    <sheet name="DRE_por_UN" sheetId="10" state="visible" r:id="rId12"/>
    <sheet name="Headcount_Folha" sheetId="11" state="visible" r:id="rId13"/>
    <sheet name="Estoque" sheetId="12" state="visible" r:id="rId14"/>
    <sheet name="Contas_Receber" sheetId="13" state="visible" r:id="rId15"/>
    <sheet name="Contas_Pagar" sheetId="14" state="visible" r:id="rId16"/>
    <sheet name="Cronogramas" sheetId="15" state="visible" r:id="rId17"/>
    <sheet name="CMV_Custos_Produto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<sst xmlns="http://schemas.openxmlformats.org/spreadsheetml/2006/main" count="4278" uniqueCount="427">
  <si>
    <t xml:space="preserve">Grupo Meridiano Varejo Ltda</t>
  </si>
  <si>
    <t xml:space="preserve">Dataset financeiro sintetico e integrado | Base de conhecimento para o Agente Expert em Financas</t>
  </si>
  <si>
    <t xml:space="preserve">1. Objetivo</t>
  </si>
  <si>
    <t xml:space="preserve">Este arquivo e um conjunto de dados financeiros completo e internamente consistente, criado para alimentar e testar o Agente Expert em Financas da Draiven. Ele simula as tres demonstracoes contabeis de um grupo varejista consolidado ao longo de 36 meses (jan/2025 a dez/2027), com todos os indicadores que um especialista senior de FP&amp;A analisaria: margens, liquidez, ciclo de conversao de caixa, endividamento, ROIC, cenarios e sensibilidade.</t>
  </si>
  <si>
    <t xml:space="preserve">2. Entidade simulada</t>
  </si>
  <si>
    <t xml:space="preserve">Grupo Meridiano Varejo Ltda (entidade ficticia) e um grupo consolidado com cinco unidades de negocio: Materiais de Construcao, Utilidades Domesticas, Papelaria e Impressao, Servicos Automotivos e Vestuario. Cada unidade tem perfil proprio de margem, sazonalidade, prazos e crescimento.</t>
  </si>
  <si>
    <t xml:space="preserve">3. Procedencia dos dados</t>
  </si>
  <si>
    <t xml:space="preserve">Receita 2025 e 2026</t>
  </si>
  <si>
    <t xml:space="preserve">Real. Derivada de notas fiscais agregadas por mes e por unidade (linha de topo verdadeira). Sao as celulas de receita e impostos em azul na aba DRE_por_UN.</t>
  </si>
  <si>
    <t xml:space="preserve">Projecao 2027</t>
  </si>
  <si>
    <t xml:space="preserve">Modelada. Cada mes de 2027 parte do mesmo mes de 2026 e aplica o crescimento por unidade definido em Premissas.</t>
  </si>
  <si>
    <t xml:space="preserve">Custos, balanco e fluxo</t>
  </si>
  <si>
    <t xml:space="preserve">Sinteticos. CMV, folha, ocupacao, capital de giro, imobilizado, divida, impostos e dividendos sao modelados a partir dos drivers em Premissas. Nenhum custo real foi usado.</t>
  </si>
  <si>
    <t xml:space="preserve">4. Estrutura das abas</t>
  </si>
  <si>
    <t xml:space="preserve">Premissas</t>
  </si>
  <si>
    <t xml:space="preserve">Painel de controle. Todos os inputs ajustaveis (celulas azuis): parametros globais, saldos de abertura, drivers por unidade, aging e multiplicadores de cenario.</t>
  </si>
  <si>
    <t xml:space="preserve">DRE_Consolidado</t>
  </si>
  <si>
    <t xml:space="preserve">Demonstracao de resultado mensal consolidada, com totais anuais 2025 a 2027.</t>
  </si>
  <si>
    <t xml:space="preserve">Balanco_Consolidado</t>
  </si>
  <si>
    <t xml:space="preserve">Balanco patrimonial mensal. A ultima linha (Checagem) confirma que Ativo = Passivo + PL em todos os meses (deve ser zero).</t>
  </si>
  <si>
    <t xml:space="preserve">DFC_Consolidado</t>
  </si>
  <si>
    <t xml:space="preserve">Fluxo de caixa pelo metodo indireto, conciliado linha a linha com o balanco.</t>
  </si>
  <si>
    <t xml:space="preserve">KPIs_Mensais</t>
  </si>
  <si>
    <t xml:space="preserve">Vinte indicadores por mes: margens, crescimento, DSO/DIO/DPO, ciclo de caixa, liquidez, divida liquida/EBITDA, cobertura de juros, ROIC e geracao de caixa.</t>
  </si>
  <si>
    <t xml:space="preserve">Cenarios</t>
  </si>
  <si>
    <t xml:space="preserve">Resultado de 2027 sob tres cenarios (Conservador, Base, Otimista) a partir dos multiplicadores em Premissas.</t>
  </si>
  <si>
    <t xml:space="preserve">Sensibilidade</t>
  </si>
  <si>
    <t xml:space="preserve">Dois grids 2D: EBITDA e Lucro Liquido de 2027 variando crescimento, margem bruta e custos.</t>
  </si>
  <si>
    <t xml:space="preserve">DRE_por_UN</t>
  </si>
  <si>
    <t xml:space="preserve">Espinha dorsal (formato tidy). Resultado ate EBITDA por unidade e por mes. Fonte de todas as agregacoes.</t>
  </si>
  <si>
    <t xml:space="preserve">Headcount_Folha</t>
  </si>
  <si>
    <t xml:space="preserve">Quadro de pessoal e folha (com encargos) por unidade e mes.</t>
  </si>
  <si>
    <t xml:space="preserve">Estoque</t>
  </si>
  <si>
    <t xml:space="preserve">Estoque, giro e DIO por unidade e mes.</t>
  </si>
  <si>
    <t xml:space="preserve">Contas_Receber</t>
  </si>
  <si>
    <t xml:space="preserve">Contas a receber, DSO e aging por unidade e mes.</t>
  </si>
  <si>
    <t xml:space="preserve">Contas_Pagar</t>
  </si>
  <si>
    <t xml:space="preserve">Contas a pagar, DPO e aging por unidade e mes.</t>
  </si>
  <si>
    <t xml:space="preserve">Cronogramas</t>
  </si>
  <si>
    <t xml:space="preserve">Cronogramas de apoio: imobilizado, intangivel, divida e resultado financeiro.</t>
  </si>
  <si>
    <t xml:space="preserve">CMV_Custos_Produto</t>
  </si>
  <si>
    <t xml:space="preserve">Referencia de custo e margem por produto, com precos medios reais das notas fiscais.</t>
  </si>
  <si>
    <t xml:space="preserve">5. Dinamicas embutidas (gabarito para validar o agente)</t>
  </si>
  <si>
    <t xml:space="preserve">O dataset contem padroes intencionais e conhecidos. Um agente de financas competente deve identifica-los. Use esta lista como gabarito ao avaliar as analises geradas:</t>
  </si>
  <si>
    <t xml:space="preserve">Rentabilidade declinante</t>
  </si>
  <si>
    <t xml:space="preserve">Receita cresce todo ano, mas EBITDA e margem liquida caem (margem EBITDA ~8,6% em 2025 para ~5,6% em 2027). O agente deve notar que crescimento nao virou lucro.</t>
  </si>
  <si>
    <t xml:space="preserve">Compressao de margem</t>
  </si>
  <si>
    <t xml:space="preserve">Utilidades Domesticas, a maior unidade em volume, tem margem bruta caindo de 38% (2025) para 32% (2027). E o principal motor da queda de rentabilidade.</t>
  </si>
  <si>
    <t xml:space="preserve">Deterioracao de capital de giro</t>
  </si>
  <si>
    <t xml:space="preserve">DSO consolidado sobe de ~21 para ~26 dias e o ciclo de conversao de caixa se alonga, pressionando o caixa operacional.</t>
  </si>
  <si>
    <t xml:space="preserve">Sazonalidade</t>
  </si>
  <si>
    <t xml:space="preserve">Vestuario concentra vendas em novembro e dezembro. Meses de janeiro sao fracos e chegam a gerar prejuizo pontual.</t>
  </si>
  <si>
    <t xml:space="preserve">Ciclo de capex</t>
  </si>
  <si>
    <t xml:space="preserve">Ha uma reforma de lojas concentrada entre junho e agosto de 2025, visivel no fluxo de investimento.</t>
  </si>
  <si>
    <t xml:space="preserve">Posicao de caixa liquido</t>
  </si>
  <si>
    <t xml:space="preserve">O grupo mantem mais caixa do que divida (divida liquida negativa), entao multiplos como Divida Liquida/EBITDA aparecem negativos por construcao.</t>
  </si>
  <si>
    <t xml:space="preserve">6. Convencoes</t>
  </si>
  <si>
    <t xml:space="preserve">Azul</t>
  </si>
  <si>
    <t xml:space="preserve">Input ajustavel pelo usuario.</t>
  </si>
  <si>
    <t xml:space="preserve">Preto</t>
  </si>
  <si>
    <t xml:space="preserve">Formula calculada dentro da propria aba.</t>
  </si>
  <si>
    <t xml:space="preserve">Verde</t>
  </si>
  <si>
    <t xml:space="preserve">Formula que busca dados de outra aba.</t>
  </si>
  <si>
    <t xml:space="preserve">Moeda em Reais (R$), sem casas decimais. Percentuais e dias com uma casa. Multiplos com "x".</t>
  </si>
  <si>
    <t xml:space="preserve">7. Como usar</t>
  </si>
  <si>
    <t xml:space="preserve">Altere qualquer celula azul na aba Premissas (ou no Cronograma da linha de capital de giro) e recalcule a planilha. Todo o modelo, incluindo balanco, fluxo de caixa e KPIs, se atualiza. Os cenarios e a sensibilidade sao sobrepostos analiticos sobre 2027 e nao alteram o modelo mensal principal, que representa o caso Base.</t>
  </si>
  <si>
    <t xml:space="preserve">8. Integridade do modelo</t>
  </si>
  <si>
    <t xml:space="preserve">Modelo de tres demonstracoes totalmente integrado e sem referencias circulares. Os juros sao calculados sobre os saldos de abertura de cada mes (divida e caixa do mes anterior), o que quebra o classico laco juros-caixa-lucro. O balanco fecha exatamente (diferenca zero) em todos os 36 meses, e a planilha nao possui erros de formula.</t>
  </si>
  <si>
    <t xml:space="preserve">9. Limitacoes</t>
  </si>
  <si>
    <t xml:space="preserve">Dados sinteticos para fins de demonstracao e teste. Nao representam uma empresa real nem seu desempenho. As premissas de custo, capital de giro e estrutura de capital foram calibradas para plausibilidade, nao para precisao setorial. A projecao de 2027 e ilustrativa e sensivel as premissas.</t>
  </si>
  <si>
    <t xml:space="preserve">10. Aviso</t>
  </si>
  <si>
    <t xml:space="preserve">Grupo Meridiano Varejo Ltda e uma entidade ficticia. Este material nao constitui aconselhamento fiscal, contabil, juridico ou de investimento. Numeros tributarios sao simplificacoes e nao refletem a legislacao vigente em nenhuma jurisdicao especifica.</t>
  </si>
  <si>
    <t xml:space="preserve">Gerado para Draiven Technology | Base de conhecimento do Agente Expert em Financas</t>
  </si>
  <si>
    <t xml:space="preserve">PREMISSAS E DRIVERS DO MODELO</t>
  </si>
  <si>
    <t xml:space="preserve">Grupo Meridiano Varejo Ltda (entidade sintetica) | Todas as celulas azuis sao inputs ajustaveis</t>
  </si>
  <si>
    <t xml:space="preserve">PARAMETROS GLOBAIS</t>
  </si>
  <si>
    <t xml:space="preserve">IR/CSLL - aliquota efetiva sobre LAIR</t>
  </si>
  <si>
    <t xml:space="preserve">Taxa de juros da divida (% a.m.)</t>
  </si>
  <si>
    <t xml:space="preserve">Taxa de rendimento do caixa (% a.m.)</t>
  </si>
  <si>
    <t xml:space="preserve">Overhead corporativo / G&amp;A (R$ / mes, base 2025)</t>
  </si>
  <si>
    <t xml:space="preserve">Reajuste anual do overhead corporativo</t>
  </si>
  <si>
    <t xml:space="preserve">Capex de manutencao (% da receita liquida)</t>
  </si>
  <si>
    <t xml:space="preserve">Vida util media do imobilizado (meses)</t>
  </si>
  <si>
    <t xml:space="preserve">Payout de dividendos (% do lucro do ano anterior)</t>
  </si>
  <si>
    <t xml:space="preserve">Outros ativos circulantes (% receita liquida do mes)</t>
  </si>
  <si>
    <t xml:space="preserve">Outros passivos circulantes (% receita liquida do mes)</t>
  </si>
  <si>
    <t xml:space="preserve">Provisoes trabalhistas (% da folha do mes)</t>
  </si>
  <si>
    <t xml:space="preserve">SALDOS DE ABERTURA (Dez/2024)</t>
  </si>
  <si>
    <t xml:space="preserve">Contas a receber - abertura</t>
  </si>
  <si>
    <t xml:space="preserve">Estoques - abertura</t>
  </si>
  <si>
    <t xml:space="preserve">Outros ativos circulantes - abertura</t>
  </si>
  <si>
    <t xml:space="preserve">Imobilizado bruto - abertura</t>
  </si>
  <si>
    <t xml:space="preserve">Depreciacao acumulada - abertura</t>
  </si>
  <si>
    <t xml:space="preserve">Intangivel liquido - abertura</t>
  </si>
  <si>
    <t xml:space="preserve">Fornecedores - abertura</t>
  </si>
  <si>
    <t xml:space="preserve">Obrigacoes fiscais - abertura</t>
  </si>
  <si>
    <t xml:space="preserve">Obrigacoes trabalhistas - abertura</t>
  </si>
  <si>
    <t xml:space="preserve">Outros passivos circulantes - abertura</t>
  </si>
  <si>
    <t xml:space="preserve">Emprestimo termo - saldo abertura</t>
  </si>
  <si>
    <t xml:space="preserve">Linha capital de giro - saldo abertura</t>
  </si>
  <si>
    <t xml:space="preserve">Divida curto prazo - abertura</t>
  </si>
  <si>
    <t xml:space="preserve">Divida longo prazo - abertura</t>
  </si>
  <si>
    <t xml:space="preserve">Capital social</t>
  </si>
  <si>
    <t xml:space="preserve">Lucros acumulados - abertura</t>
  </si>
  <si>
    <t xml:space="preserve">Amortizacao mensal do emprestimo termo (R$)</t>
  </si>
  <si>
    <t xml:space="preserve">Caixa e equivalentes - abertura (PLUG p/ balancear)</t>
  </si>
  <si>
    <t xml:space="preserve">Capex de expansao (reforma de lojas) - total R$ 90k em Jun-Ago/2025</t>
  </si>
  <si>
    <t xml:space="preserve">Capex expansao por mes (Jun,Jul,Ago 2025)</t>
  </si>
  <si>
    <t xml:space="preserve">DISTRIBUICAO DE AGING (Contas a Receber e Pagar)</t>
  </si>
  <si>
    <t xml:space="preserve">Faixa</t>
  </si>
  <si>
    <t xml:space="preserve">A vencer</t>
  </si>
  <si>
    <t xml:space="preserve">1-30 dias</t>
  </si>
  <si>
    <t xml:space="preserve">31-60 dias</t>
  </si>
  <si>
    <t xml:space="preserve">61-90 dias</t>
  </si>
  <si>
    <t xml:space="preserve">&gt; 90 dias</t>
  </si>
  <si>
    <t xml:space="preserve">% da carteira</t>
  </si>
  <si>
    <t xml:space="preserve">CENARIOS (aplicados na projecao 2027 - aba Cenarios)</t>
  </si>
  <si>
    <t xml:space="preserve">Cenario</t>
  </si>
  <si>
    <t xml:space="preserve">Mult. crescimento</t>
  </si>
  <si>
    <t xml:space="preserve">Delta margem (p.p.)</t>
  </si>
  <si>
    <t xml:space="preserve">Mult. opex var.</t>
  </si>
  <si>
    <t xml:space="preserve">Conservador</t>
  </si>
  <si>
    <t xml:space="preserve">Base</t>
  </si>
  <si>
    <t xml:space="preserve">Otimista</t>
  </si>
  <si>
    <t xml:space="preserve">DRIVERS POR UNIDADE DE NEGOCIO</t>
  </si>
  <si>
    <t xml:space="preserve">Unidade de Negocio</t>
  </si>
  <si>
    <t xml:space="preserve">Margem Bruta 2025</t>
  </si>
  <si>
    <t xml:space="preserve">Margem Bruta 2026</t>
  </si>
  <si>
    <t xml:space="preserve">Margem Bruta 2027</t>
  </si>
  <si>
    <t xml:space="preserve">Aliq. imposto s/vendas 2027</t>
  </si>
  <si>
    <t xml:space="preserve">Cresc. receita 2027 (base)</t>
  </si>
  <si>
    <t xml:space="preserve">Marketing (% rec.liq)</t>
  </si>
  <si>
    <t xml:space="preserve">Frete/Log (% rec.liq)</t>
  </si>
  <si>
    <t xml:space="preserve">Outras diretas (% rec.liq)</t>
  </si>
  <si>
    <t xml:space="preserve">Aluguel mensal (R$)</t>
  </si>
  <si>
    <t xml:space="preserve">Reajuste aluguel a.a.</t>
  </si>
  <si>
    <t xml:space="preserve">DSO 2025</t>
  </si>
  <si>
    <t xml:space="preserve">DSO 2026</t>
  </si>
  <si>
    <t xml:space="preserve">DSO 2027</t>
  </si>
  <si>
    <t xml:space="preserve">DIO (dias)</t>
  </si>
  <si>
    <t xml:space="preserve">DPO (dias)</t>
  </si>
  <si>
    <t xml:space="preserve">Materiais de Construcao</t>
  </si>
  <si>
    <t xml:space="preserve">Utilidades Domesticas</t>
  </si>
  <si>
    <t xml:space="preserve">Papelaria e Impressao</t>
  </si>
  <si>
    <t xml:space="preserve">Servicos Automotivos</t>
  </si>
  <si>
    <t xml:space="preserve">Vestuario</t>
  </si>
  <si>
    <t xml:space="preserve">DRE CONSOLIDADO - Grupo Meridiano Varejo (mensal, R$)</t>
  </si>
  <si>
    <t xml:space="preserve">Linha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</si>
  <si>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</si>
  <si>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</si>
  <si>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</si>
  <si>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</si>
  <si>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</si>
  <si>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</si>
  <si>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</si>
  <si>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</si>
  <si>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</si>
  <si>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</si>
  <si>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</si>
  <si>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</si>
  <si>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</si>
  <si>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</si>
  <si>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</si>
  <si>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</si>
  <si>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</si>
  <si>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</si>
  <si>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</si>
  <si>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</si>
  <si>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</si>
  <si>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</si>
  <si>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</si>
  <si>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</si>
  <si>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</si>
  <si>
    <t xml:space="preserve">2027-02</t>
  </si>
  <si>
    <t xml:space="preserve">2027-03</t>
  </si>
  <si>
    <t xml:space="preserve">2027-04</t>
  </si>
  <si>
    <t xml:space="preserve">2027-05</t>
  </si>
  <si>
    <t xml:space="preserve">2027-06</t>
  </si>
  <si>
    <t xml:space="preserve">2027-07</t>
  </si>
  <si>
    <t xml:space="preserve">2027-08</t>
  </si>
  <si>
    <t xml:space="preserve">2027-09</t>
  </si>
  <si>
    <t xml:space="preserve">2027-10</t>
  </si>
  <si>
    <t xml:space="preserve">2027-11</t>
  </si>
  <si>
    <t xml:space="preserve">2027-12</t>
  </si>
  <si>
    <t xml:space="preserve">2025</t>
  </si>
  <si>
    <t xml:space="preserve">2026</t>
  </si>
  <si>
    <t xml:space="preserve">2027</t>
  </si>
  <si>
    <t xml:space="preserve">Total</t>
  </si>
  <si>
    <t xml:space="preserve">Receita Bruta</t>
  </si>
  <si>
    <t xml:space="preserve">(-) Impostos sobre Vendas</t>
  </si>
  <si>
    <t xml:space="preserve">Receita Liquida</t>
  </si>
  <si>
    <t xml:space="preserve">(-) CMV</t>
  </si>
  <si>
    <t xml:space="preserve">Lucro Bruto</t>
  </si>
  <si>
    <t xml:space="preserve">Margem Bruta %</t>
  </si>
  <si>
    <t xml:space="preserve">(-) Folha Direta</t>
  </si>
  <si>
    <t xml:space="preserve">(-) Aluguel/Ocupacao</t>
  </si>
  <si>
    <t xml:space="preserve">(-) Marketing</t>
  </si>
  <si>
    <t xml:space="preserve">(-) Frete/Logistica</t>
  </si>
  <si>
    <t xml:space="preserve">(-) Outras Desp. Diretas</t>
  </si>
  <si>
    <t xml:space="preserve">EBITDA das Unidades</t>
  </si>
  <si>
    <t xml:space="preserve">(-) Overhead Corporativo (G&amp;A)</t>
  </si>
  <si>
    <t xml:space="preserve">EBITDA Consolidado</t>
  </si>
  <si>
    <t xml:space="preserve">Margem EBITDA %</t>
  </si>
  <si>
    <t xml:space="preserve">(-) Depreciacao e Amortizacao</t>
  </si>
  <si>
    <t xml:space="preserve">EBIT</t>
  </si>
  <si>
    <t xml:space="preserve">(+/-) Resultado Financeiro</t>
  </si>
  <si>
    <t xml:space="preserve">LAIR (Lucro antes IR)</t>
  </si>
  <si>
    <t xml:space="preserve">(-) IR/CSLL</t>
  </si>
  <si>
    <t xml:space="preserve">Lucro Liquido</t>
  </si>
  <si>
    <t xml:space="preserve">Margem Liquida %</t>
  </si>
  <si>
    <t xml:space="preserve">BALANCO PATRIMONIAL CONSOLIDADO (mensal, R$)</t>
  </si>
  <si>
    <t xml:space="preserve">ATIVO</t>
  </si>
  <si>
    <t xml:space="preserve">Caixa e Equivalentes</t>
  </si>
  <si>
    <t xml:space="preserve">Contas a Receber</t>
  </si>
  <si>
    <t xml:space="preserve">Estoques</t>
  </si>
  <si>
    <t xml:space="preserve">Outros Ativos Circulantes</t>
  </si>
  <si>
    <t xml:space="preserve">Ativo Circulante</t>
  </si>
  <si>
    <t xml:space="preserve">Imobilizado Liquido</t>
  </si>
  <si>
    <t xml:space="preserve">Intangivel Liquido</t>
  </si>
  <si>
    <t xml:space="preserve">Ativo Nao Circulante</t>
  </si>
  <si>
    <t xml:space="preserve">ATIVO TOTAL</t>
  </si>
  <si>
    <t xml:space="preserve">PASSIVO E PATRIMONIO LIQUIDO</t>
  </si>
  <si>
    <t xml:space="preserve">Fornecedores</t>
  </si>
  <si>
    <t xml:space="preserve">Emprestimos Curto Prazo</t>
  </si>
  <si>
    <t xml:space="preserve">Obrigacoes Fiscais</t>
  </si>
  <si>
    <t xml:space="preserve">Obrigacoes Trabalhistas</t>
  </si>
  <si>
    <t xml:space="preserve">Outros Passivos Circulantes</t>
  </si>
  <si>
    <t xml:space="preserve">Passivo Circulante</t>
  </si>
  <si>
    <t xml:space="preserve">Emprestimos Longo Prazo</t>
  </si>
  <si>
    <t xml:space="preserve">Passivo Nao Circulante</t>
  </si>
  <si>
    <t xml:space="preserve">(memo) Dividendos Pagos no Mes</t>
  </si>
  <si>
    <t xml:space="preserve">Capital Social</t>
  </si>
  <si>
    <t xml:space="preserve">Lucros Acumulados</t>
  </si>
  <si>
    <t xml:space="preserve">Patrimonio Liquido</t>
  </si>
  <si>
    <t xml:space="preserve">PASSIVO + PL TOTAL</t>
  </si>
  <si>
    <t xml:space="preserve">CHECAGEM (Ativo - Passivo-PL)</t>
  </si>
  <si>
    <t xml:space="preserve">DEMONSTRACAO DE FLUXO DE CAIXA - Metodo Indireto (mensal, R$)</t>
  </si>
  <si>
    <t xml:space="preserve">(+) Depreciacao e Amortizacao</t>
  </si>
  <si>
    <t xml:space="preserve">(-) Var. Contas a Receber</t>
  </si>
  <si>
    <t xml:space="preserve">(-) Var. Estoques</t>
  </si>
  <si>
    <t xml:space="preserve">(-) Var. Outros Ativos Circ.</t>
  </si>
  <si>
    <t xml:space="preserve">(+) Var. Fornecedores</t>
  </si>
  <si>
    <t xml:space="preserve">(+) Var. Obrigacoes Fiscais</t>
  </si>
  <si>
    <t xml:space="preserve">(+) Var. Obrigacoes Trabalhistas</t>
  </si>
  <si>
    <t xml:space="preserve">(+) Var. Outros Passivos Circ.</t>
  </si>
  <si>
    <t xml:space="preserve">(=) Fluxo de Caixa Operacional</t>
  </si>
  <si>
    <t xml:space="preserve">(-) Capex</t>
  </si>
  <si>
    <t xml:space="preserve">(=) Fluxo de Caixa de Investimento</t>
  </si>
  <si>
    <t xml:space="preserve">(+/-) Captacao/Amortizacao de Divida</t>
  </si>
  <si>
    <t xml:space="preserve">(-) Dividendos</t>
  </si>
  <si>
    <t xml:space="preserve">(=) Fluxo de Caixa de Financiamento</t>
  </si>
  <si>
    <t xml:space="preserve">Variacao de Caixa</t>
  </si>
  <si>
    <t xml:space="preserve">Caixa Inicial</t>
  </si>
  <si>
    <t xml:space="preserve">Caixa Final</t>
  </si>
  <si>
    <t xml:space="preserve">Ano</t>
  </si>
  <si>
    <t xml:space="preserve">Mes</t>
  </si>
  <si>
    <t xml:space="preserve">ChaveMes</t>
  </si>
  <si>
    <t xml:space="preserve">DataRef</t>
  </si>
  <si>
    <t xml:space="preserve">Cresc. MoM %</t>
  </si>
  <si>
    <t xml:space="preserve">Cresc. YoY %</t>
  </si>
  <si>
    <t xml:space="preserve">EBITDA</t>
  </si>
  <si>
    <t xml:space="preserve">DSO (dias)</t>
  </si>
  <si>
    <t xml:space="preserve">Ciclo Caixa (dias)</t>
  </si>
  <si>
    <t xml:space="preserve">Liquidez Corrente</t>
  </si>
  <si>
    <t xml:space="preserve">Divida Liquida</t>
  </si>
  <si>
    <t xml:space="preserve">Div.Liq/EBITDA LTM</t>
  </si>
  <si>
    <t xml:space="preserve">Cobertura Juros</t>
  </si>
  <si>
    <t xml:space="preserve">ROIC LTM %</t>
  </si>
  <si>
    <t xml:space="preserve">FCO do Mes</t>
  </si>
  <si>
    <t xml:space="preserve">Capital Giro Liq.</t>
  </si>
  <si>
    <t xml:space="preserve">ANALISE DE CENARIOS - Ano 2027 (consolidado)</t>
  </si>
  <si>
    <t xml:space="preserve">Base reproduz o modelo. Conservador e Otimista aplicam multiplicadores da aba Premissas sobre 2026.</t>
  </si>
  <si>
    <t xml:space="preserve">Linha (2027)</t>
  </si>
  <si>
    <t xml:space="preserve">(-) Custos Operacionais</t>
  </si>
  <si>
    <t xml:space="preserve">(-) D&amp;A</t>
  </si>
  <si>
    <t xml:space="preserve">LAIR</t>
  </si>
  <si>
    <t xml:space="preserve">Divida Liquida / EBITDA</t>
  </si>
  <si>
    <t xml:space="preserve">Caixa aprox. fim 2027</t>
  </si>
  <si>
    <t xml:space="preserve">ANALISE DE SENSIBILIDADE - 2027</t>
  </si>
  <si>
    <t xml:space="preserve">Recalculo do resultado 2027 variando dois drivers. Celula central (destacada) = caso Base.</t>
  </si>
  <si>
    <t xml:space="preserve">Grid A - EBITDA 2027 (R$)</t>
  </si>
  <si>
    <t xml:space="preserve">Cresc. receita \ Delta margem bruta</t>
  </si>
  <si>
    <t xml:space="preserve">-3,0 p.p.</t>
  </si>
  <si>
    <t xml:space="preserve">-1,5 p.p.</t>
  </si>
  <si>
    <t xml:space="preserve">+1,5 p.p.</t>
  </si>
  <si>
    <t xml:space="preserve">+3,0 p.p.</t>
  </si>
  <si>
    <t xml:space="preserve">-6 p.p.</t>
  </si>
  <si>
    <t xml:space="preserve">-3 p.p.</t>
  </si>
  <si>
    <t xml:space="preserve">+3 p.p.</t>
  </si>
  <si>
    <t xml:space="preserve">+6 p.p.</t>
  </si>
  <si>
    <t xml:space="preserve">Grid B - Lucro Liquido 2027 (R$)</t>
  </si>
  <si>
    <t xml:space="preserve">Delta margem bruta \ Mult. custos oper.</t>
  </si>
  <si>
    <t xml:space="preserve">0,90x</t>
  </si>
  <si>
    <t xml:space="preserve">0,95x</t>
  </si>
  <si>
    <t xml:space="preserve">Base (1,00x)</t>
  </si>
  <si>
    <t xml:space="preserve">1,05x</t>
  </si>
  <si>
    <t xml:space="preserve">1,10x</t>
  </si>
  <si>
    <t xml:space="preserve">PERFORMANCE DE VENDAS POR REPRESENTANTE</t>
  </si>
  <si>
    <t xml:space="preserve">Grupo Meridiano Varejo | Metas x realizado por representante, segmento e mes (jan/2025 a dez/2027)</t>
  </si>
  <si>
    <t xml:space="preserve">PARAMETRO</t>
  </si>
  <si>
    <t xml:space="preserve">Crescimento anual das metas</t>
  </si>
  <si>
    <t xml:space="preserve">RESUMO POR REPRESENTANTE (anual)</t>
  </si>
  <si>
    <t xml:space="preserve">Representante</t>
  </si>
  <si>
    <t xml:space="preserve">Segmento</t>
  </si>
  <si>
    <t xml:space="preserve">2025 Realiz.</t>
  </si>
  <si>
    <t xml:space="preserve">2025 Meta</t>
  </si>
  <si>
    <t xml:space="preserve">2025 Ating.</t>
  </si>
  <si>
    <t xml:space="preserve">2026 Realiz.</t>
  </si>
  <si>
    <t xml:space="preserve">2026 Meta</t>
  </si>
  <si>
    <t xml:space="preserve">2026 Ating.</t>
  </si>
  <si>
    <t xml:space="preserve">2027 Realiz.</t>
  </si>
  <si>
    <t xml:space="preserve">2027 Meta</t>
  </si>
  <si>
    <t xml:space="preserve">2027 Ating.</t>
  </si>
  <si>
    <t xml:space="preserve">Ating. 3 anos</t>
  </si>
  <si>
    <t xml:space="preserve">Ranking</t>
  </si>
  <si>
    <t xml:space="preserve">Rafael Nogueira</t>
  </si>
  <si>
    <t xml:space="preserve">Beatriz Ramalho</t>
  </si>
  <si>
    <t xml:space="preserve">Carla Menezes</t>
  </si>
  <si>
    <t xml:space="preserve">Diego Fontes</t>
  </si>
  <si>
    <t xml:space="preserve">Priscila Adorno</t>
  </si>
  <si>
    <t xml:space="preserve">Henrique Vasques</t>
  </si>
  <si>
    <t xml:space="preserve">Luana Prado</t>
  </si>
  <si>
    <t xml:space="preserve">Marcelo Tavares</t>
  </si>
  <si>
    <t xml:space="preserve">Sofia Bittencourt</t>
  </si>
  <si>
    <t xml:space="preserve">Anderson Klein</t>
  </si>
  <si>
    <t xml:space="preserve">Renata Villaca</t>
  </si>
  <si>
    <t xml:space="preserve">Tiago Moura</t>
  </si>
  <si>
    <t xml:space="preserve">TOTAL / MEDIA</t>
  </si>
  <si>
    <t xml:space="preserve">Grupo</t>
  </si>
  <si>
    <t xml:space="preserve">CADASTRO DE REPRESENTANTES</t>
  </si>
  <si>
    <t xml:space="preserve">Regiao</t>
  </si>
  <si>
    <t xml:space="preserve">Participacao no Segmento</t>
  </si>
  <si>
    <t xml:space="preserve">Meta Anual 2025 (R$)</t>
  </si>
  <si>
    <t xml:space="preserve">Meta Anual 2026 (R$)</t>
  </si>
  <si>
    <t xml:space="preserve">Meta Anual 2027 (R$)</t>
  </si>
  <si>
    <t xml:space="preserve">Dificuldade</t>
  </si>
  <si>
    <t xml:space="preserve">Sudeste</t>
  </si>
  <si>
    <t xml:space="preserve">Sul</t>
  </si>
  <si>
    <t xml:space="preserve">Nordeste</t>
  </si>
  <si>
    <t xml:space="preserve">Centro-Oeste</t>
  </si>
  <si>
    <t xml:space="preserve">PERFIL DE SAZONALIDADE DAS METAS (peso mensal, base real 2025)</t>
  </si>
  <si>
    <t xml:space="preserve">BASE MENSAL DETALHADA</t>
  </si>
  <si>
    <t xml:space="preserve">Vendas Realizadas</t>
  </si>
  <si>
    <t xml:space="preserve">Meta</t>
  </si>
  <si>
    <t xml:space="preserve">Atingimento %</t>
  </si>
  <si>
    <t xml:space="preserve">Desvio (R$)</t>
  </si>
  <si>
    <t xml:space="preserve">Realizado YTD</t>
  </si>
  <si>
    <t xml:space="preserve">Meta YTD</t>
  </si>
  <si>
    <t xml:space="preserve">Atingimento YTD %</t>
  </si>
  <si>
    <t xml:space="preserve">Unidade</t>
  </si>
  <si>
    <t xml:space="preserve">Impostos s/ Vendas</t>
  </si>
  <si>
    <t xml:space="preserve">Margem Bruta % aplic.</t>
  </si>
  <si>
    <t xml:space="preserve">CMV</t>
  </si>
  <si>
    <t xml:space="preserve">Folha Direta</t>
  </si>
  <si>
    <t xml:space="preserve">Aluguel/Ocupacao</t>
  </si>
  <si>
    <t xml:space="preserve">Marketing</t>
  </si>
  <si>
    <t xml:space="preserve">Frete/Logistica</t>
  </si>
  <si>
    <t xml:space="preserve">Outras Desp. Diretas</t>
  </si>
  <si>
    <t xml:space="preserve">EBITDA da Unidade</t>
  </si>
  <si>
    <t xml:space="preserve">Headcount</t>
  </si>
  <si>
    <t xml:space="preserve">Custo Medio (R$)</t>
  </si>
  <si>
    <t xml:space="preserve">Salarios</t>
  </si>
  <si>
    <t xml:space="preserve">Encargos %</t>
  </si>
  <si>
    <t xml:space="preserve">Folha Total</t>
  </si>
  <si>
    <t xml:space="preserve">CMV do Mes</t>
  </si>
  <si>
    <t xml:space="preserve">Estoque Final</t>
  </si>
  <si>
    <t xml:space="preserve">Estoque Inicial</t>
  </si>
  <si>
    <t xml:space="preserve">Compras</t>
  </si>
  <si>
    <t xml:space="preserve">Giro (anualizado)</t>
  </si>
  <si>
    <t xml:space="preserve">DSO aplic.</t>
  </si>
  <si>
    <t xml:space="preserve">AR Total</t>
  </si>
  <si>
    <t xml:space="preserve">DPO aplic.</t>
  </si>
  <si>
    <t xml:space="preserve">AP Total</t>
  </si>
  <si>
    <t xml:space="preserve">CRONOGRAMAS DE APOIO (Imobilizado, Intangivel e Divida)</t>
  </si>
  <si>
    <t xml:space="preserve">Imobilizado Bruto Inicial</t>
  </si>
  <si>
    <t xml:space="preserve">(+) Capex do Mes</t>
  </si>
  <si>
    <t xml:space="preserve">Imobilizado Bruto Final</t>
  </si>
  <si>
    <t xml:space="preserve">(-) Depreciacao do Mes</t>
  </si>
  <si>
    <t xml:space="preserve">Depreciacao Acumulada</t>
  </si>
  <si>
    <t xml:space="preserve">(-) Amortizacao Intangivel</t>
  </si>
  <si>
    <t xml:space="preserve">Emprestimo Termo - Saldo Inicial</t>
  </si>
  <si>
    <t xml:space="preserve">(-) Amortizacao Termo</t>
  </si>
  <si>
    <t xml:space="preserve">Emprestimo Termo - Saldo Final</t>
  </si>
  <si>
    <t xml:space="preserve">Linha Capital de Giro (saldo)</t>
  </si>
  <si>
    <t xml:space="preserve">Divida Total</t>
  </si>
  <si>
    <t xml:space="preserve">Divida Curto Prazo</t>
  </si>
  <si>
    <t xml:space="preserve">Divida Longo Prazo</t>
  </si>
  <si>
    <t xml:space="preserve">(-) Despesa Financeira</t>
  </si>
  <si>
    <t xml:space="preserve">(+) Receita Financeira</t>
  </si>
  <si>
    <t xml:space="preserve">Resultado Financeiro</t>
  </si>
  <si>
    <t xml:space="preserve">REFERENCIA DE CUSTOS E MARGENS POR PRODUTO</t>
  </si>
  <si>
    <t xml:space="preserve">Precos medios reais (das notas fiscais). Custo e margem derivados da margem bruta 2025 do segmento.</t>
  </si>
  <si>
    <t xml:space="preserve">Produto (representativo)</t>
  </si>
  <si>
    <t xml:space="preserve">Preco Medio (R$)</t>
  </si>
  <si>
    <t xml:space="preserve">Custo Unitario (R$)</t>
  </si>
  <si>
    <t xml:space="preserve">Margem Bruta Unit. (R$)</t>
  </si>
  <si>
    <t xml:space="preserve">Margem Bruta Unit. %</t>
  </si>
  <si>
    <t xml:space="preserve">CIMENTO POTY</t>
  </si>
  <si>
    <t xml:space="preserve">TIJOLO 6 FUROS</t>
  </si>
  <si>
    <t xml:space="preserve">BACIA + CAIXA ACOPLADA VISEU 6L- PRETO</t>
  </si>
  <si>
    <t xml:space="preserve">VARA FERRO 3/8 10MM</t>
  </si>
  <si>
    <t xml:space="preserve">TELHA ONDINA</t>
  </si>
  <si>
    <t xml:space="preserve">TELHA BRASILIT NORMAL</t>
  </si>
  <si>
    <t xml:space="preserve">CHARQUE UNIAO KG**</t>
  </si>
  <si>
    <t xml:space="preserve">CAFE MARATA 250G VACUO**</t>
  </si>
  <si>
    <t xml:space="preserve">CHARQUE FAVORITO KG</t>
  </si>
  <si>
    <t xml:space="preserve">PRODUTO TESTE</t>
  </si>
  <si>
    <t xml:space="preserve">PLASTICO P/MESA ALKOTERM 1.40 LG</t>
  </si>
  <si>
    <t xml:space="preserve">CHARQUE IDEPENDENCIA KG</t>
  </si>
  <si>
    <t xml:space="preserve">ENVELOPE CARTA BRANCO 114X162 SCRITY</t>
  </si>
  <si>
    <t xml:space="preserve">CARTUCHO HP 712 3ED67A CIANO C/ 29 ML</t>
  </si>
  <si>
    <t xml:space="preserve">PAPEL A-4 210X297MM 75G C/500 FL CHAMEX</t>
  </si>
  <si>
    <t xml:space="preserve">CARTUCHO HP 712 3ED68A MAGENTA C/ 29 ML</t>
  </si>
  <si>
    <t xml:space="preserve">PINCEL RECARREGAVEL P/QUADRO BRANCO PILO</t>
  </si>
  <si>
    <t xml:space="preserve">CARTUCHO HP 712 3ED70A PRETO C/ 38 ML</t>
  </si>
  <si>
    <t xml:space="preserve">OLEO 5W30 ACDELCO 100% SINTETICO</t>
  </si>
  <si>
    <t xml:space="preserve">BICO INJETOR GOL GIV/GV/FOX 1.0 VERMELHO</t>
  </si>
  <si>
    <t xml:space="preserve">BATERIA 60A MOURA</t>
  </si>
  <si>
    <t xml:space="preserve">OLEO 5W30 MOTORCRAFT SINTETICO</t>
  </si>
  <si>
    <t xml:space="preserve">CILINDRO MESTRE DUPLO CLIO 1.0 16V 2011</t>
  </si>
  <si>
    <t xml:space="preserve">OLEO 5W30 SELENIA SINTETICO</t>
  </si>
  <si>
    <t xml:space="preserve">CONJUNTO FIO DUPLO VALERIE</t>
  </si>
  <si>
    <t xml:space="preserve">DOLL LABELE</t>
  </si>
  <si>
    <t xml:space="preserve">VESTIDO MIDI TAINA</t>
  </si>
  <si>
    <t xml:space="preserve">CALCA FRANCINE</t>
  </si>
  <si>
    <t xml:space="preserve">CONJUNTO FIO DUPLO PORTO RICO</t>
  </si>
  <si>
    <t xml:space="preserve">CONJUNTO NEBIA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</si>
</sst>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0.0%;\(0.0%\);\-"/>
    <numFmt numFmtId="166" formatCode="#,##0;\(#,##0\);\-"/>
    <numFmt numFmtId="167" formatCode="0"/>
    <numFmt numFmtId="168" formatCode="0.0\x"/>
    <numFmt numFmtId="169" formatCode="0.0"/>
    <numFmt numFmtId="170" formatCode="mmm/yy"/>
    <numFmt numFmtId="171" formatCode="0.00\x"/>
    <numFmt numFmtId="172" formatCode="#,##0"/>
    <numFmt numFmtId="173" formatCode="0.0%;\(0.0%\);\-"/>
    <numFmt numFmtId="174" formatCode="#,##0;\(#,##0\);\-"/>
    <numFmt numFmtId="175" formatCode="0%"/>
    <numFmt numFmtId="176" formatCode="0.00"/>
    <numFmt numFmtId="177" formatCode="mmm"/>
    <numFmt numFmtId="178" formatCode="0.0%"/>
    <numFmt numFmtId="179" formatCode="#,##0.00;\(#,##0.00\);\-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DEDED"/>
      </patternFill>
    </fill>
    <fill>
      <patternFill patternType="solid">
        <fgColor rgb="FFEDEDED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1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1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EB9C"/>
      <rgbColor rgb="FFD9E1F2"/>
      <rgbColor rgb="FFFCE4D6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88"/>
    <col collapsed="false" customWidth="true" hidden="false" outlineLevel="0" max="6" min="4" style="1" width="14"/>
  </cols>
  <sheetData>
    <row r="2" customFormat="false" ht="21.75" hidden="false" customHeight="true" outlineLevel="0" collapsed="false">
      <c r="B2" s="2" t="s">
        <v>0</v>
      </c>
      <c r="C2" s="2"/>
    </row>
    <row r="3" customFormat="false" ht="15" hidden="false" customHeight="true" outlineLevel="0" collapsed="false">
      <c r="B3" s="3" t="s">
        <v>1</v>
      </c>
      <c r="C3" s="3"/>
    </row>
    <row r="5" customFormat="false" ht="21.75" hidden="false" customHeight="true" outlineLevel="0" collapsed="false">
      <c r="B5" s="4" t="s">
        <v>2</v>
      </c>
      <c r="C5" s="4"/>
    </row>
    <row r="6" customFormat="false" ht="60" hidden="false" customHeight="true" outlineLevel="0" collapsed="false">
      <c r="B6" s="5" t="s">
        <v>3</v>
      </c>
      <c r="C6" s="5"/>
    </row>
    <row r="8" customFormat="false" ht="21.75" hidden="false" customHeight="true" outlineLevel="0" collapsed="false">
      <c r="B8" s="4" t="s">
        <v>4</v>
      </c>
      <c r="C8" s="4"/>
    </row>
    <row r="9" customFormat="false" ht="45" hidden="false" customHeight="true" outlineLevel="0" collapsed="false">
      <c r="B9" s="5" t="s">
        <v>5</v>
      </c>
      <c r="C9" s="5"/>
    </row>
    <row r="11" customFormat="false" ht="21.75" hidden="false" customHeight="true" outlineLevel="0" collapsed="false">
      <c r="B11" s="4" t="s">
        <v>6</v>
      </c>
      <c r="C11" s="4"/>
    </row>
    <row r="12" customFormat="false" ht="30" hidden="false" customHeight="true" outlineLevel="0" collapsed="false">
      <c r="B12" s="6" t="s">
        <v>7</v>
      </c>
      <c r="C12" s="7" t="s">
        <v>8</v>
      </c>
    </row>
    <row r="13" customFormat="false" ht="30" hidden="false" customHeight="true" outlineLevel="0" collapsed="false">
      <c r="B13" s="6" t="s">
        <v>9</v>
      </c>
      <c r="C13" s="7" t="s">
        <v>10</v>
      </c>
    </row>
    <row r="14" customFormat="false" ht="30" hidden="false" customHeight="true" outlineLevel="0" collapsed="false">
      <c r="B14" s="6" t="s">
        <v>11</v>
      </c>
      <c r="C14" s="7" t="s">
        <v>12</v>
      </c>
    </row>
    <row r="16" customFormat="false" ht="21.75" hidden="false" customHeight="true" outlineLevel="0" collapsed="false">
      <c r="B16" s="4" t="s">
        <v>13</v>
      </c>
      <c r="C16" s="4"/>
    </row>
    <row r="17" customFormat="false" ht="30" hidden="false" customHeight="true" outlineLevel="0" collapsed="false">
      <c r="B17" s="6" t="s">
        <v>14</v>
      </c>
      <c r="C17" s="7" t="s">
        <v>15</v>
      </c>
    </row>
    <row r="18" customFormat="false" ht="15" hidden="false" customHeight="true" outlineLevel="0" collapsed="false">
      <c r="B18" s="6" t="s">
        <v>16</v>
      </c>
      <c r="C18" s="7" t="s">
        <v>17</v>
      </c>
    </row>
    <row r="19" customFormat="false" ht="30" hidden="false" customHeight="true" outlineLevel="0" collapsed="false">
      <c r="B19" s="6" t="s">
        <v>18</v>
      </c>
      <c r="C19" s="7" t="s">
        <v>19</v>
      </c>
    </row>
    <row r="20" customFormat="false" ht="15" hidden="false" customHeight="true" outlineLevel="0" collapsed="false">
      <c r="B20" s="6" t="s">
        <v>20</v>
      </c>
      <c r="C20" s="7" t="s">
        <v>21</v>
      </c>
    </row>
    <row r="21" customFormat="false" ht="30" hidden="false" customHeight="true" outlineLevel="0" collapsed="false">
      <c r="B21" s="6" t="s">
        <v>22</v>
      </c>
      <c r="C21" s="7" t="s">
        <v>23</v>
      </c>
    </row>
    <row r="22" customFormat="false" ht="30" hidden="false" customHeight="true" outlineLevel="0" collapsed="false">
      <c r="B22" s="6" t="s">
        <v>24</v>
      </c>
      <c r="C22" s="7" t="s">
        <v>25</v>
      </c>
    </row>
    <row r="23" customFormat="false" ht="15" hidden="false" customHeight="true" outlineLevel="0" collapsed="false">
      <c r="B23" s="6" t="s">
        <v>26</v>
      </c>
      <c r="C23" s="7" t="s">
        <v>27</v>
      </c>
    </row>
    <row r="24" customFormat="false" ht="30" hidden="false" customHeight="true" outlineLevel="0" collapsed="false">
      <c r="B24" s="6" t="s">
        <v>28</v>
      </c>
      <c r="C24" s="7" t="s">
        <v>29</v>
      </c>
    </row>
    <row r="25" customFormat="false" ht="15" hidden="false" customHeight="true" outlineLevel="0" collapsed="false">
      <c r="B25" s="6" t="s">
        <v>30</v>
      </c>
      <c r="C25" s="7" t="s">
        <v>31</v>
      </c>
    </row>
    <row r="26" customFormat="false" ht="15" hidden="false" customHeight="true" outlineLevel="0" collapsed="false">
      <c r="B26" s="6" t="s">
        <v>32</v>
      </c>
      <c r="C26" s="7" t="s">
        <v>33</v>
      </c>
    </row>
    <row r="27" customFormat="false" ht="15" hidden="false" customHeight="true" outlineLevel="0" collapsed="false">
      <c r="B27" s="6" t="s">
        <v>34</v>
      </c>
      <c r="C27" s="7" t="s">
        <v>35</v>
      </c>
    </row>
    <row r="28" customFormat="false" ht="15" hidden="false" customHeight="true" outlineLevel="0" collapsed="false">
      <c r="B28" s="6" t="s">
        <v>36</v>
      </c>
      <c r="C28" s="7" t="s">
        <v>37</v>
      </c>
    </row>
    <row r="29" customFormat="false" ht="15" hidden="false" customHeight="true" outlineLevel="0" collapsed="false">
      <c r="B29" s="6" t="s">
        <v>38</v>
      </c>
      <c r="C29" s="7" t="s">
        <v>39</v>
      </c>
    </row>
    <row r="30" customFormat="false" ht="15" hidden="false" customHeight="true" outlineLevel="0" collapsed="false">
      <c r="B30" s="6" t="s">
        <v>40</v>
      </c>
      <c r="C30" s="7" t="s">
        <v>41</v>
      </c>
    </row>
    <row r="32" customFormat="false" ht="21.75" hidden="false" customHeight="true" outlineLevel="0" collapsed="false">
      <c r="B32" s="4" t="s">
        <v>42</v>
      </c>
      <c r="C32" s="4"/>
    </row>
    <row r="33" customFormat="false" ht="30" hidden="false" customHeight="true" outlineLevel="0" collapsed="false">
      <c r="B33" s="5" t="s">
        <v>43</v>
      </c>
      <c r="C33" s="5"/>
    </row>
    <row r="34" customFormat="false" ht="30" hidden="false" customHeight="true" outlineLevel="0" collapsed="false">
      <c r="B34" s="6" t="s">
        <v>44</v>
      </c>
      <c r="C34" s="7" t="s">
        <v>45</v>
      </c>
    </row>
    <row r="35" customFormat="false" ht="30" hidden="false" customHeight="true" outlineLevel="0" collapsed="false">
      <c r="B35" s="6" t="s">
        <v>46</v>
      </c>
      <c r="C35" s="7" t="s">
        <v>47</v>
      </c>
    </row>
    <row r="36" customFormat="false" ht="30" hidden="false" customHeight="true" outlineLevel="0" collapsed="false">
      <c r="B36" s="6" t="s">
        <v>48</v>
      </c>
      <c r="C36" s="7" t="s">
        <v>49</v>
      </c>
    </row>
    <row r="37" customFormat="false" ht="30" hidden="false" customHeight="true" outlineLevel="0" collapsed="false">
      <c r="B37" s="6" t="s">
        <v>50</v>
      </c>
      <c r="C37" s="7" t="s">
        <v>51</v>
      </c>
    </row>
    <row r="38" customFormat="false" ht="30" hidden="false" customHeight="true" outlineLevel="0" collapsed="false">
      <c r="B38" s="6" t="s">
        <v>52</v>
      </c>
      <c r="C38" s="7" t="s">
        <v>53</v>
      </c>
    </row>
    <row r="39" customFormat="false" ht="30" hidden="false" customHeight="true" outlineLevel="0" collapsed="false">
      <c r="B39" s="6" t="s">
        <v>54</v>
      </c>
      <c r="C39" s="7" t="s">
        <v>55</v>
      </c>
    </row>
    <row r="41" customFormat="false" ht="21.75" hidden="false" customHeight="true" outlineLevel="0" collapsed="false">
      <c r="B41" s="4" t="s">
        <v>56</v>
      </c>
      <c r="C41" s="4"/>
    </row>
    <row r="42" customFormat="false" ht="15" hidden="false" customHeight="true" outlineLevel="0" collapsed="false">
      <c r="B42" s="8" t="s">
        <v>57</v>
      </c>
      <c r="C42" s="9" t="s">
        <v>58</v>
      </c>
    </row>
    <row r="43" customFormat="false" ht="15" hidden="false" customHeight="true" outlineLevel="0" collapsed="false">
      <c r="B43" s="10" t="s">
        <v>59</v>
      </c>
      <c r="C43" s="9" t="s">
        <v>60</v>
      </c>
    </row>
    <row r="44" customFormat="false" ht="15" hidden="false" customHeight="true" outlineLevel="0" collapsed="false">
      <c r="B44" s="11" t="s">
        <v>61</v>
      </c>
      <c r="C44" s="9" t="s">
        <v>62</v>
      </c>
    </row>
    <row r="45" customFormat="false" ht="15" hidden="false" customHeight="true" outlineLevel="0" collapsed="false">
      <c r="B45" s="5" t="s">
        <v>63</v>
      </c>
      <c r="C45" s="5"/>
    </row>
    <row r="47" customFormat="false" ht="21.75" hidden="false" customHeight="true" outlineLevel="0" collapsed="false">
      <c r="B47" s="4" t="s">
        <v>64</v>
      </c>
      <c r="C47" s="4"/>
    </row>
    <row r="48" customFormat="false" ht="45" hidden="false" customHeight="true" outlineLevel="0" collapsed="false">
      <c r="B48" s="5" t="s">
        <v>65</v>
      </c>
      <c r="C48" s="5"/>
    </row>
    <row r="50" customFormat="false" ht="21.75" hidden="false" customHeight="true" outlineLevel="0" collapsed="false">
      <c r="B50" s="4" t="s">
        <v>66</v>
      </c>
      <c r="C50" s="4"/>
    </row>
    <row r="51" customFormat="false" ht="45" hidden="false" customHeight="true" outlineLevel="0" collapsed="false">
      <c r="B51" s="5" t="s">
        <v>67</v>
      </c>
      <c r="C51" s="5"/>
    </row>
    <row r="53" customFormat="false" ht="21.75" hidden="false" customHeight="true" outlineLevel="0" collapsed="false">
      <c r="B53" s="4" t="s">
        <v>68</v>
      </c>
      <c r="C53" s="4"/>
    </row>
    <row r="54" customFormat="false" ht="45" hidden="false" customHeight="true" outlineLevel="0" collapsed="false">
      <c r="B54" s="5" t="s">
        <v>69</v>
      </c>
      <c r="C54" s="5"/>
    </row>
    <row r="56" customFormat="false" ht="21.75" hidden="false" customHeight="true" outlineLevel="0" collapsed="false">
      <c r="B56" s="4" t="s">
        <v>70</v>
      </c>
      <c r="C56" s="4"/>
    </row>
    <row r="57" customFormat="false" ht="45" hidden="false" customHeight="true" outlineLevel="0" collapsed="false">
      <c r="B57" s="12" t="s">
        <v>71</v>
      </c>
      <c r="C57" s="12"/>
    </row>
    <row r="59" customFormat="false" ht="15" hidden="false" customHeight="true" outlineLevel="0" collapsed="false">
      <c r="B59" s="13" t="s">
        <v>72</v>
      </c>
      <c r="C59" s="13"/>
    </row>
  </sheetData>
  <mergeCells count="21">
    <mergeCell ref="B2:C2"/>
    <mergeCell ref="B3:C3"/>
    <mergeCell ref="B5:C5"/>
    <mergeCell ref="B6:C6"/>
    <mergeCell ref="B8:C8"/>
    <mergeCell ref="B9:C9"/>
    <mergeCell ref="B11:C11"/>
    <mergeCell ref="B16:C16"/>
    <mergeCell ref="B32:C32"/>
    <mergeCell ref="B33:C33"/>
    <mergeCell ref="B41:C41"/>
    <mergeCell ref="B45:C45"/>
    <mergeCell ref="B47:C47"/>
    <mergeCell ref="B48:C48"/>
    <mergeCell ref="B50:C50"/>
    <mergeCell ref="B51:C51"/>
    <mergeCell ref="B53:C53"/>
    <mergeCell ref="B54:C54"/>
    <mergeCell ref="B56:C56"/>
    <mergeCell ref="B57:C57"/>
    <mergeCell ref="B59:C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11" min="2" style="1" width="16"/>
    <col collapsed="false" customWidth="true" hidden="false" outlineLevel="0" max="14" min="12" style="1" width="14"/>
  </cols>
  <sheetData>
    <row r="1" customFormat="false" ht="17.25" hidden="false" customHeight="true" outlineLevel="0" collapsed="false">
      <c r="A1" s="14" t="s">
        <v>73</v>
      </c>
    </row>
    <row r="2" customFormat="false" ht="15" hidden="false" customHeight="true" outlineLevel="0" collapsed="false">
      <c r="A2" s="15" t="s">
        <v>74</v>
      </c>
    </row>
    <row r="4" customFormat="false" ht="15" hidden="false" customHeight="true" outlineLevel="0" collapsed="false">
      <c r="A4" s="16" t="s">
        <v>75</v>
      </c>
      <c r="B4" s="17"/>
      <c r="C4" s="17"/>
    </row>
    <row r="5" customFormat="false" ht="15" hidden="false" customHeight="true" outlineLevel="0" collapsed="false">
      <c r="A5" s="18" t="s">
        <v>76</v>
      </c>
      <c r="B5" s="19" t="n">
        <v>0.34</v>
      </c>
    </row>
    <row r="6" customFormat="false" ht="15" hidden="false" customHeight="true" outlineLevel="0" collapsed="false">
      <c r="A6" s="18" t="s">
        <v>77</v>
      </c>
      <c r="B6" s="19" t="n">
        <v>0.016</v>
      </c>
    </row>
    <row r="7" customFormat="false" ht="15" hidden="false" customHeight="true" outlineLevel="0" collapsed="false">
      <c r="A7" s="18" t="s">
        <v>78</v>
      </c>
      <c r="B7" s="19" t="n">
        <v>0.009</v>
      </c>
    </row>
    <row r="8" customFormat="false" ht="15" hidden="false" customHeight="true" outlineLevel="0" collapsed="false">
      <c r="A8" s="18" t="s">
        <v>79</v>
      </c>
      <c r="B8" s="20" t="n">
        <v>8000</v>
      </c>
    </row>
    <row r="9" customFormat="false" ht="15" hidden="false" customHeight="true" outlineLevel="0" collapsed="false">
      <c r="A9" s="18" t="s">
        <v>80</v>
      </c>
      <c r="B9" s="19" t="n">
        <v>0.06</v>
      </c>
    </row>
    <row r="10" customFormat="false" ht="15" hidden="false" customHeight="true" outlineLevel="0" collapsed="false">
      <c r="A10" s="18" t="s">
        <v>81</v>
      </c>
      <c r="B10" s="19" t="n">
        <v>0.015</v>
      </c>
    </row>
    <row r="11" customFormat="false" ht="15" hidden="false" customHeight="true" outlineLevel="0" collapsed="false">
      <c r="A11" s="18" t="s">
        <v>82</v>
      </c>
      <c r="B11" s="21" t="n">
        <v>120</v>
      </c>
    </row>
    <row r="12" customFormat="false" ht="15" hidden="false" customHeight="true" outlineLevel="0" collapsed="false">
      <c r="A12" s="18" t="s">
        <v>83</v>
      </c>
      <c r="B12" s="19" t="n">
        <v>0.3</v>
      </c>
    </row>
    <row r="13" customFormat="false" ht="15" hidden="false" customHeight="true" outlineLevel="0" collapsed="false">
      <c r="A13" s="18" t="s">
        <v>84</v>
      </c>
      <c r="B13" s="19" t="n">
        <v>0.08</v>
      </c>
    </row>
    <row r="14" customFormat="false" ht="15" hidden="false" customHeight="true" outlineLevel="0" collapsed="false">
      <c r="A14" s="18" t="s">
        <v>85</v>
      </c>
      <c r="B14" s="19" t="n">
        <v>0.1</v>
      </c>
    </row>
    <row r="15" customFormat="false" ht="15" hidden="false" customHeight="true" outlineLevel="0" collapsed="false">
      <c r="A15" s="18" t="s">
        <v>86</v>
      </c>
      <c r="B15" s="19" t="n">
        <v>0.4</v>
      </c>
    </row>
    <row r="17" customFormat="false" ht="15" hidden="false" customHeight="true" outlineLevel="0" collapsed="false">
      <c r="A17" s="16" t="s">
        <v>87</v>
      </c>
      <c r="B17" s="17"/>
      <c r="C17" s="17"/>
    </row>
    <row r="18" customFormat="false" ht="15" hidden="false" customHeight="true" outlineLevel="0" collapsed="false">
      <c r="A18" s="18" t="s">
        <v>88</v>
      </c>
      <c r="B18" s="20" t="n">
        <v>130000</v>
      </c>
    </row>
    <row r="19" customFormat="false" ht="15" hidden="false" customHeight="true" outlineLevel="0" collapsed="false">
      <c r="A19" s="18" t="s">
        <v>89</v>
      </c>
      <c r="B19" s="20" t="n">
        <v>180000</v>
      </c>
    </row>
    <row r="20" customFormat="false" ht="15" hidden="false" customHeight="true" outlineLevel="0" collapsed="false">
      <c r="A20" s="18" t="s">
        <v>90</v>
      </c>
      <c r="B20" s="20" t="n">
        <v>16000</v>
      </c>
    </row>
    <row r="21" customFormat="false" ht="15" hidden="false" customHeight="true" outlineLevel="0" collapsed="false">
      <c r="A21" s="18" t="s">
        <v>91</v>
      </c>
      <c r="B21" s="20" t="n">
        <v>500000</v>
      </c>
    </row>
    <row r="22" customFormat="false" ht="15" hidden="false" customHeight="true" outlineLevel="0" collapsed="false">
      <c r="A22" s="18" t="s">
        <v>92</v>
      </c>
      <c r="B22" s="20" t="n">
        <v>120000</v>
      </c>
    </row>
    <row r="23" customFormat="false" ht="15" hidden="false" customHeight="true" outlineLevel="0" collapsed="false">
      <c r="A23" s="18" t="s">
        <v>93</v>
      </c>
      <c r="B23" s="20" t="n">
        <v>40000</v>
      </c>
    </row>
    <row r="24" customFormat="false" ht="15" hidden="false" customHeight="true" outlineLevel="0" collapsed="false">
      <c r="A24" s="18" t="s">
        <v>94</v>
      </c>
      <c r="B24" s="20" t="n">
        <v>150000</v>
      </c>
    </row>
    <row r="25" customFormat="false" ht="15" hidden="false" customHeight="true" outlineLevel="0" collapsed="false">
      <c r="A25" s="18" t="s">
        <v>95</v>
      </c>
      <c r="B25" s="20" t="n">
        <v>95000</v>
      </c>
    </row>
    <row r="26" customFormat="false" ht="15" hidden="false" customHeight="true" outlineLevel="0" collapsed="false">
      <c r="A26" s="18" t="s">
        <v>96</v>
      </c>
      <c r="B26" s="20" t="n">
        <v>15000</v>
      </c>
    </row>
    <row r="27" customFormat="false" ht="15" hidden="false" customHeight="true" outlineLevel="0" collapsed="false">
      <c r="A27" s="18" t="s">
        <v>97</v>
      </c>
      <c r="B27" s="20" t="n">
        <v>20000</v>
      </c>
    </row>
    <row r="28" customFormat="false" ht="15" hidden="false" customHeight="true" outlineLevel="0" collapsed="false">
      <c r="A28" s="18" t="s">
        <v>98</v>
      </c>
      <c r="B28" s="20" t="n">
        <v>250000</v>
      </c>
    </row>
    <row r="29" customFormat="false" ht="15" hidden="false" customHeight="true" outlineLevel="0" collapsed="false">
      <c r="A29" s="18" t="s">
        <v>99</v>
      </c>
      <c r="B29" s="20" t="n">
        <v>80000</v>
      </c>
    </row>
    <row r="30" customFormat="false" ht="15" hidden="false" customHeight="true" outlineLevel="0" collapsed="false">
      <c r="A30" s="18" t="s">
        <v>100</v>
      </c>
      <c r="B30" s="20" t="n">
        <v>140000</v>
      </c>
    </row>
    <row r="31" customFormat="false" ht="15" hidden="false" customHeight="true" outlineLevel="0" collapsed="false">
      <c r="A31" s="18" t="s">
        <v>101</v>
      </c>
      <c r="B31" s="20" t="n">
        <v>190000</v>
      </c>
    </row>
    <row r="32" customFormat="false" ht="15" hidden="false" customHeight="true" outlineLevel="0" collapsed="false">
      <c r="A32" s="18" t="s">
        <v>102</v>
      </c>
      <c r="B32" s="20" t="n">
        <v>400000</v>
      </c>
    </row>
    <row r="33" customFormat="false" ht="15" hidden="false" customHeight="true" outlineLevel="0" collapsed="false">
      <c r="A33" s="18" t="s">
        <v>103</v>
      </c>
      <c r="B33" s="20" t="n">
        <v>200000</v>
      </c>
    </row>
    <row r="34" customFormat="false" ht="15" hidden="false" customHeight="true" outlineLevel="0" collapsed="false">
      <c r="A34" s="18" t="s">
        <v>104</v>
      </c>
      <c r="B34" s="20" t="n">
        <v>5000</v>
      </c>
    </row>
    <row r="35" customFormat="false" ht="15" hidden="false" customHeight="true" outlineLevel="0" collapsed="false">
      <c r="A35" s="18" t="s">
        <v>105</v>
      </c>
      <c r="B35" s="22" t="n">
        <f aca="false">(Premissas!$B$24+Premissas!$B$30+Premissas!$B$25+Premissas!$B$26+Premissas!$B$27+Premissas!$B$31+Premissas!$B$32+Premissas!$B$33)-(Premissas!$B$18+Premissas!$B$19+Premissas!$B$20+(Premissas!$B$21-Premissas!$B$22)+Premissas!$B$23)</f>
        <v>464000</v>
      </c>
    </row>
    <row r="37" customFormat="false" ht="15" hidden="false" customHeight="true" outlineLevel="0" collapsed="false">
      <c r="A37" s="15" t="s">
        <v>106</v>
      </c>
    </row>
    <row r="38" customFormat="false" ht="15" hidden="false" customHeight="true" outlineLevel="0" collapsed="false">
      <c r="A38" s="18" t="s">
        <v>107</v>
      </c>
      <c r="B38" s="20" t="n">
        <v>30000</v>
      </c>
    </row>
    <row r="40" customFormat="false" ht="15" hidden="false" customHeight="true" outlineLevel="0" collapsed="false">
      <c r="A40" s="16" t="s">
        <v>108</v>
      </c>
      <c r="B40" s="17"/>
      <c r="C40" s="17"/>
      <c r="D40" s="17"/>
      <c r="E40" s="17"/>
      <c r="F40" s="17"/>
    </row>
    <row r="41" customFormat="false" ht="15" hidden="false" customHeight="true" outlineLevel="0" collapsed="false">
      <c r="A41" s="23" t="s">
        <v>109</v>
      </c>
      <c r="B41" s="23" t="s">
        <v>110</v>
      </c>
      <c r="C41" s="23" t="s">
        <v>111</v>
      </c>
      <c r="D41" s="23" t="s">
        <v>112</v>
      </c>
      <c r="E41" s="23" t="s">
        <v>113</v>
      </c>
      <c r="F41" s="23" t="s">
        <v>114</v>
      </c>
    </row>
    <row r="42" customFormat="false" ht="15" hidden="false" customHeight="true" outlineLevel="0" collapsed="false">
      <c r="A42" s="18" t="s">
        <v>115</v>
      </c>
      <c r="B42" s="19" t="n">
        <v>0.7</v>
      </c>
      <c r="C42" s="19" t="n">
        <v>0.15</v>
      </c>
      <c r="D42" s="19" t="n">
        <v>0.08</v>
      </c>
      <c r="E42" s="19" t="n">
        <v>0.04</v>
      </c>
      <c r="F42" s="19" t="n">
        <v>0.03</v>
      </c>
    </row>
    <row r="44" customFormat="false" ht="15" hidden="false" customHeight="true" outlineLevel="0" collapsed="false">
      <c r="A44" s="16" t="s">
        <v>116</v>
      </c>
      <c r="B44" s="17"/>
      <c r="C44" s="17"/>
      <c r="D44" s="17"/>
    </row>
    <row r="45" customFormat="false" ht="15" hidden="false" customHeight="true" outlineLevel="0" collapsed="false">
      <c r="A45" s="23" t="s">
        <v>117</v>
      </c>
      <c r="B45" s="23" t="s">
        <v>118</v>
      </c>
      <c r="C45" s="23" t="s">
        <v>119</v>
      </c>
      <c r="D45" s="23" t="s">
        <v>120</v>
      </c>
    </row>
    <row r="46" customFormat="false" ht="15" hidden="false" customHeight="true" outlineLevel="0" collapsed="false">
      <c r="A46" s="18" t="s">
        <v>121</v>
      </c>
      <c r="B46" s="24" t="n">
        <v>0.5</v>
      </c>
      <c r="C46" s="19" t="n">
        <v>-0.02</v>
      </c>
      <c r="D46" s="24" t="n">
        <v>1.04</v>
      </c>
    </row>
    <row r="47" customFormat="false" ht="15" hidden="false" customHeight="true" outlineLevel="0" collapsed="false">
      <c r="A47" s="18" t="s">
        <v>122</v>
      </c>
      <c r="B47" s="24" t="n">
        <v>1</v>
      </c>
      <c r="C47" s="19" t="n">
        <v>0</v>
      </c>
      <c r="D47" s="24" t="n">
        <v>1</v>
      </c>
    </row>
    <row r="48" customFormat="false" ht="15" hidden="false" customHeight="true" outlineLevel="0" collapsed="false">
      <c r="A48" s="18" t="s">
        <v>123</v>
      </c>
      <c r="B48" s="24" t="n">
        <v>1.5</v>
      </c>
      <c r="C48" s="19" t="n">
        <v>0.015</v>
      </c>
      <c r="D48" s="24" t="n">
        <v>0.97</v>
      </c>
    </row>
    <row r="50" customFormat="false" ht="15" hidden="false" customHeight="true" outlineLevel="0" collapsed="false">
      <c r="A50" s="16" t="s">
        <v>124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</row>
    <row r="51" customFormat="false" ht="23.25" hidden="false" customHeight="true" outlineLevel="0" collapsed="false">
      <c r="A51" s="25" t="s">
        <v>125</v>
      </c>
      <c r="B51" s="25" t="s">
        <v>126</v>
      </c>
      <c r="C51" s="25" t="s">
        <v>127</v>
      </c>
      <c r="D51" s="25" t="s">
        <v>128</v>
      </c>
      <c r="E51" s="25" t="s">
        <v>129</v>
      </c>
      <c r="F51" s="25" t="s">
        <v>130</v>
      </c>
      <c r="G51" s="25" t="s">
        <v>131</v>
      </c>
      <c r="H51" s="25" t="s">
        <v>132</v>
      </c>
      <c r="I51" s="25" t="s">
        <v>133</v>
      </c>
      <c r="J51" s="25" t="s">
        <v>134</v>
      </c>
      <c r="K51" s="25" t="s">
        <v>135</v>
      </c>
      <c r="L51" s="25" t="s">
        <v>136</v>
      </c>
      <c r="M51" s="25" t="s">
        <v>137</v>
      </c>
      <c r="N51" s="25" t="s">
        <v>138</v>
      </c>
      <c r="O51" s="25" t="s">
        <v>139</v>
      </c>
      <c r="P51" s="25" t="s">
        <v>140</v>
      </c>
    </row>
    <row r="52" customFormat="false" ht="15" hidden="false" customHeight="true" outlineLevel="0" collapsed="false">
      <c r="A52" s="26" t="s">
        <v>141</v>
      </c>
      <c r="B52" s="19" t="n">
        <v>0.3</v>
      </c>
      <c r="C52" s="19" t="n">
        <v>0.3</v>
      </c>
      <c r="D52" s="19" t="n">
        <v>0.3</v>
      </c>
      <c r="E52" s="19" t="n">
        <v>0.3973</v>
      </c>
      <c r="F52" s="19" t="n">
        <v>0.08</v>
      </c>
      <c r="G52" s="19" t="n">
        <v>0.015</v>
      </c>
      <c r="H52" s="19" t="n">
        <v>0.04</v>
      </c>
      <c r="I52" s="19" t="n">
        <v>0.02</v>
      </c>
      <c r="J52" s="20" t="n">
        <v>2000</v>
      </c>
      <c r="K52" s="19" t="n">
        <v>0.045</v>
      </c>
      <c r="L52" s="27" t="n">
        <v>25</v>
      </c>
      <c r="M52" s="27" t="n">
        <v>25</v>
      </c>
      <c r="N52" s="27" t="n">
        <v>25</v>
      </c>
      <c r="O52" s="27" t="n">
        <v>50</v>
      </c>
      <c r="P52" s="27" t="n">
        <v>40</v>
      </c>
    </row>
    <row r="53" customFormat="false" ht="15" hidden="false" customHeight="true" outlineLevel="0" collapsed="false">
      <c r="A53" s="26" t="s">
        <v>142</v>
      </c>
      <c r="B53" s="19" t="n">
        <v>0.38</v>
      </c>
      <c r="C53" s="19" t="n">
        <v>0.34</v>
      </c>
      <c r="D53" s="19" t="n">
        <v>0.32</v>
      </c>
      <c r="E53" s="19" t="n">
        <v>0.3441</v>
      </c>
      <c r="F53" s="19" t="n">
        <v>0.05</v>
      </c>
      <c r="G53" s="19" t="n">
        <v>0.02</v>
      </c>
      <c r="H53" s="19" t="n">
        <v>0.035</v>
      </c>
      <c r="I53" s="19" t="n">
        <v>0.02</v>
      </c>
      <c r="J53" s="20" t="n">
        <v>3000</v>
      </c>
      <c r="K53" s="19" t="n">
        <v>0.045</v>
      </c>
      <c r="L53" s="27" t="n">
        <v>8</v>
      </c>
      <c r="M53" s="27" t="n">
        <v>12</v>
      </c>
      <c r="N53" s="27" t="n">
        <v>18</v>
      </c>
      <c r="O53" s="27" t="n">
        <v>55</v>
      </c>
      <c r="P53" s="27" t="n">
        <v>45</v>
      </c>
    </row>
    <row r="54" customFormat="false" ht="15" hidden="false" customHeight="true" outlineLevel="0" collapsed="false">
      <c r="A54" s="26" t="s">
        <v>143</v>
      </c>
      <c r="B54" s="19" t="n">
        <v>0.42</v>
      </c>
      <c r="C54" s="19" t="n">
        <v>0.42</v>
      </c>
      <c r="D54" s="19" t="n">
        <v>0.42</v>
      </c>
      <c r="E54" s="19" t="n">
        <v>0.3941</v>
      </c>
      <c r="F54" s="19" t="n">
        <v>0.1</v>
      </c>
      <c r="G54" s="19" t="n">
        <v>0.025</v>
      </c>
      <c r="H54" s="19" t="n">
        <v>0.02</v>
      </c>
      <c r="I54" s="19" t="n">
        <v>0.025</v>
      </c>
      <c r="J54" s="20" t="n">
        <v>1000</v>
      </c>
      <c r="K54" s="19" t="n">
        <v>0.045</v>
      </c>
      <c r="L54" s="27" t="n">
        <v>45</v>
      </c>
      <c r="M54" s="27" t="n">
        <v>50</v>
      </c>
      <c r="N54" s="27" t="n">
        <v>55</v>
      </c>
      <c r="O54" s="27" t="n">
        <v>45</v>
      </c>
      <c r="P54" s="27" t="n">
        <v>30</v>
      </c>
    </row>
    <row r="55" customFormat="false" ht="15" hidden="false" customHeight="true" outlineLevel="0" collapsed="false">
      <c r="A55" s="26" t="s">
        <v>144</v>
      </c>
      <c r="B55" s="19" t="n">
        <v>0.46</v>
      </c>
      <c r="C55" s="19" t="n">
        <v>0.46</v>
      </c>
      <c r="D55" s="19" t="n">
        <v>0.47</v>
      </c>
      <c r="E55" s="19" t="n">
        <v>0.2432</v>
      </c>
      <c r="F55" s="19" t="n">
        <v>0.09</v>
      </c>
      <c r="G55" s="19" t="n">
        <v>0.02</v>
      </c>
      <c r="H55" s="19" t="n">
        <v>0.015</v>
      </c>
      <c r="I55" s="19" t="n">
        <v>0.02</v>
      </c>
      <c r="J55" s="20" t="n">
        <v>2500</v>
      </c>
      <c r="K55" s="19" t="n">
        <v>0.045</v>
      </c>
      <c r="L55" s="27" t="n">
        <v>15</v>
      </c>
      <c r="M55" s="27" t="n">
        <v>15</v>
      </c>
      <c r="N55" s="27" t="n">
        <v>15</v>
      </c>
      <c r="O55" s="27" t="n">
        <v>40</v>
      </c>
      <c r="P55" s="27" t="n">
        <v>35</v>
      </c>
    </row>
    <row r="56" customFormat="false" ht="15" hidden="false" customHeight="true" outlineLevel="0" collapsed="false">
      <c r="A56" s="26" t="s">
        <v>145</v>
      </c>
      <c r="B56" s="19" t="n">
        <v>0.52</v>
      </c>
      <c r="C56" s="19" t="n">
        <v>0.53</v>
      </c>
      <c r="D56" s="19" t="n">
        <v>0.53</v>
      </c>
      <c r="E56" s="19" t="n">
        <v>0.3148</v>
      </c>
      <c r="F56" s="19" t="n">
        <v>0.07</v>
      </c>
      <c r="G56" s="19" t="n">
        <v>0.03</v>
      </c>
      <c r="H56" s="19" t="n">
        <v>0.025</v>
      </c>
      <c r="I56" s="19" t="n">
        <v>0.02</v>
      </c>
      <c r="J56" s="20" t="n">
        <v>3000</v>
      </c>
      <c r="K56" s="19" t="n">
        <v>0.045</v>
      </c>
      <c r="L56" s="27" t="n">
        <v>30</v>
      </c>
      <c r="M56" s="27" t="n">
        <v>32</v>
      </c>
      <c r="N56" s="27" t="n">
        <v>35</v>
      </c>
      <c r="O56" s="27" t="n">
        <v>60</v>
      </c>
      <c r="P56" s="27" t="n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8" min="3" style="1" width="11"/>
    <col collapsed="false" customWidth="true" hidden="false" outlineLevel="0" max="42" min="40" style="1" width="13"/>
  </cols>
  <sheetData>
    <row r="1" customFormat="false" ht="15.75" hidden="false" customHeight="true" outlineLevel="0" collapsed="false">
      <c r="A1" s="28" t="s">
        <v>146</v>
      </c>
    </row>
    <row r="2" customFormat="false" ht="15" hidden="false" customHeight="true" outlineLevel="0" collapsed="false">
      <c r="A2" s="23" t="s">
        <v>147</v>
      </c>
      <c r="C2" s="29" t="s">
        <v>148</v>
      </c>
      <c r="D2" s="29" t="s">
        <v>149</v>
      </c>
      <c r="E2" s="29" t="s">
        <v>150</v>
      </c>
      <c r="F2" s="29" t="s">
        <v>151</v>
      </c>
      <c r="G2" s="29" t="s">
        <v>152</v>
      </c>
      <c r="H2" s="29" t="s">
        <v>153</v>
      </c>
      <c r="I2" s="29" t="s">
        <v>154</v>
      </c>
      <c r="J2" s="29" t="s">
        <v>155</v>
      </c>
      <c r="K2" s="29" t="s">
        <v>156</v>
      </c>
      <c r="L2" s="29" t="s">
        <v>157</v>
      </c>
      <c r="M2" s="29" t="s">
        <v>158</v>
      </c>
      <c r="N2" s="29" t="s">
        <v>159</v>
      </c>
      <c r="O2" s="29" t="s">
        <v>160</v>
      </c>
      <c r="P2" s="29" t="s">
        <v>161</v>
      </c>
      <c r="Q2" s="29" t="s">
        <v>162</v>
      </c>
      <c r="R2" s="29" t="s">
        <v>163</v>
      </c>
      <c r="S2" s="29" t="s">
        <v>164</v>
      </c>
      <c r="T2" s="29" t="s">
        <v>165</v>
      </c>
      <c r="U2" s="29" t="s">
        <v>166</v>
      </c>
      <c r="V2" s="29" t="s">
        <v>167</v>
      </c>
      <c r="W2" s="29" t="s">
        <v>168</v>
      </c>
      <c r="X2" s="29" t="s">
        <v>169</v>
      </c>
      <c r="Y2" s="29" t="s">
        <v>170</v>
      </c>
      <c r="Z2" s="29" t="s">
        <v>171</v>
      </c>
      <c r="AA2" s="29" t="s">
        <v>172</v>
      </c>
      <c r="AB2" s="29" t="s">
        <v>173</v>
      </c>
      <c r="AC2" s="29" t="s">
        <v>174</v>
      </c>
      <c r="AD2" s="29" t="s">
        <v>175</v>
      </c>
      <c r="AE2" s="29" t="s">
        <v>176</v>
      </c>
      <c r="AF2" s="29" t="s">
        <v>177</v>
      </c>
      <c r="AG2" s="29" t="s">
        <v>178</v>
      </c>
      <c r="AH2" s="29" t="s">
        <v>179</v>
      </c>
      <c r="AI2" s="29" t="s">
        <v>180</v>
      </c>
      <c r="AJ2" s="29" t="s">
        <v>181</v>
      </c>
      <c r="AK2" s="29" t="s">
        <v>182</v>
      </c>
      <c r="AL2" s="29" t="s">
        <v>183</v>
      </c>
      <c r="AN2" s="30" t="s">
        <v>184</v>
      </c>
      <c r="AO2" s="30" t="s">
        <v>185</v>
      </c>
      <c r="AP2" s="30" t="s">
        <v>186</v>
      </c>
    </row>
    <row r="3" customFormat="false" ht="15" hidden="false" customHeight="true" outlineLevel="0" collapsed="false">
      <c r="A3" s="23"/>
      <c r="C3" s="29" t="n">
        <v>2025</v>
      </c>
      <c r="D3" s="29" t="n">
        <v>2025</v>
      </c>
      <c r="E3" s="29" t="n">
        <v>2025</v>
      </c>
      <c r="F3" s="29" t="n">
        <v>2025</v>
      </c>
      <c r="G3" s="29" t="n">
        <v>2025</v>
      </c>
      <c r="H3" s="29" t="n">
        <v>2025</v>
      </c>
      <c r="I3" s="29" t="n">
        <v>2025</v>
      </c>
      <c r="J3" s="29" t="n">
        <v>2025</v>
      </c>
      <c r="K3" s="29" t="n">
        <v>2025</v>
      </c>
      <c r="L3" s="29" t="n">
        <v>2025</v>
      </c>
      <c r="M3" s="29" t="n">
        <v>2025</v>
      </c>
      <c r="N3" s="29" t="n">
        <v>2025</v>
      </c>
      <c r="O3" s="29" t="n">
        <v>2026</v>
      </c>
      <c r="P3" s="29" t="n">
        <v>2026</v>
      </c>
      <c r="Q3" s="29" t="n">
        <v>2026</v>
      </c>
      <c r="R3" s="29" t="n">
        <v>2026</v>
      </c>
      <c r="S3" s="29" t="n">
        <v>2026</v>
      </c>
      <c r="T3" s="29" t="n">
        <v>2026</v>
      </c>
      <c r="U3" s="29" t="n">
        <v>2026</v>
      </c>
      <c r="V3" s="29" t="n">
        <v>2026</v>
      </c>
      <c r="W3" s="29" t="n">
        <v>2026</v>
      </c>
      <c r="X3" s="29" t="n">
        <v>2026</v>
      </c>
      <c r="Y3" s="29" t="n">
        <v>2026</v>
      </c>
      <c r="Z3" s="29" t="n">
        <v>2026</v>
      </c>
      <c r="AA3" s="29" t="n">
        <v>2027</v>
      </c>
      <c r="AB3" s="29" t="n">
        <v>2027</v>
      </c>
      <c r="AC3" s="29" t="n">
        <v>2027</v>
      </c>
      <c r="AD3" s="29" t="n">
        <v>2027</v>
      </c>
      <c r="AE3" s="29" t="n">
        <v>2027</v>
      </c>
      <c r="AF3" s="29" t="n">
        <v>2027</v>
      </c>
      <c r="AG3" s="29" t="n">
        <v>2027</v>
      </c>
      <c r="AH3" s="29" t="n">
        <v>2027</v>
      </c>
      <c r="AI3" s="29" t="n">
        <v>2027</v>
      </c>
      <c r="AJ3" s="29" t="n">
        <v>2027</v>
      </c>
      <c r="AK3" s="29" t="n">
        <v>2027</v>
      </c>
      <c r="AL3" s="29" t="n">
        <v>2027</v>
      </c>
      <c r="AN3" s="23" t="s">
        <v>187</v>
      </c>
      <c r="AO3" s="23" t="s">
        <v>187</v>
      </c>
      <c r="AP3" s="23" t="s">
        <v>187</v>
      </c>
    </row>
    <row r="4" customFormat="false" ht="15" hidden="false" customHeight="true" outlineLevel="0" collapsed="false">
      <c r="A4" s="16" t="s">
        <v>188</v>
      </c>
      <c r="B4" s="17"/>
      <c r="C4" s="31" t="n">
        <f aca="false">SUMIFS(DRE_por_UN!$F:$F,DRE_por_UN!$C:$C,C$2)</f>
        <v>261382.1</v>
      </c>
      <c r="D4" s="31" t="n">
        <f aca="false">SUMIFS(DRE_por_UN!$F:$F,DRE_por_UN!$C:$C,D$2)</f>
        <v>250904.51</v>
      </c>
      <c r="E4" s="31" t="n">
        <f aca="false">SUMIFS(DRE_por_UN!$F:$F,DRE_por_UN!$C:$C,E$2)</f>
        <v>277234.2</v>
      </c>
      <c r="F4" s="31" t="n">
        <f aca="false">SUMIFS(DRE_por_UN!$F:$F,DRE_por_UN!$C:$C,F$2)</f>
        <v>280943.75</v>
      </c>
      <c r="G4" s="31" t="n">
        <f aca="false">SUMIFS(DRE_por_UN!$F:$F,DRE_por_UN!$C:$C,G$2)</f>
        <v>285858.47</v>
      </c>
      <c r="H4" s="31" t="n">
        <f aca="false">SUMIFS(DRE_por_UN!$F:$F,DRE_por_UN!$C:$C,H$2)</f>
        <v>311626.4</v>
      </c>
      <c r="I4" s="31" t="n">
        <f aca="false">SUMIFS(DRE_por_UN!$F:$F,DRE_por_UN!$C:$C,I$2)</f>
        <v>314185.58</v>
      </c>
      <c r="J4" s="31" t="n">
        <f aca="false">SUMIFS(DRE_por_UN!$F:$F,DRE_por_UN!$C:$C,J$2)</f>
        <v>276259.76</v>
      </c>
      <c r="K4" s="31" t="n">
        <f aca="false">SUMIFS(DRE_por_UN!$F:$F,DRE_por_UN!$C:$C,K$2)</f>
        <v>285962.46</v>
      </c>
      <c r="L4" s="31" t="n">
        <f aca="false">SUMIFS(DRE_por_UN!$F:$F,DRE_por_UN!$C:$C,L$2)</f>
        <v>299946.78</v>
      </c>
      <c r="M4" s="31" t="n">
        <f aca="false">SUMIFS(DRE_por_UN!$F:$F,DRE_por_UN!$C:$C,M$2)</f>
        <v>356208.14</v>
      </c>
      <c r="N4" s="31" t="n">
        <f aca="false">SUMIFS(DRE_por_UN!$F:$F,DRE_por_UN!$C:$C,N$2)</f>
        <v>374250.54</v>
      </c>
      <c r="O4" s="31" t="n">
        <f aca="false">SUMIFS(DRE_por_UN!$F:$F,DRE_por_UN!$C:$C,O$2)</f>
        <v>274304.23</v>
      </c>
      <c r="P4" s="31" t="n">
        <f aca="false">SUMIFS(DRE_por_UN!$F:$F,DRE_por_UN!$C:$C,P$2)</f>
        <v>215905.8</v>
      </c>
      <c r="Q4" s="31" t="n">
        <f aca="false">SUMIFS(DRE_por_UN!$F:$F,DRE_por_UN!$C:$C,Q$2)</f>
        <v>292644.03</v>
      </c>
      <c r="R4" s="31" t="n">
        <f aca="false">SUMIFS(DRE_por_UN!$F:$F,DRE_por_UN!$C:$C,R$2)</f>
        <v>261565.19</v>
      </c>
      <c r="S4" s="31" t="n">
        <f aca="false">SUMIFS(DRE_por_UN!$F:$F,DRE_por_UN!$C:$C,S$2)</f>
        <v>340145.17</v>
      </c>
      <c r="T4" s="31" t="n">
        <f aca="false">SUMIFS(DRE_por_UN!$F:$F,DRE_por_UN!$C:$C,T$2)</f>
        <v>323173.51</v>
      </c>
      <c r="U4" s="31" t="n">
        <f aca="false">SUMIFS(DRE_por_UN!$F:$F,DRE_por_UN!$C:$C,U$2)</f>
        <v>349170.64</v>
      </c>
      <c r="V4" s="31" t="n">
        <f aca="false">SUMIFS(DRE_por_UN!$F:$F,DRE_por_UN!$C:$C,V$2)</f>
        <v>323651.36</v>
      </c>
      <c r="W4" s="31" t="n">
        <f aca="false">SUMIFS(DRE_por_UN!$F:$F,DRE_por_UN!$C:$C,W$2)</f>
        <v>322444.6</v>
      </c>
      <c r="X4" s="31" t="n">
        <f aca="false">SUMIFS(DRE_por_UN!$F:$F,DRE_por_UN!$C:$C,X$2)</f>
        <v>291366.8</v>
      </c>
      <c r="Y4" s="31" t="n">
        <f aca="false">SUMIFS(DRE_por_UN!$F:$F,DRE_por_UN!$C:$C,Y$2)</f>
        <v>370744.2</v>
      </c>
      <c r="Z4" s="31" t="n">
        <f aca="false">SUMIFS(DRE_por_UN!$F:$F,DRE_por_UN!$C:$C,Z$2)</f>
        <v>398263.15</v>
      </c>
      <c r="AA4" s="31" t="n">
        <f aca="false">SUMIFS(DRE_por_UN!$F:$F,DRE_por_UN!$C:$C,AA$2)</f>
        <v>294243.6749</v>
      </c>
      <c r="AB4" s="31" t="n">
        <f aca="false">SUMIFS(DRE_por_UN!$F:$F,DRE_por_UN!$C:$C,AB$2)</f>
        <v>231083.9623</v>
      </c>
      <c r="AC4" s="31" t="n">
        <f aca="false">SUMIFS(DRE_por_UN!$F:$F,DRE_por_UN!$C:$C,AC$2)</f>
        <v>312976.6366</v>
      </c>
      <c r="AD4" s="31" t="n">
        <f aca="false">SUMIFS(DRE_por_UN!$F:$F,DRE_por_UN!$C:$C,AD$2)</f>
        <v>280393.3154</v>
      </c>
      <c r="AE4" s="31" t="n">
        <f aca="false">SUMIFS(DRE_por_UN!$F:$F,DRE_por_UN!$C:$C,AE$2)</f>
        <v>365041.0414</v>
      </c>
      <c r="AF4" s="31" t="n">
        <f aca="false">SUMIFS(DRE_por_UN!$F:$F,DRE_por_UN!$C:$C,AF$2)</f>
        <v>346635.3564</v>
      </c>
      <c r="AG4" s="31" t="n">
        <f aca="false">SUMIFS(DRE_por_UN!$F:$F,DRE_por_UN!$C:$C,AG$2)</f>
        <v>374119.6838</v>
      </c>
      <c r="AH4" s="31" t="n">
        <f aca="false">SUMIFS(DRE_por_UN!$F:$F,DRE_por_UN!$C:$C,AH$2)</f>
        <v>347007.5371</v>
      </c>
      <c r="AI4" s="31" t="n">
        <f aca="false">SUMIFS(DRE_por_UN!$F:$F,DRE_por_UN!$C:$C,AI$2)</f>
        <v>345213.6096</v>
      </c>
      <c r="AJ4" s="31" t="n">
        <f aca="false">SUMIFS(DRE_por_UN!$F:$F,DRE_por_UN!$C:$C,AJ$2)</f>
        <v>312518.8364</v>
      </c>
      <c r="AK4" s="31" t="n">
        <f aca="false">SUMIFS(DRE_por_UN!$F:$F,DRE_por_UN!$C:$C,AK$2)</f>
        <v>397027.9575</v>
      </c>
      <c r="AL4" s="31" t="n">
        <f aca="false">SUMIFS(DRE_por_UN!$F:$F,DRE_por_UN!$C:$C,AL$2)</f>
        <v>426285.1544</v>
      </c>
      <c r="AM4" s="17"/>
      <c r="AN4" s="31" t="n">
        <f aca="false">SUMIF($C$3:$AL$3,2025,$C4:$AL4)</f>
        <v>3574762.69</v>
      </c>
      <c r="AO4" s="31" t="n">
        <f aca="false">SUMIF($C$3:$AL$3,2026,$C4:$AL4)</f>
        <v>3763378.68</v>
      </c>
      <c r="AP4" s="31" t="n">
        <f aca="false">SUMIF($C$3:$AL$3,2027,$C4:$AL4)</f>
        <v>4032546.7658</v>
      </c>
    </row>
    <row r="5" customFormat="false" ht="15" hidden="false" customHeight="true" outlineLevel="0" collapsed="false">
      <c r="A5" s="32" t="s">
        <v>189</v>
      </c>
      <c r="C5" s="33" t="n">
        <f aca="false">-SUMIFS(DRE_por_UN!$G:$G,DRE_por_UN!$C:$C,C$2)</f>
        <v>-86466.46</v>
      </c>
      <c r="D5" s="33" t="n">
        <f aca="false">-SUMIFS(DRE_por_UN!$G:$G,DRE_por_UN!$C:$C,D$2)</f>
        <v>-80445.58</v>
      </c>
      <c r="E5" s="33" t="n">
        <f aca="false">-SUMIFS(DRE_por_UN!$G:$G,DRE_por_UN!$C:$C,E$2)</f>
        <v>-90609.13</v>
      </c>
      <c r="F5" s="33" t="n">
        <f aca="false">-SUMIFS(DRE_por_UN!$G:$G,DRE_por_UN!$C:$C,F$2)</f>
        <v>-89539.31</v>
      </c>
      <c r="G5" s="33" t="n">
        <f aca="false">-SUMIFS(DRE_por_UN!$G:$G,DRE_por_UN!$C:$C,G$2)</f>
        <v>-92063.98</v>
      </c>
      <c r="H5" s="33" t="n">
        <f aca="false">-SUMIFS(DRE_por_UN!$G:$G,DRE_por_UN!$C:$C,H$2)</f>
        <v>-101067.89</v>
      </c>
      <c r="I5" s="33" t="n">
        <f aca="false">-SUMIFS(DRE_por_UN!$G:$G,DRE_por_UN!$C:$C,I$2)</f>
        <v>-100997.11</v>
      </c>
      <c r="J5" s="33" t="n">
        <f aca="false">-SUMIFS(DRE_por_UN!$G:$G,DRE_por_UN!$C:$C,J$2)</f>
        <v>-88389.26</v>
      </c>
      <c r="K5" s="33" t="n">
        <f aca="false">-SUMIFS(DRE_por_UN!$G:$G,DRE_por_UN!$C:$C,K$2)</f>
        <v>-95648.4</v>
      </c>
      <c r="L5" s="33" t="n">
        <f aca="false">-SUMIFS(DRE_por_UN!$G:$G,DRE_por_UN!$C:$C,L$2)</f>
        <v>-93922.68</v>
      </c>
      <c r="M5" s="33" t="n">
        <f aca="false">-SUMIFS(DRE_por_UN!$G:$G,DRE_por_UN!$C:$C,M$2)</f>
        <v>-116318.7</v>
      </c>
      <c r="N5" s="33" t="n">
        <f aca="false">-SUMIFS(DRE_por_UN!$G:$G,DRE_por_UN!$C:$C,N$2)</f>
        <v>-120916.17</v>
      </c>
      <c r="O5" s="33" t="n">
        <f aca="false">-SUMIFS(DRE_por_UN!$G:$G,DRE_por_UN!$C:$C,O$2)</f>
        <v>-92274.9</v>
      </c>
      <c r="P5" s="33" t="n">
        <f aca="false">-SUMIFS(DRE_por_UN!$G:$G,DRE_por_UN!$C:$C,P$2)</f>
        <v>-69406.47</v>
      </c>
      <c r="Q5" s="33" t="n">
        <f aca="false">-SUMIFS(DRE_por_UN!$G:$G,DRE_por_UN!$C:$C,Q$2)</f>
        <v>-94643.94</v>
      </c>
      <c r="R5" s="33" t="n">
        <f aca="false">-SUMIFS(DRE_por_UN!$G:$G,DRE_por_UN!$C:$C,R$2)</f>
        <v>-82680.89</v>
      </c>
      <c r="S5" s="33" t="n">
        <f aca="false">-SUMIFS(DRE_por_UN!$G:$G,DRE_por_UN!$C:$C,S$2)</f>
        <v>-107782.02</v>
      </c>
      <c r="T5" s="33" t="n">
        <f aca="false">-SUMIFS(DRE_por_UN!$G:$G,DRE_por_UN!$C:$C,T$2)</f>
        <v>-99930.72</v>
      </c>
      <c r="U5" s="33" t="n">
        <f aca="false">-SUMIFS(DRE_por_UN!$G:$G,DRE_por_UN!$C:$C,U$2)</f>
        <v>-112519.53</v>
      </c>
      <c r="V5" s="33" t="n">
        <f aca="false">-SUMIFS(DRE_por_UN!$G:$G,DRE_por_UN!$C:$C,V$2)</f>
        <v>-104983.27</v>
      </c>
      <c r="W5" s="33" t="n">
        <f aca="false">-SUMIFS(DRE_por_UN!$G:$G,DRE_por_UN!$C:$C,W$2)</f>
        <v>-104980.62</v>
      </c>
      <c r="X5" s="33" t="n">
        <f aca="false">-SUMIFS(DRE_por_UN!$G:$G,DRE_por_UN!$C:$C,X$2)</f>
        <v>-92291.64</v>
      </c>
      <c r="Y5" s="33" t="n">
        <f aca="false">-SUMIFS(DRE_por_UN!$G:$G,DRE_por_UN!$C:$C,Y$2)</f>
        <v>-117860.18</v>
      </c>
      <c r="Z5" s="33" t="n">
        <f aca="false">-SUMIFS(DRE_por_UN!$G:$G,DRE_por_UN!$C:$C,Z$2)</f>
        <v>-127477</v>
      </c>
      <c r="AA5" s="33" t="n">
        <f aca="false">-SUMIFS(DRE_por_UN!$G:$G,DRE_por_UN!$C:$C,AA$2)</f>
        <v>-96505.8984111</v>
      </c>
      <c r="AB5" s="33" t="n">
        <f aca="false">-SUMIFS(DRE_por_UN!$G:$G,DRE_por_UN!$C:$C,AB$2)</f>
        <v>-74670.22530341</v>
      </c>
      <c r="AC5" s="33" t="n">
        <f aca="false">-SUMIFS(DRE_por_UN!$G:$G,DRE_por_UN!$C:$C,AC$2)</f>
        <v>-102103.32401364</v>
      </c>
      <c r="AD5" s="33" t="n">
        <f aca="false">-SUMIFS(DRE_por_UN!$G:$G,DRE_por_UN!$C:$C,AD$2)</f>
        <v>-89246.76237892</v>
      </c>
      <c r="AE5" s="33" t="n">
        <f aca="false">-SUMIFS(DRE_por_UN!$G:$G,DRE_por_UN!$C:$C,AE$2)</f>
        <v>-119957.28036852</v>
      </c>
      <c r="AF5" s="33" t="n">
        <f aca="false">-SUMIFS(DRE_por_UN!$G:$G,DRE_por_UN!$C:$C,AF$2)</f>
        <v>-112522.03098158</v>
      </c>
      <c r="AG5" s="33" t="n">
        <f aca="false">-SUMIFS(DRE_por_UN!$G:$G,DRE_por_UN!$C:$C,AG$2)</f>
        <v>-120731.31203171</v>
      </c>
      <c r="AH5" s="33" t="n">
        <f aca="false">-SUMIFS(DRE_por_UN!$G:$G,DRE_por_UN!$C:$C,AH$2)</f>
        <v>-112562.95979302</v>
      </c>
      <c r="AI5" s="33" t="n">
        <f aca="false">-SUMIFS(DRE_por_UN!$G:$G,DRE_por_UN!$C:$C,AI$2)</f>
        <v>-112698.54692371</v>
      </c>
      <c r="AJ5" s="33" t="n">
        <f aca="false">-SUMIFS(DRE_por_UN!$G:$G,DRE_por_UN!$C:$C,AJ$2)</f>
        <v>-102530.22363804</v>
      </c>
      <c r="AK5" s="33" t="n">
        <f aca="false">-SUMIFS(DRE_por_UN!$G:$G,DRE_por_UN!$C:$C,AK$2)</f>
        <v>-129693.85412307</v>
      </c>
      <c r="AL5" s="33" t="n">
        <f aca="false">-SUMIFS(DRE_por_UN!$G:$G,DRE_por_UN!$C:$C,AL$2)</f>
        <v>-138084.05303965</v>
      </c>
      <c r="AN5" s="33" t="n">
        <f aca="false">SUMIF($C$3:$AL$3,2025,$C5:$AL5)</f>
        <v>-1156384.67</v>
      </c>
      <c r="AO5" s="33" t="n">
        <f aca="false">SUMIF($C$3:$AL$3,2026,$C5:$AL5)</f>
        <v>-1206831.18</v>
      </c>
      <c r="AP5" s="33" t="n">
        <f aca="false">SUMIF($C$3:$AL$3,2027,$C5:$AL5)</f>
        <v>-1311306.47100637</v>
      </c>
    </row>
    <row r="6" customFormat="false" ht="15" hidden="false" customHeight="true" outlineLevel="0" collapsed="false">
      <c r="A6" s="16" t="s">
        <v>190</v>
      </c>
      <c r="B6" s="17"/>
      <c r="C6" s="31" t="n">
        <f aca="false">C4+C5</f>
        <v>174915.64</v>
      </c>
      <c r="D6" s="31" t="n">
        <f aca="false">D4+D5</f>
        <v>170458.93</v>
      </c>
      <c r="E6" s="31" t="n">
        <f aca="false">E4+E5</f>
        <v>186625.07</v>
      </c>
      <c r="F6" s="31" t="n">
        <f aca="false">F4+F5</f>
        <v>191404.44</v>
      </c>
      <c r="G6" s="31" t="n">
        <f aca="false">G4+G5</f>
        <v>193794.49</v>
      </c>
      <c r="H6" s="31" t="n">
        <f aca="false">H4+H5</f>
        <v>210558.51</v>
      </c>
      <c r="I6" s="31" t="n">
        <f aca="false">I4+I5</f>
        <v>213188.47</v>
      </c>
      <c r="J6" s="31" t="n">
        <f aca="false">J4+J5</f>
        <v>187870.5</v>
      </c>
      <c r="K6" s="31" t="n">
        <f aca="false">K4+K5</f>
        <v>190314.06</v>
      </c>
      <c r="L6" s="31" t="n">
        <f aca="false">L4+L5</f>
        <v>206024.1</v>
      </c>
      <c r="M6" s="31" t="n">
        <f aca="false">M4+M5</f>
        <v>239889.44</v>
      </c>
      <c r="N6" s="31" t="n">
        <f aca="false">N4+N5</f>
        <v>253334.37</v>
      </c>
      <c r="O6" s="31" t="n">
        <f aca="false">O4+O5</f>
        <v>182029.33</v>
      </c>
      <c r="P6" s="31" t="n">
        <f aca="false">P4+P5</f>
        <v>146499.33</v>
      </c>
      <c r="Q6" s="31" t="n">
        <f aca="false">Q4+Q5</f>
        <v>198000.09</v>
      </c>
      <c r="R6" s="31" t="n">
        <f aca="false">R4+R5</f>
        <v>178884.3</v>
      </c>
      <c r="S6" s="31" t="n">
        <f aca="false">S4+S5</f>
        <v>232363.15</v>
      </c>
      <c r="T6" s="31" t="n">
        <f aca="false">T4+T5</f>
        <v>223242.79</v>
      </c>
      <c r="U6" s="31" t="n">
        <f aca="false">U4+U5</f>
        <v>236651.11</v>
      </c>
      <c r="V6" s="31" t="n">
        <f aca="false">V4+V5</f>
        <v>218668.09</v>
      </c>
      <c r="W6" s="31" t="n">
        <f aca="false">W4+W5</f>
        <v>217463.98</v>
      </c>
      <c r="X6" s="31" t="n">
        <f aca="false">X4+X5</f>
        <v>199075.16</v>
      </c>
      <c r="Y6" s="31" t="n">
        <f aca="false">Y4+Y5</f>
        <v>252884.02</v>
      </c>
      <c r="Z6" s="31" t="n">
        <f aca="false">Z4+Z5</f>
        <v>270786.15</v>
      </c>
      <c r="AA6" s="31" t="n">
        <f aca="false">AA4+AA5</f>
        <v>197737.7764889</v>
      </c>
      <c r="AB6" s="31" t="n">
        <f aca="false">AB4+AB5</f>
        <v>156413.73699659</v>
      </c>
      <c r="AC6" s="31" t="n">
        <f aca="false">AC4+AC5</f>
        <v>210873.31258636</v>
      </c>
      <c r="AD6" s="31" t="n">
        <f aca="false">AD4+AD5</f>
        <v>191146.55302108</v>
      </c>
      <c r="AE6" s="31" t="n">
        <f aca="false">AE4+AE5</f>
        <v>245083.76103148</v>
      </c>
      <c r="AF6" s="31" t="n">
        <f aca="false">AF4+AF5</f>
        <v>234113.32541842</v>
      </c>
      <c r="AG6" s="31" t="n">
        <f aca="false">AG4+AG5</f>
        <v>253388.37176829</v>
      </c>
      <c r="AH6" s="31" t="n">
        <f aca="false">AH4+AH5</f>
        <v>234444.57730698</v>
      </c>
      <c r="AI6" s="31" t="n">
        <f aca="false">AI4+AI5</f>
        <v>232515.06267629</v>
      </c>
      <c r="AJ6" s="31" t="n">
        <f aca="false">AJ4+AJ5</f>
        <v>209988.61276196</v>
      </c>
      <c r="AK6" s="31" t="n">
        <f aca="false">AK4+AK5</f>
        <v>267334.10337693</v>
      </c>
      <c r="AL6" s="31" t="n">
        <f aca="false">AL4+AL5</f>
        <v>288201.10136035</v>
      </c>
      <c r="AM6" s="17"/>
      <c r="AN6" s="31" t="n">
        <f aca="false">SUMIF($C$3:$AL$3,2025,$C6:$AL6)</f>
        <v>2418378.02</v>
      </c>
      <c r="AO6" s="31" t="n">
        <f aca="false">SUMIF($C$3:$AL$3,2026,$C6:$AL6)</f>
        <v>2556547.5</v>
      </c>
      <c r="AP6" s="31" t="n">
        <f aca="false">SUMIF($C$3:$AL$3,2027,$C6:$AL6)</f>
        <v>2721240.29479363</v>
      </c>
    </row>
    <row r="7" customFormat="false" ht="15" hidden="false" customHeight="true" outlineLevel="0" collapsed="false">
      <c r="A7" s="32" t="s">
        <v>191</v>
      </c>
      <c r="C7" s="33" t="n">
        <f aca="false">-SUMIFS(DRE_por_UN!$J:$J,DRE_por_UN!$C:$C,C$2)</f>
        <v>-97086.387</v>
      </c>
      <c r="D7" s="33" t="n">
        <f aca="false">-SUMIFS(DRE_por_UN!$J:$J,DRE_por_UN!$C:$C,D$2)</f>
        <v>-95557.9162</v>
      </c>
      <c r="E7" s="33" t="n">
        <f aca="false">-SUMIFS(DRE_por_UN!$J:$J,DRE_por_UN!$C:$C,E$2)</f>
        <v>-103385.4736</v>
      </c>
      <c r="F7" s="33" t="n">
        <f aca="false">-SUMIFS(DRE_por_UN!$J:$J,DRE_por_UN!$C:$C,F$2)</f>
        <v>-105861.7292</v>
      </c>
      <c r="G7" s="33" t="n">
        <f aca="false">-SUMIFS(DRE_por_UN!$J:$J,DRE_por_UN!$C:$C,G$2)</f>
        <v>-108114.0098</v>
      </c>
      <c r="H7" s="33" t="n">
        <f aca="false">-SUMIFS(DRE_por_UN!$J:$J,DRE_por_UN!$C:$C,H$2)</f>
        <v>-118057.955</v>
      </c>
      <c r="I7" s="33" t="n">
        <f aca="false">-SUMIFS(DRE_por_UN!$J:$J,DRE_por_UN!$C:$C,I$2)</f>
        <v>-119272.1418</v>
      </c>
      <c r="J7" s="33" t="n">
        <f aca="false">-SUMIFS(DRE_por_UN!$J:$J,DRE_por_UN!$C:$C,J$2)</f>
        <v>-104540.9742</v>
      </c>
      <c r="K7" s="33" t="n">
        <f aca="false">-SUMIFS(DRE_por_UN!$J:$J,DRE_por_UN!$C:$C,K$2)</f>
        <v>-105266.2656</v>
      </c>
      <c r="L7" s="33" t="n">
        <f aca="false">-SUMIFS(DRE_por_UN!$J:$J,DRE_por_UN!$C:$C,L$2)</f>
        <v>-115617.452</v>
      </c>
      <c r="M7" s="33" t="n">
        <f aca="false">-SUMIFS(DRE_por_UN!$J:$J,DRE_por_UN!$C:$C,M$2)</f>
        <v>-132962.0074</v>
      </c>
      <c r="N7" s="33" t="n">
        <f aca="false">-SUMIFS(DRE_por_UN!$J:$J,DRE_por_UN!$C:$C,N$2)</f>
        <v>-140554.5958</v>
      </c>
      <c r="O7" s="33" t="n">
        <f aca="false">-SUMIFS(DRE_por_UN!$J:$J,DRE_por_UN!$C:$C,O$2)</f>
        <v>-101829.1099</v>
      </c>
      <c r="P7" s="33" t="n">
        <f aca="false">-SUMIFS(DRE_por_UN!$J:$J,DRE_por_UN!$C:$C,P$2)</f>
        <v>-80949.9518</v>
      </c>
      <c r="Q7" s="33" t="n">
        <f aca="false">-SUMIFS(DRE_por_UN!$J:$J,DRE_por_UN!$C:$C,Q$2)</f>
        <v>-112035.6074</v>
      </c>
      <c r="R7" s="33" t="n">
        <f aca="false">-SUMIFS(DRE_por_UN!$J:$J,DRE_por_UN!$C:$C,R$2)</f>
        <v>-98814.7019</v>
      </c>
      <c r="S7" s="33" t="n">
        <f aca="false">-SUMIFS(DRE_por_UN!$J:$J,DRE_por_UN!$C:$C,S$2)</f>
        <v>-130992.0827</v>
      </c>
      <c r="T7" s="33" t="n">
        <f aca="false">-SUMIFS(DRE_por_UN!$J:$J,DRE_por_UN!$C:$C,T$2)</f>
        <v>-124901.9721</v>
      </c>
      <c r="U7" s="33" t="n">
        <f aca="false">-SUMIFS(DRE_por_UN!$J:$J,DRE_por_UN!$C:$C,U$2)</f>
        <v>-133549.5122</v>
      </c>
      <c r="V7" s="33" t="n">
        <f aca="false">-SUMIFS(DRE_por_UN!$J:$J,DRE_por_UN!$C:$C,V$2)</f>
        <v>-122972.3428</v>
      </c>
      <c r="W7" s="33" t="n">
        <f aca="false">-SUMIFS(DRE_por_UN!$J:$J,DRE_por_UN!$C:$C,W$2)</f>
        <v>-123895.7531</v>
      </c>
      <c r="X7" s="33" t="n">
        <f aca="false">-SUMIFS(DRE_por_UN!$J:$J,DRE_por_UN!$C:$C,X$2)</f>
        <v>-111369.8236</v>
      </c>
      <c r="Y7" s="33" t="n">
        <f aca="false">-SUMIFS(DRE_por_UN!$J:$J,DRE_por_UN!$C:$C,Y$2)</f>
        <v>-142638.7775</v>
      </c>
      <c r="Z7" s="33" t="n">
        <f aca="false">-SUMIFS(DRE_por_UN!$J:$J,DRE_por_UN!$C:$C,Z$2)</f>
        <v>-152538.3591</v>
      </c>
      <c r="AA7" s="33" t="n">
        <f aca="false">-SUMIFS(DRE_por_UN!$J:$J,DRE_por_UN!$C:$C,AA$2)</f>
        <v>-111134.832440625</v>
      </c>
      <c r="AB7" s="33" t="n">
        <f aca="false">-SUMIFS(DRE_por_UN!$J:$J,DRE_por_UN!$C:$C,AB$2)</f>
        <v>-86769.2282935708</v>
      </c>
      <c r="AC7" s="33" t="n">
        <f aca="false">-SUMIFS(DRE_por_UN!$J:$J,DRE_por_UN!$C:$C,AC$2)</f>
        <v>-119891.025575278</v>
      </c>
      <c r="AD7" s="33" t="n">
        <f aca="false">-SUMIFS(DRE_por_UN!$J:$J,DRE_por_UN!$C:$C,AD$2)</f>
        <v>-105705.992928326</v>
      </c>
      <c r="AE7" s="33" t="n">
        <f aca="false">-SUMIFS(DRE_por_UN!$J:$J,DRE_por_UN!$C:$C,AE$2)</f>
        <v>-138398.37093282</v>
      </c>
      <c r="AF7" s="33" t="n">
        <f aca="false">-SUMIFS(DRE_por_UN!$J:$J,DRE_por_UN!$C:$C,AF$2)</f>
        <v>-131146.107707469</v>
      </c>
      <c r="AG7" s="33" t="n">
        <f aca="false">-SUMIFS(DRE_por_UN!$J:$J,DRE_por_UN!$C:$C,AG$2)</f>
        <v>-143452.736123521</v>
      </c>
      <c r="AH7" s="33" t="n">
        <f aca="false">-SUMIFS(DRE_por_UN!$J:$J,DRE_por_UN!$C:$C,AH$2)</f>
        <v>-132293.066550413</v>
      </c>
      <c r="AI7" s="33" t="n">
        <f aca="false">-SUMIFS(DRE_por_UN!$J:$J,DRE_por_UN!$C:$C,AI$2)</f>
        <v>-133018.146654484</v>
      </c>
      <c r="AJ7" s="33" t="n">
        <f aca="false">-SUMIFS(DRE_por_UN!$J:$J,DRE_por_UN!$C:$C,AJ$2)</f>
        <v>-117744.532221052</v>
      </c>
      <c r="AK7" s="33" t="n">
        <f aca="false">-SUMIFS(DRE_por_UN!$J:$J,DRE_por_UN!$C:$C,AK$2)</f>
        <v>-151188.579855066</v>
      </c>
      <c r="AL7" s="33" t="n">
        <f aca="false">-SUMIFS(DRE_por_UN!$J:$J,DRE_por_UN!$C:$C,AL$2)</f>
        <v>-163050.323435176</v>
      </c>
      <c r="AN7" s="33" t="n">
        <f aca="false">SUMIF($C$3:$AL$3,2025,$C7:$AL7)</f>
        <v>-1346276.9076</v>
      </c>
      <c r="AO7" s="33" t="n">
        <f aca="false">SUMIF($C$3:$AL$3,2026,$C7:$AL7)</f>
        <v>-1436487.9941</v>
      </c>
      <c r="AP7" s="33" t="n">
        <f aca="false">SUMIF($C$3:$AL$3,2027,$C7:$AL7)</f>
        <v>-1533792.9427178</v>
      </c>
    </row>
    <row r="8" customFormat="false" ht="15" hidden="false" customHeight="true" outlineLevel="0" collapsed="false">
      <c r="A8" s="34" t="s">
        <v>192</v>
      </c>
      <c r="B8" s="35"/>
      <c r="C8" s="36" t="n">
        <f aca="false">C6+C7</f>
        <v>77829.253</v>
      </c>
      <c r="D8" s="36" t="n">
        <f aca="false">D6+D7</f>
        <v>74901.0138</v>
      </c>
      <c r="E8" s="36" t="n">
        <f aca="false">E6+E7</f>
        <v>83239.5964</v>
      </c>
      <c r="F8" s="36" t="n">
        <f aca="false">F6+F7</f>
        <v>85542.7108</v>
      </c>
      <c r="G8" s="36" t="n">
        <f aca="false">G6+G7</f>
        <v>85680.4802000001</v>
      </c>
      <c r="H8" s="36" t="n">
        <f aca="false">H6+H7</f>
        <v>92500.555</v>
      </c>
      <c r="I8" s="36" t="n">
        <f aca="false">I6+I7</f>
        <v>93916.3282</v>
      </c>
      <c r="J8" s="36" t="n">
        <f aca="false">J6+J7</f>
        <v>83329.5258</v>
      </c>
      <c r="K8" s="36" t="n">
        <f aca="false">K6+K7</f>
        <v>85047.7944</v>
      </c>
      <c r="L8" s="36" t="n">
        <f aca="false">L6+L7</f>
        <v>90406.648</v>
      </c>
      <c r="M8" s="36" t="n">
        <f aca="false">M6+M7</f>
        <v>106927.4326</v>
      </c>
      <c r="N8" s="36" t="n">
        <f aca="false">N6+N7</f>
        <v>112779.7742</v>
      </c>
      <c r="O8" s="36" t="n">
        <f aca="false">O6+O7</f>
        <v>80200.2201</v>
      </c>
      <c r="P8" s="36" t="n">
        <f aca="false">P6+P7</f>
        <v>65549.3782</v>
      </c>
      <c r="Q8" s="36" t="n">
        <f aca="false">Q6+Q7</f>
        <v>85964.4826</v>
      </c>
      <c r="R8" s="36" t="n">
        <f aca="false">R6+R7</f>
        <v>80069.5981</v>
      </c>
      <c r="S8" s="36" t="n">
        <f aca="false">S6+S7</f>
        <v>101371.0673</v>
      </c>
      <c r="T8" s="36" t="n">
        <f aca="false">T6+T7</f>
        <v>98340.8179</v>
      </c>
      <c r="U8" s="36" t="n">
        <f aca="false">U6+U7</f>
        <v>103101.5978</v>
      </c>
      <c r="V8" s="36" t="n">
        <f aca="false">V6+V7</f>
        <v>95695.7472</v>
      </c>
      <c r="W8" s="36" t="n">
        <f aca="false">W6+W7</f>
        <v>93568.2269</v>
      </c>
      <c r="X8" s="36" t="n">
        <f aca="false">X6+X7</f>
        <v>87705.3364</v>
      </c>
      <c r="Y8" s="36" t="n">
        <f aca="false">Y6+Y7</f>
        <v>110245.2425</v>
      </c>
      <c r="Z8" s="36" t="n">
        <f aca="false">Z6+Z7</f>
        <v>118247.7909</v>
      </c>
      <c r="AA8" s="36" t="n">
        <f aca="false">AA6+AA7</f>
        <v>86602.9440482749</v>
      </c>
      <c r="AB8" s="36" t="n">
        <f aca="false">AB6+AB7</f>
        <v>69644.5087030192</v>
      </c>
      <c r="AC8" s="36" t="n">
        <f aca="false">AC6+AC7</f>
        <v>90982.287011082</v>
      </c>
      <c r="AD8" s="36" t="n">
        <f aca="false">AD6+AD7</f>
        <v>85440.560092754</v>
      </c>
      <c r="AE8" s="36" t="n">
        <f aca="false">AE6+AE7</f>
        <v>106685.39009866</v>
      </c>
      <c r="AF8" s="36" t="n">
        <f aca="false">AF6+AF7</f>
        <v>102967.217710951</v>
      </c>
      <c r="AG8" s="36" t="n">
        <f aca="false">AG6+AG7</f>
        <v>109935.635644769</v>
      </c>
      <c r="AH8" s="36" t="n">
        <f aca="false">AH6+AH7</f>
        <v>102151.510756567</v>
      </c>
      <c r="AI8" s="36" t="n">
        <f aca="false">AI6+AI7</f>
        <v>99496.9160218064</v>
      </c>
      <c r="AJ8" s="36" t="n">
        <f aca="false">AJ6+AJ7</f>
        <v>92244.0805409084</v>
      </c>
      <c r="AK8" s="36" t="n">
        <f aca="false">AK6+AK7</f>
        <v>116145.523521864</v>
      </c>
      <c r="AL8" s="36" t="n">
        <f aca="false">AL6+AL7</f>
        <v>125150.777925174</v>
      </c>
      <c r="AM8" s="35"/>
      <c r="AN8" s="36" t="n">
        <f aca="false">SUMIF($C$3:$AL$3,2025,$C8:$AL8)</f>
        <v>1072101.1124</v>
      </c>
      <c r="AO8" s="36" t="n">
        <f aca="false">SUMIF($C$3:$AL$3,2026,$C8:$AL8)</f>
        <v>1120059.5059</v>
      </c>
      <c r="AP8" s="36" t="n">
        <f aca="false">SUMIF($C$3:$AL$3,2027,$C8:$AL8)</f>
        <v>1187447.35207583</v>
      </c>
    </row>
    <row r="9" customFormat="false" ht="15" hidden="false" customHeight="true" outlineLevel="0" collapsed="false">
      <c r="A9" s="32" t="s">
        <v>193</v>
      </c>
      <c r="C9" s="37" t="n">
        <f aca="false">IF(C6=0,0,C8/C6)</f>
        <v>0.444953081382545</v>
      </c>
      <c r="D9" s="37" t="n">
        <f aca="false">IF(D6=0,0,D8/D6)</f>
        <v>0.439407978215046</v>
      </c>
      <c r="E9" s="37" t="n">
        <f aca="false">IF(E6=0,0,E8/E6)</f>
        <v>0.446025801356699</v>
      </c>
      <c r="F9" s="37" t="n">
        <f aca="false">IF(F6=0,0,F8/F6)</f>
        <v>0.446921245923031</v>
      </c>
      <c r="G9" s="37" t="n">
        <f aca="false">IF(G6=0,0,G8/G6)</f>
        <v>0.442120311057348</v>
      </c>
      <c r="H9" s="37" t="n">
        <f aca="false">IF(H6=0,0,H8/H6)</f>
        <v>0.439310455796823</v>
      </c>
      <c r="I9" s="37" t="n">
        <f aca="false">IF(I6=0,0,I8/I6)</f>
        <v>0.440531930268086</v>
      </c>
      <c r="J9" s="37" t="n">
        <f aca="false">IF(J6=0,0,J8/J6)</f>
        <v>0.443547687369757</v>
      </c>
      <c r="K9" s="37" t="n">
        <f aca="false">IF(K6=0,0,K8/K6)</f>
        <v>0.44688129925871</v>
      </c>
      <c r="L9" s="37" t="n">
        <f aca="false">IF(L6=0,0,L8/L6)</f>
        <v>0.438815886102645</v>
      </c>
      <c r="M9" s="37" t="n">
        <f aca="false">IF(M6=0,0,M8/M6)</f>
        <v>0.445736305024515</v>
      </c>
      <c r="N9" s="37" t="n">
        <f aca="false">IF(N6=0,0,N8/N6)</f>
        <v>0.445181497480977</v>
      </c>
      <c r="O9" s="37" t="n">
        <f aca="false">IF(O6=0,0,O8/O6)</f>
        <v>0.440589547299877</v>
      </c>
      <c r="P9" s="37" t="n">
        <f aca="false">IF(P6=0,0,P8/P6)</f>
        <v>0.447438074972766</v>
      </c>
      <c r="Q9" s="37" t="n">
        <f aca="false">IF(Q6=0,0,Q8/Q6)</f>
        <v>0.434163856188146</v>
      </c>
      <c r="R9" s="37" t="n">
        <f aca="false">IF(R6=0,0,R8/R6)</f>
        <v>0.447605508700316</v>
      </c>
      <c r="S9" s="37" t="n">
        <f aca="false">IF(S6=0,0,S8/S6)</f>
        <v>0.436261374921109</v>
      </c>
      <c r="T9" s="37" t="n">
        <f aca="false">IF(T6=0,0,T8/T6)</f>
        <v>0.440510611339341</v>
      </c>
      <c r="U9" s="37" t="n">
        <f aca="false">IF(U6=0,0,U8/U6)</f>
        <v>0.435669191663627</v>
      </c>
      <c r="V9" s="37" t="n">
        <f aca="false">IF(V6=0,0,V8/V6)</f>
        <v>0.437630141645267</v>
      </c>
      <c r="W9" s="37" t="n">
        <f aca="false">IF(W6=0,0,W8/W6)</f>
        <v>0.430270001036493</v>
      </c>
      <c r="X9" s="37" t="n">
        <f aca="false">IF(X6=0,0,X8/X6)</f>
        <v>0.440563937760994</v>
      </c>
      <c r="Y9" s="37" t="n">
        <f aca="false">IF(Y6=0,0,Y8/Y6)</f>
        <v>0.435951795214265</v>
      </c>
      <c r="Z9" s="37" t="n">
        <f aca="false">IF(Z6=0,0,Z8/Z6)</f>
        <v>0.436683304888378</v>
      </c>
      <c r="AA9" s="37" t="n">
        <f aca="false">IF(AA6=0,0,AA8/AA6)</f>
        <v>0.437968634956995</v>
      </c>
      <c r="AB9" s="37" t="n">
        <f aca="false">IF(AB6=0,0,AB8/AB6)</f>
        <v>0.445258262095851</v>
      </c>
      <c r="AC9" s="37" t="n">
        <f aca="false">IF(AC6=0,0,AC8/AC6)</f>
        <v>0.431454724617282</v>
      </c>
      <c r="AD9" s="37" t="n">
        <f aca="false">IF(AD6=0,0,AD8/AD6)</f>
        <v>0.446989803071842</v>
      </c>
      <c r="AE9" s="37" t="n">
        <f aca="false">IF(AE6=0,0,AE8/AE6)</f>
        <v>0.43530175010231</v>
      </c>
      <c r="AF9" s="37" t="n">
        <f aca="false">IF(AF6=0,0,AF8/AF6)</f>
        <v>0.439817842606448</v>
      </c>
      <c r="AG9" s="37" t="n">
        <f aca="false">IF(AG6=0,0,AG8/AG6)</f>
        <v>0.433862196901834</v>
      </c>
      <c r="AH9" s="37" t="n">
        <f aca="false">IF(AH6=0,0,AH8/AH6)</f>
        <v>0.435717097533079</v>
      </c>
      <c r="AI9" s="37" t="n">
        <f aca="false">IF(AI6=0,0,AI8/AI6)</f>
        <v>0.42791600198533</v>
      </c>
      <c r="AJ9" s="37" t="n">
        <f aca="false">IF(AJ6=0,0,AJ8/AJ6)</f>
        <v>0.439281346391268</v>
      </c>
      <c r="AK9" s="37" t="n">
        <f aca="false">IF(AK6=0,0,AK8/AK6)</f>
        <v>0.434458312855445</v>
      </c>
      <c r="AL9" s="37" t="n">
        <f aca="false">IF(AL6=0,0,AL8/AL6)</f>
        <v>0.434248090428679</v>
      </c>
      <c r="AN9" s="37" t="n">
        <f aca="false">IF(AN6=0,0,AN8/AN6)</f>
        <v>0.443314115301131</v>
      </c>
      <c r="AO9" s="37" t="n">
        <f aca="false">IF(AO6=0,0,AO8/AO6)</f>
        <v>0.438114099542449</v>
      </c>
      <c r="AP9" s="37" t="n">
        <f aca="false">IF(AP6=0,0,AP8/AP6)</f>
        <v>0.436362549219815</v>
      </c>
    </row>
    <row r="10" customFormat="false" ht="15" hidden="false" customHeight="true" outlineLevel="0" collapsed="false">
      <c r="A10" s="32" t="s">
        <v>194</v>
      </c>
      <c r="C10" s="33" t="n">
        <f aca="false">-SUMIFS(DRE_por_UN!$L:$L,DRE_por_UN!$C:$C,C$2)</f>
        <v>-38136</v>
      </c>
      <c r="D10" s="33" t="n">
        <f aca="false">-SUMIFS(DRE_por_UN!$L:$L,DRE_por_UN!$C:$C,D$2)</f>
        <v>-38136</v>
      </c>
      <c r="E10" s="33" t="n">
        <f aca="false">-SUMIFS(DRE_por_UN!$L:$L,DRE_por_UN!$C:$C,E$2)</f>
        <v>-38136</v>
      </c>
      <c r="F10" s="33" t="n">
        <f aca="false">-SUMIFS(DRE_por_UN!$L:$L,DRE_por_UN!$C:$C,F$2)</f>
        <v>-38136</v>
      </c>
      <c r="G10" s="33" t="n">
        <f aca="false">-SUMIFS(DRE_por_UN!$L:$L,DRE_por_UN!$C:$C,G$2)</f>
        <v>-38136</v>
      </c>
      <c r="H10" s="33" t="n">
        <f aca="false">-SUMIFS(DRE_por_UN!$L:$L,DRE_por_UN!$C:$C,H$2)</f>
        <v>-38136</v>
      </c>
      <c r="I10" s="33" t="n">
        <f aca="false">-SUMIFS(DRE_por_UN!$L:$L,DRE_por_UN!$C:$C,I$2)</f>
        <v>-38136</v>
      </c>
      <c r="J10" s="33" t="n">
        <f aca="false">-SUMIFS(DRE_por_UN!$L:$L,DRE_por_UN!$C:$C,J$2)</f>
        <v>-38136</v>
      </c>
      <c r="K10" s="33" t="n">
        <f aca="false">-SUMIFS(DRE_por_UN!$L:$L,DRE_por_UN!$C:$C,K$2)</f>
        <v>-38136</v>
      </c>
      <c r="L10" s="33" t="n">
        <f aca="false">-SUMIFS(DRE_por_UN!$L:$L,DRE_por_UN!$C:$C,L$2)</f>
        <v>-38136</v>
      </c>
      <c r="M10" s="33" t="n">
        <f aca="false">-SUMIFS(DRE_por_UN!$L:$L,DRE_por_UN!$C:$C,M$2)</f>
        <v>-38136</v>
      </c>
      <c r="N10" s="33" t="n">
        <f aca="false">-SUMIFS(DRE_por_UN!$L:$L,DRE_por_UN!$C:$C,N$2)</f>
        <v>-38136</v>
      </c>
      <c r="O10" s="33" t="n">
        <f aca="false">-SUMIFS(DRE_por_UN!$L:$L,DRE_por_UN!$C:$C,O$2)</f>
        <v>-42504</v>
      </c>
      <c r="P10" s="33" t="n">
        <f aca="false">-SUMIFS(DRE_por_UN!$L:$L,DRE_por_UN!$C:$C,P$2)</f>
        <v>-42504</v>
      </c>
      <c r="Q10" s="33" t="n">
        <f aca="false">-SUMIFS(DRE_por_UN!$L:$L,DRE_por_UN!$C:$C,Q$2)</f>
        <v>-42504</v>
      </c>
      <c r="R10" s="33" t="n">
        <f aca="false">-SUMIFS(DRE_por_UN!$L:$L,DRE_por_UN!$C:$C,R$2)</f>
        <v>-42504</v>
      </c>
      <c r="S10" s="33" t="n">
        <f aca="false">-SUMIFS(DRE_por_UN!$L:$L,DRE_por_UN!$C:$C,S$2)</f>
        <v>-42504</v>
      </c>
      <c r="T10" s="33" t="n">
        <f aca="false">-SUMIFS(DRE_por_UN!$L:$L,DRE_por_UN!$C:$C,T$2)</f>
        <v>-42504</v>
      </c>
      <c r="U10" s="33" t="n">
        <f aca="false">-SUMIFS(DRE_por_UN!$L:$L,DRE_por_UN!$C:$C,U$2)</f>
        <v>-42504</v>
      </c>
      <c r="V10" s="33" t="n">
        <f aca="false">-SUMIFS(DRE_por_UN!$L:$L,DRE_por_UN!$C:$C,V$2)</f>
        <v>-42504</v>
      </c>
      <c r="W10" s="33" t="n">
        <f aca="false">-SUMIFS(DRE_por_UN!$L:$L,DRE_por_UN!$C:$C,W$2)</f>
        <v>-42504</v>
      </c>
      <c r="X10" s="33" t="n">
        <f aca="false">-SUMIFS(DRE_por_UN!$L:$L,DRE_por_UN!$C:$C,X$2)</f>
        <v>-42504</v>
      </c>
      <c r="Y10" s="33" t="n">
        <f aca="false">-SUMIFS(DRE_por_UN!$L:$L,DRE_por_UN!$C:$C,Y$2)</f>
        <v>-42504</v>
      </c>
      <c r="Z10" s="33" t="n">
        <f aca="false">-SUMIFS(DRE_por_UN!$L:$L,DRE_por_UN!$C:$C,Z$2)</f>
        <v>-42504</v>
      </c>
      <c r="AA10" s="33" t="n">
        <f aca="false">-SUMIFS(DRE_por_UN!$L:$L,DRE_por_UN!$C:$C,AA$2)</f>
        <v>-48720</v>
      </c>
      <c r="AB10" s="33" t="n">
        <f aca="false">-SUMIFS(DRE_por_UN!$L:$L,DRE_por_UN!$C:$C,AB$2)</f>
        <v>-48720</v>
      </c>
      <c r="AC10" s="33" t="n">
        <f aca="false">-SUMIFS(DRE_por_UN!$L:$L,DRE_por_UN!$C:$C,AC$2)</f>
        <v>-48720</v>
      </c>
      <c r="AD10" s="33" t="n">
        <f aca="false">-SUMIFS(DRE_por_UN!$L:$L,DRE_por_UN!$C:$C,AD$2)</f>
        <v>-48720</v>
      </c>
      <c r="AE10" s="33" t="n">
        <f aca="false">-SUMIFS(DRE_por_UN!$L:$L,DRE_por_UN!$C:$C,AE$2)</f>
        <v>-48720</v>
      </c>
      <c r="AF10" s="33" t="n">
        <f aca="false">-SUMIFS(DRE_por_UN!$L:$L,DRE_por_UN!$C:$C,AF$2)</f>
        <v>-48720</v>
      </c>
      <c r="AG10" s="33" t="n">
        <f aca="false">-SUMIFS(DRE_por_UN!$L:$L,DRE_por_UN!$C:$C,AG$2)</f>
        <v>-48720</v>
      </c>
      <c r="AH10" s="33" t="n">
        <f aca="false">-SUMIFS(DRE_por_UN!$L:$L,DRE_por_UN!$C:$C,AH$2)</f>
        <v>-48720</v>
      </c>
      <c r="AI10" s="33" t="n">
        <f aca="false">-SUMIFS(DRE_por_UN!$L:$L,DRE_por_UN!$C:$C,AI$2)</f>
        <v>-48720</v>
      </c>
      <c r="AJ10" s="33" t="n">
        <f aca="false">-SUMIFS(DRE_por_UN!$L:$L,DRE_por_UN!$C:$C,AJ$2)</f>
        <v>-48720</v>
      </c>
      <c r="AK10" s="33" t="n">
        <f aca="false">-SUMIFS(DRE_por_UN!$L:$L,DRE_por_UN!$C:$C,AK$2)</f>
        <v>-48720</v>
      </c>
      <c r="AL10" s="33" t="n">
        <f aca="false">-SUMIFS(DRE_por_UN!$L:$L,DRE_por_UN!$C:$C,AL$2)</f>
        <v>-48720</v>
      </c>
      <c r="AN10" s="33" t="n">
        <f aca="false">SUMIF($C$3:$AL$3,2025,$C10:$AL10)</f>
        <v>-457632</v>
      </c>
      <c r="AO10" s="33" t="n">
        <f aca="false">SUMIF($C$3:$AL$3,2026,$C10:$AL10)</f>
        <v>-510048</v>
      </c>
      <c r="AP10" s="33" t="n">
        <f aca="false">SUMIF($C$3:$AL$3,2027,$C10:$AL10)</f>
        <v>-584640</v>
      </c>
    </row>
    <row r="11" customFormat="false" ht="15" hidden="false" customHeight="true" outlineLevel="0" collapsed="false">
      <c r="A11" s="32" t="s">
        <v>195</v>
      </c>
      <c r="C11" s="33" t="n">
        <f aca="false">-SUMIFS(DRE_por_UN!$M:$M,DRE_por_UN!$C:$C,C$2)</f>
        <v>-11500</v>
      </c>
      <c r="D11" s="33" t="n">
        <f aca="false">-SUMIFS(DRE_por_UN!$M:$M,DRE_por_UN!$C:$C,D$2)</f>
        <v>-11500</v>
      </c>
      <c r="E11" s="33" t="n">
        <f aca="false">-SUMIFS(DRE_por_UN!$M:$M,DRE_por_UN!$C:$C,E$2)</f>
        <v>-11500</v>
      </c>
      <c r="F11" s="33" t="n">
        <f aca="false">-SUMIFS(DRE_por_UN!$M:$M,DRE_por_UN!$C:$C,F$2)</f>
        <v>-11500</v>
      </c>
      <c r="G11" s="33" t="n">
        <f aca="false">-SUMIFS(DRE_por_UN!$M:$M,DRE_por_UN!$C:$C,G$2)</f>
        <v>-11500</v>
      </c>
      <c r="H11" s="33" t="n">
        <f aca="false">-SUMIFS(DRE_por_UN!$M:$M,DRE_por_UN!$C:$C,H$2)</f>
        <v>-11500</v>
      </c>
      <c r="I11" s="33" t="n">
        <f aca="false">-SUMIFS(DRE_por_UN!$M:$M,DRE_por_UN!$C:$C,I$2)</f>
        <v>-11500</v>
      </c>
      <c r="J11" s="33" t="n">
        <f aca="false">-SUMIFS(DRE_por_UN!$M:$M,DRE_por_UN!$C:$C,J$2)</f>
        <v>-11500</v>
      </c>
      <c r="K11" s="33" t="n">
        <f aca="false">-SUMIFS(DRE_por_UN!$M:$M,DRE_por_UN!$C:$C,K$2)</f>
        <v>-11500</v>
      </c>
      <c r="L11" s="33" t="n">
        <f aca="false">-SUMIFS(DRE_por_UN!$M:$M,DRE_por_UN!$C:$C,L$2)</f>
        <v>-11500</v>
      </c>
      <c r="M11" s="33" t="n">
        <f aca="false">-SUMIFS(DRE_por_UN!$M:$M,DRE_por_UN!$C:$C,M$2)</f>
        <v>-11500</v>
      </c>
      <c r="N11" s="33" t="n">
        <f aca="false">-SUMIFS(DRE_por_UN!$M:$M,DRE_por_UN!$C:$C,N$2)</f>
        <v>-11500</v>
      </c>
      <c r="O11" s="33" t="n">
        <f aca="false">-SUMIFS(DRE_por_UN!$M:$M,DRE_por_UN!$C:$C,O$2)</f>
        <v>-12017.5</v>
      </c>
      <c r="P11" s="33" t="n">
        <f aca="false">-SUMIFS(DRE_por_UN!$M:$M,DRE_por_UN!$C:$C,P$2)</f>
        <v>-12017.5</v>
      </c>
      <c r="Q11" s="33" t="n">
        <f aca="false">-SUMIFS(DRE_por_UN!$M:$M,DRE_por_UN!$C:$C,Q$2)</f>
        <v>-12017.5</v>
      </c>
      <c r="R11" s="33" t="n">
        <f aca="false">-SUMIFS(DRE_por_UN!$M:$M,DRE_por_UN!$C:$C,R$2)</f>
        <v>-12017.5</v>
      </c>
      <c r="S11" s="33" t="n">
        <f aca="false">-SUMIFS(DRE_por_UN!$M:$M,DRE_por_UN!$C:$C,S$2)</f>
        <v>-12017.5</v>
      </c>
      <c r="T11" s="33" t="n">
        <f aca="false">-SUMIFS(DRE_por_UN!$M:$M,DRE_por_UN!$C:$C,T$2)</f>
        <v>-12017.5</v>
      </c>
      <c r="U11" s="33" t="n">
        <f aca="false">-SUMIFS(DRE_por_UN!$M:$M,DRE_por_UN!$C:$C,U$2)</f>
        <v>-12017.5</v>
      </c>
      <c r="V11" s="33" t="n">
        <f aca="false">-SUMIFS(DRE_por_UN!$M:$M,DRE_por_UN!$C:$C,V$2)</f>
        <v>-12017.5</v>
      </c>
      <c r="W11" s="33" t="n">
        <f aca="false">-SUMIFS(DRE_por_UN!$M:$M,DRE_por_UN!$C:$C,W$2)</f>
        <v>-12017.5</v>
      </c>
      <c r="X11" s="33" t="n">
        <f aca="false">-SUMIFS(DRE_por_UN!$M:$M,DRE_por_UN!$C:$C,X$2)</f>
        <v>-12017.5</v>
      </c>
      <c r="Y11" s="33" t="n">
        <f aca="false">-SUMIFS(DRE_por_UN!$M:$M,DRE_por_UN!$C:$C,Y$2)</f>
        <v>-12017.5</v>
      </c>
      <c r="Z11" s="33" t="n">
        <f aca="false">-SUMIFS(DRE_por_UN!$M:$M,DRE_por_UN!$C:$C,Z$2)</f>
        <v>-12017.5</v>
      </c>
      <c r="AA11" s="33" t="n">
        <f aca="false">-SUMIFS(DRE_por_UN!$M:$M,DRE_por_UN!$C:$C,AA$2)</f>
        <v>-12558.2875</v>
      </c>
      <c r="AB11" s="33" t="n">
        <f aca="false">-SUMIFS(DRE_por_UN!$M:$M,DRE_por_UN!$C:$C,AB$2)</f>
        <v>-12558.2875</v>
      </c>
      <c r="AC11" s="33" t="n">
        <f aca="false">-SUMIFS(DRE_por_UN!$M:$M,DRE_por_UN!$C:$C,AC$2)</f>
        <v>-12558.2875</v>
      </c>
      <c r="AD11" s="33" t="n">
        <f aca="false">-SUMIFS(DRE_por_UN!$M:$M,DRE_por_UN!$C:$C,AD$2)</f>
        <v>-12558.2875</v>
      </c>
      <c r="AE11" s="33" t="n">
        <f aca="false">-SUMIFS(DRE_por_UN!$M:$M,DRE_por_UN!$C:$C,AE$2)</f>
        <v>-12558.2875</v>
      </c>
      <c r="AF11" s="33" t="n">
        <f aca="false">-SUMIFS(DRE_por_UN!$M:$M,DRE_por_UN!$C:$C,AF$2)</f>
        <v>-12558.2875</v>
      </c>
      <c r="AG11" s="33" t="n">
        <f aca="false">-SUMIFS(DRE_por_UN!$M:$M,DRE_por_UN!$C:$C,AG$2)</f>
        <v>-12558.2875</v>
      </c>
      <c r="AH11" s="33" t="n">
        <f aca="false">-SUMIFS(DRE_por_UN!$M:$M,DRE_por_UN!$C:$C,AH$2)</f>
        <v>-12558.2875</v>
      </c>
      <c r="AI11" s="33" t="n">
        <f aca="false">-SUMIFS(DRE_por_UN!$M:$M,DRE_por_UN!$C:$C,AI$2)</f>
        <v>-12558.2875</v>
      </c>
      <c r="AJ11" s="33" t="n">
        <f aca="false">-SUMIFS(DRE_por_UN!$M:$M,DRE_por_UN!$C:$C,AJ$2)</f>
        <v>-12558.2875</v>
      </c>
      <c r="AK11" s="33" t="n">
        <f aca="false">-SUMIFS(DRE_por_UN!$M:$M,DRE_por_UN!$C:$C,AK$2)</f>
        <v>-12558.2875</v>
      </c>
      <c r="AL11" s="33" t="n">
        <f aca="false">-SUMIFS(DRE_por_UN!$M:$M,DRE_por_UN!$C:$C,AL$2)</f>
        <v>-12558.2875</v>
      </c>
      <c r="AN11" s="33" t="n">
        <f aca="false">SUMIF($C$3:$AL$3,2025,$C11:$AL11)</f>
        <v>-138000</v>
      </c>
      <c r="AO11" s="33" t="n">
        <f aca="false">SUMIF($C$3:$AL$3,2026,$C11:$AL11)</f>
        <v>-144210</v>
      </c>
      <c r="AP11" s="33" t="n">
        <f aca="false">SUMIF($C$3:$AL$3,2027,$C11:$AL11)</f>
        <v>-150699.45</v>
      </c>
    </row>
    <row r="12" customFormat="false" ht="15" hidden="false" customHeight="true" outlineLevel="0" collapsed="false">
      <c r="A12" s="32" t="s">
        <v>196</v>
      </c>
      <c r="C12" s="33" t="n">
        <f aca="false">-SUMIFS(DRE_por_UN!$N:$N,DRE_por_UN!$C:$C,C$2)</f>
        <v>-4180.487</v>
      </c>
      <c r="D12" s="33" t="n">
        <f aca="false">-SUMIFS(DRE_por_UN!$N:$N,DRE_por_UN!$C:$C,D$2)</f>
        <v>-3964.1712</v>
      </c>
      <c r="E12" s="33" t="n">
        <f aca="false">-SUMIFS(DRE_por_UN!$N:$N,DRE_por_UN!$C:$C,E$2)</f>
        <v>-4436.1659</v>
      </c>
      <c r="F12" s="33" t="n">
        <f aca="false">-SUMIFS(DRE_por_UN!$N:$N,DRE_por_UN!$C:$C,F$2)</f>
        <v>-4528.05715</v>
      </c>
      <c r="G12" s="33" t="n">
        <f aca="false">-SUMIFS(DRE_por_UN!$N:$N,DRE_por_UN!$C:$C,G$2)</f>
        <v>-4557.3676</v>
      </c>
      <c r="H12" s="33" t="n">
        <f aca="false">-SUMIFS(DRE_por_UN!$N:$N,DRE_por_UN!$C:$C,H$2)</f>
        <v>-4935.0675</v>
      </c>
      <c r="I12" s="33" t="n">
        <f aca="false">-SUMIFS(DRE_por_UN!$N:$N,DRE_por_UN!$C:$C,I$2)</f>
        <v>-4976.5728</v>
      </c>
      <c r="J12" s="33" t="n">
        <f aca="false">-SUMIFS(DRE_por_UN!$N:$N,DRE_por_UN!$C:$C,J$2)</f>
        <v>-4457.79315</v>
      </c>
      <c r="K12" s="33" t="n">
        <f aca="false">-SUMIFS(DRE_por_UN!$N:$N,DRE_por_UN!$C:$C,K$2)</f>
        <v>-4583.18645</v>
      </c>
      <c r="L12" s="33" t="n">
        <f aca="false">-SUMIFS(DRE_por_UN!$N:$N,DRE_por_UN!$C:$C,L$2)</f>
        <v>-4788.0171</v>
      </c>
      <c r="M12" s="33" t="n">
        <f aca="false">-SUMIFS(DRE_por_UN!$N:$N,DRE_por_UN!$C:$C,M$2)</f>
        <v>-5681.6741</v>
      </c>
      <c r="N12" s="33" t="n">
        <f aca="false">-SUMIFS(DRE_por_UN!$N:$N,DRE_por_UN!$C:$C,N$2)</f>
        <v>-6022.1034</v>
      </c>
      <c r="O12" s="33" t="n">
        <f aca="false">-SUMIFS(DRE_por_UN!$N:$N,DRE_por_UN!$C:$C,O$2)</f>
        <v>-4353.7137</v>
      </c>
      <c r="P12" s="33" t="n">
        <f aca="false">-SUMIFS(DRE_por_UN!$N:$N,DRE_por_UN!$C:$C,P$2)</f>
        <v>-3555.10095</v>
      </c>
      <c r="Q12" s="33" t="n">
        <f aca="false">-SUMIFS(DRE_por_UN!$N:$N,DRE_por_UN!$C:$C,Q$2)</f>
        <v>-4665.87245</v>
      </c>
      <c r="R12" s="33" t="n">
        <f aca="false">-SUMIFS(DRE_por_UN!$N:$N,DRE_por_UN!$C:$C,R$2)</f>
        <v>-4276.3812</v>
      </c>
      <c r="S12" s="33" t="n">
        <f aca="false">-SUMIFS(DRE_por_UN!$N:$N,DRE_por_UN!$C:$C,S$2)</f>
        <v>-5496.87895</v>
      </c>
      <c r="T12" s="33" t="n">
        <f aca="false">-SUMIFS(DRE_por_UN!$N:$N,DRE_por_UN!$C:$C,T$2)</f>
        <v>-5323.858</v>
      </c>
      <c r="U12" s="33" t="n">
        <f aca="false">-SUMIFS(DRE_por_UN!$N:$N,DRE_por_UN!$C:$C,U$2)</f>
        <v>-5514.3517</v>
      </c>
      <c r="V12" s="33" t="n">
        <f aca="false">-SUMIFS(DRE_por_UN!$N:$N,DRE_por_UN!$C:$C,V$2)</f>
        <v>-5129.601</v>
      </c>
      <c r="W12" s="33" t="n">
        <f aca="false">-SUMIFS(DRE_por_UN!$N:$N,DRE_por_UN!$C:$C,W$2)</f>
        <v>-5047.67385</v>
      </c>
      <c r="X12" s="33" t="n">
        <f aca="false">-SUMIFS(DRE_por_UN!$N:$N,DRE_por_UN!$C:$C,X$2)</f>
        <v>-4750.38765</v>
      </c>
      <c r="Y12" s="33" t="n">
        <f aca="false">-SUMIFS(DRE_por_UN!$N:$N,DRE_por_UN!$C:$C,Y$2)</f>
        <v>-5979.8657</v>
      </c>
      <c r="Z12" s="33" t="n">
        <f aca="false">-SUMIFS(DRE_por_UN!$N:$N,DRE_por_UN!$C:$C,Z$2)</f>
        <v>-6375.36105</v>
      </c>
      <c r="AA12" s="33" t="n">
        <f aca="false">-SUMIFS(DRE_por_UN!$N:$N,DRE_por_UN!$C:$C,AA$2)</f>
        <v>-4726.7127488711</v>
      </c>
      <c r="AB12" s="33" t="n">
        <f aca="false">-SUMIFS(DRE_por_UN!$N:$N,DRE_por_UN!$C:$C,AB$2)</f>
        <v>-3797.641389751</v>
      </c>
      <c r="AC12" s="33" t="n">
        <f aca="false">-SUMIFS(DRE_por_UN!$N:$N,DRE_por_UN!$C:$C,AC$2)</f>
        <v>-4975.0885524778</v>
      </c>
      <c r="AD12" s="33" t="n">
        <f aca="false">-SUMIFS(DRE_por_UN!$N:$N,DRE_por_UN!$C:$C,AD$2)</f>
        <v>-4577.2611160742</v>
      </c>
      <c r="AE12" s="33" t="n">
        <f aca="false">-SUMIFS(DRE_por_UN!$N:$N,DRE_por_UN!$C:$C,AE$2)</f>
        <v>-5810.4255261265</v>
      </c>
      <c r="AF12" s="33" t="n">
        <f aca="false">-SUMIFS(DRE_por_UN!$N:$N,DRE_por_UN!$C:$C,AF$2)</f>
        <v>-5586.2805135386</v>
      </c>
      <c r="AG12" s="33" t="n">
        <f aca="false">-SUMIFS(DRE_por_UN!$N:$N,DRE_por_UN!$C:$C,AG$2)</f>
        <v>-5906.3369118348</v>
      </c>
      <c r="AH12" s="33" t="n">
        <f aca="false">-SUMIFS(DRE_por_UN!$N:$N,DRE_por_UN!$C:$C,AH$2)</f>
        <v>-5507.8463981917</v>
      </c>
      <c r="AI12" s="33" t="n">
        <f aca="false">-SUMIFS(DRE_por_UN!$N:$N,DRE_por_UN!$C:$C,AI$2)</f>
        <v>-5407.650090534</v>
      </c>
      <c r="AJ12" s="33" t="n">
        <f aca="false">-SUMIFS(DRE_por_UN!$N:$N,DRE_por_UN!$C:$C,AJ$2)</f>
        <v>-5007.6441848139</v>
      </c>
      <c r="AK12" s="33" t="n">
        <f aca="false">-SUMIFS(DRE_por_UN!$N:$N,DRE_por_UN!$C:$C,AK$2)</f>
        <v>-6325.6669842135</v>
      </c>
      <c r="AL12" s="33" t="n">
        <f aca="false">-SUMIFS(DRE_por_UN!$N:$N,DRE_por_UN!$C:$C,AL$2)</f>
        <v>-6788.7931498027</v>
      </c>
      <c r="AN12" s="33" t="n">
        <f aca="false">SUMIF($C$3:$AL$3,2025,$C12:$AL12)</f>
        <v>-57110.66335</v>
      </c>
      <c r="AO12" s="33" t="n">
        <f aca="false">SUMIF($C$3:$AL$3,2026,$C12:$AL12)</f>
        <v>-60469.0462</v>
      </c>
      <c r="AP12" s="33" t="n">
        <f aca="false">SUMIF($C$3:$AL$3,2027,$C12:$AL12)</f>
        <v>-64417.3475662298</v>
      </c>
    </row>
    <row r="13" customFormat="false" ht="15" hidden="false" customHeight="true" outlineLevel="0" collapsed="false">
      <c r="A13" s="32" t="s">
        <v>197</v>
      </c>
      <c r="C13" s="33" t="n">
        <f aca="false">-SUMIFS(DRE_por_UN!$O:$O,DRE_por_UN!$C:$C,C$2)</f>
        <v>-4649.7356</v>
      </c>
      <c r="D13" s="33" t="n">
        <f aca="false">-SUMIFS(DRE_por_UN!$O:$O,DRE_por_UN!$C:$C,D$2)</f>
        <v>-4699.10165</v>
      </c>
      <c r="E13" s="33" t="n">
        <f aca="false">-SUMIFS(DRE_por_UN!$O:$O,DRE_por_UN!$C:$C,E$2)</f>
        <v>-5055.26445</v>
      </c>
      <c r="F13" s="33" t="n">
        <f aca="false">-SUMIFS(DRE_por_UN!$O:$O,DRE_por_UN!$C:$C,F$2)</f>
        <v>-5107.27565</v>
      </c>
      <c r="G13" s="33" t="n">
        <f aca="false">-SUMIFS(DRE_por_UN!$O:$O,DRE_por_UN!$C:$C,G$2)</f>
        <v>-5316.83645</v>
      </c>
      <c r="H13" s="33" t="n">
        <f aca="false">-SUMIFS(DRE_por_UN!$O:$O,DRE_por_UN!$C:$C,H$2)</f>
        <v>-5917.30425</v>
      </c>
      <c r="I13" s="33" t="n">
        <f aca="false">-SUMIFS(DRE_por_UN!$O:$O,DRE_por_UN!$C:$C,I$2)</f>
        <v>-5885.71695</v>
      </c>
      <c r="J13" s="33" t="n">
        <f aca="false">-SUMIFS(DRE_por_UN!$O:$O,DRE_por_UN!$C:$C,J$2)</f>
        <v>-5217.70565</v>
      </c>
      <c r="K13" s="33" t="n">
        <f aca="false">-SUMIFS(DRE_por_UN!$O:$O,DRE_por_UN!$C:$C,K$2)</f>
        <v>-5135.59495</v>
      </c>
      <c r="L13" s="33" t="n">
        <f aca="false">-SUMIFS(DRE_por_UN!$O:$O,DRE_por_UN!$C:$C,L$2)</f>
        <v>-5696.1977</v>
      </c>
      <c r="M13" s="33" t="n">
        <f aca="false">-SUMIFS(DRE_por_UN!$O:$O,DRE_por_UN!$C:$C,M$2)</f>
        <v>-6532.3791</v>
      </c>
      <c r="N13" s="33" t="n">
        <f aca="false">-SUMIFS(DRE_por_UN!$O:$O,DRE_por_UN!$C:$C,N$2)</f>
        <v>-6892.35155</v>
      </c>
      <c r="O13" s="33" t="n">
        <f aca="false">-SUMIFS(DRE_por_UN!$O:$O,DRE_por_UN!$C:$C,O$2)</f>
        <v>-4871.25115</v>
      </c>
      <c r="P13" s="33" t="n">
        <f aca="false">-SUMIFS(DRE_por_UN!$O:$O,DRE_por_UN!$C:$C,P$2)</f>
        <v>-3991.0302</v>
      </c>
      <c r="Q13" s="33" t="n">
        <f aca="false">-SUMIFS(DRE_por_UN!$O:$O,DRE_por_UN!$C:$C,Q$2)</f>
        <v>-5540.7087</v>
      </c>
      <c r="R13" s="33" t="n">
        <f aca="false">-SUMIFS(DRE_por_UN!$O:$O,DRE_por_UN!$C:$C,R$2)</f>
        <v>-4706.5299</v>
      </c>
      <c r="S13" s="33" t="n">
        <f aca="false">-SUMIFS(DRE_por_UN!$O:$O,DRE_por_UN!$C:$C,S$2)</f>
        <v>-6194.754</v>
      </c>
      <c r="T13" s="33" t="n">
        <f aca="false">-SUMIFS(DRE_por_UN!$O:$O,DRE_por_UN!$C:$C,T$2)</f>
        <v>-5893.56105</v>
      </c>
      <c r="U13" s="33" t="n">
        <f aca="false">-SUMIFS(DRE_por_UN!$O:$O,DRE_por_UN!$C:$C,U$2)</f>
        <v>-6410.35415</v>
      </c>
      <c r="V13" s="33" t="n">
        <f aca="false">-SUMIFS(DRE_por_UN!$O:$O,DRE_por_UN!$C:$C,V$2)</f>
        <v>-5864.13825</v>
      </c>
      <c r="W13" s="33" t="n">
        <f aca="false">-SUMIFS(DRE_por_UN!$O:$O,DRE_por_UN!$C:$C,W$2)</f>
        <v>-6014.82075</v>
      </c>
      <c r="X13" s="33" t="n">
        <f aca="false">-SUMIFS(DRE_por_UN!$O:$O,DRE_por_UN!$C:$C,X$2)</f>
        <v>-5391.27635</v>
      </c>
      <c r="Y13" s="33" t="n">
        <f aca="false">-SUMIFS(DRE_por_UN!$O:$O,DRE_por_UN!$C:$C,Y$2)</f>
        <v>-6966.509</v>
      </c>
      <c r="Z13" s="33" t="n">
        <f aca="false">-SUMIFS(DRE_por_UN!$O:$O,DRE_por_UN!$C:$C,Z$2)</f>
        <v>-7421.6864</v>
      </c>
      <c r="AA13" s="33" t="n">
        <f aca="false">-SUMIFS(DRE_por_UN!$O:$O,DRE_por_UN!$C:$C,AA$2)</f>
        <v>-5261.4293872582</v>
      </c>
      <c r="AB13" s="33" t="n">
        <f aca="false">-SUMIFS(DRE_por_UN!$O:$O,DRE_por_UN!$C:$C,AB$2)</f>
        <v>-4253.61456277065</v>
      </c>
      <c r="AC13" s="33" t="n">
        <f aca="false">-SUMIFS(DRE_por_UN!$O:$O,DRE_por_UN!$C:$C,AC$2)</f>
        <v>-5876.0257290176</v>
      </c>
      <c r="AD13" s="33" t="n">
        <f aca="false">-SUMIFS(DRE_por_UN!$O:$O,DRE_por_UN!$C:$C,AD$2)</f>
        <v>-5007.3279065652</v>
      </c>
      <c r="AE13" s="33" t="n">
        <f aca="false">-SUMIFS(DRE_por_UN!$O:$O,DRE_por_UN!$C:$C,AE$2)</f>
        <v>-6496.2266747759</v>
      </c>
      <c r="AF13" s="33" t="n">
        <f aca="false">-SUMIFS(DRE_por_UN!$O:$O,DRE_por_UN!$C:$C,AF$2)</f>
        <v>-6154.6249749681</v>
      </c>
      <c r="AG13" s="33" t="n">
        <f aca="false">-SUMIFS(DRE_por_UN!$O:$O,DRE_por_UN!$C:$C,AG$2)</f>
        <v>-6833.81729858235</v>
      </c>
      <c r="AH13" s="33" t="n">
        <f aca="false">-SUMIFS(DRE_por_UN!$O:$O,DRE_por_UN!$C:$C,AH$2)</f>
        <v>-6275.5273140976</v>
      </c>
      <c r="AI13" s="33" t="n">
        <f aca="false">-SUMIFS(DRE_por_UN!$O:$O,DRE_por_UN!$C:$C,AI$2)</f>
        <v>-6391.65543609275</v>
      </c>
      <c r="AJ13" s="33" t="n">
        <f aca="false">-SUMIFS(DRE_por_UN!$O:$O,DRE_por_UN!$C:$C,AJ$2)</f>
        <v>-5686.1834978561</v>
      </c>
      <c r="AK13" s="33" t="n">
        <f aca="false">-SUMIFS(DRE_por_UN!$O:$O,DRE_por_UN!$C:$C,AK$2)</f>
        <v>-7334.07534173985</v>
      </c>
      <c r="AL13" s="33" t="n">
        <f aca="false">-SUMIFS(DRE_por_UN!$O:$O,DRE_por_UN!$C:$C,AL$2)</f>
        <v>-7881.23618780435</v>
      </c>
      <c r="AN13" s="33" t="n">
        <f aca="false">SUMIF($C$3:$AL$3,2025,$C13:$AL13)</f>
        <v>-66105.46395</v>
      </c>
      <c r="AO13" s="33" t="n">
        <f aca="false">SUMIF($C$3:$AL$3,2026,$C13:$AL13)</f>
        <v>-69266.6199</v>
      </c>
      <c r="AP13" s="33" t="n">
        <f aca="false">SUMIF($C$3:$AL$3,2027,$C13:$AL13)</f>
        <v>-73451.7443115287</v>
      </c>
    </row>
    <row r="14" customFormat="false" ht="15" hidden="false" customHeight="true" outlineLevel="0" collapsed="false">
      <c r="A14" s="32" t="s">
        <v>198</v>
      </c>
      <c r="C14" s="33" t="n">
        <f aca="false">-SUMIFS(DRE_por_UN!$P:$P,DRE_por_UN!$C:$C,C$2)</f>
        <v>-3582.3205</v>
      </c>
      <c r="D14" s="33" t="n">
        <f aca="false">-SUMIFS(DRE_por_UN!$P:$P,DRE_por_UN!$C:$C,D$2)</f>
        <v>-3426.08125</v>
      </c>
      <c r="E14" s="33" t="n">
        <f aca="false">-SUMIFS(DRE_por_UN!$P:$P,DRE_por_UN!$C:$C,E$2)</f>
        <v>-3759.35475</v>
      </c>
      <c r="F14" s="33" t="n">
        <f aca="false">-SUMIFS(DRE_por_UN!$P:$P,DRE_por_UN!$C:$C,F$2)</f>
        <v>-3854.2389</v>
      </c>
      <c r="G14" s="33" t="n">
        <f aca="false">-SUMIFS(DRE_por_UN!$P:$P,DRE_por_UN!$C:$C,G$2)</f>
        <v>-3901.84195</v>
      </c>
      <c r="H14" s="33" t="n">
        <f aca="false">-SUMIFS(DRE_por_UN!$P:$P,DRE_por_UN!$C:$C,H$2)</f>
        <v>-4232.42205</v>
      </c>
      <c r="I14" s="33" t="n">
        <f aca="false">-SUMIFS(DRE_por_UN!$P:$P,DRE_por_UN!$C:$C,I$2)</f>
        <v>-4281.33885</v>
      </c>
      <c r="J14" s="33" t="n">
        <f aca="false">-SUMIFS(DRE_por_UN!$P:$P,DRE_por_UN!$C:$C,J$2)</f>
        <v>-3775.89885</v>
      </c>
      <c r="K14" s="33" t="n">
        <f aca="false">-SUMIFS(DRE_por_UN!$P:$P,DRE_por_UN!$C:$C,K$2)</f>
        <v>-3873.75465</v>
      </c>
      <c r="L14" s="33" t="n">
        <f aca="false">-SUMIFS(DRE_por_UN!$P:$P,DRE_por_UN!$C:$C,L$2)</f>
        <v>-4140.65295</v>
      </c>
      <c r="M14" s="33" t="n">
        <f aca="false">-SUMIFS(DRE_por_UN!$P:$P,DRE_por_UN!$C:$C,M$2)</f>
        <v>-4814.6075</v>
      </c>
      <c r="N14" s="33" t="n">
        <f aca="false">-SUMIFS(DRE_por_UN!$P:$P,DRE_por_UN!$C:$C,N$2)</f>
        <v>-5114.404</v>
      </c>
      <c r="O14" s="33" t="n">
        <f aca="false">-SUMIFS(DRE_por_UN!$P:$P,DRE_por_UN!$C:$C,O$2)</f>
        <v>-3710.18605</v>
      </c>
      <c r="P14" s="33" t="n">
        <f aca="false">-SUMIFS(DRE_por_UN!$P:$P,DRE_por_UN!$C:$C,P$2)</f>
        <v>-2940.9539</v>
      </c>
      <c r="Q14" s="33" t="n">
        <f aca="false">-SUMIFS(DRE_por_UN!$P:$P,DRE_por_UN!$C:$C,Q$2)</f>
        <v>-3980.8405</v>
      </c>
      <c r="R14" s="33" t="n">
        <f aca="false">-SUMIFS(DRE_por_UN!$P:$P,DRE_por_UN!$C:$C,R$2)</f>
        <v>-3597.148</v>
      </c>
      <c r="S14" s="33" t="n">
        <f aca="false">-SUMIFS(DRE_por_UN!$P:$P,DRE_por_UN!$C:$C,S$2)</f>
        <v>-4765.93465</v>
      </c>
      <c r="T14" s="33" t="n">
        <f aca="false">-SUMIFS(DRE_por_UN!$P:$P,DRE_por_UN!$C:$C,T$2)</f>
        <v>-4563.4202</v>
      </c>
      <c r="U14" s="33" t="n">
        <f aca="false">-SUMIFS(DRE_por_UN!$P:$P,DRE_por_UN!$C:$C,U$2)</f>
        <v>-4766.5823</v>
      </c>
      <c r="V14" s="33" t="n">
        <f aca="false">-SUMIFS(DRE_por_UN!$P:$P,DRE_por_UN!$C:$C,V$2)</f>
        <v>-4423.28995</v>
      </c>
      <c r="W14" s="33" t="n">
        <f aca="false">-SUMIFS(DRE_por_UN!$P:$P,DRE_por_UN!$C:$C,W$2)</f>
        <v>-4390.31155</v>
      </c>
      <c r="X14" s="33" t="n">
        <f aca="false">-SUMIFS(DRE_por_UN!$P:$P,DRE_por_UN!$C:$C,X$2)</f>
        <v>-4049.8335</v>
      </c>
      <c r="Y14" s="33" t="n">
        <f aca="false">-SUMIFS(DRE_por_UN!$P:$P,DRE_por_UN!$C:$C,Y$2)</f>
        <v>-5118.7826</v>
      </c>
      <c r="Z14" s="33" t="n">
        <f aca="false">-SUMIFS(DRE_por_UN!$P:$P,DRE_por_UN!$C:$C,Z$2)</f>
        <v>-5449.2221</v>
      </c>
      <c r="AA14" s="33" t="n">
        <f aca="false">-SUMIFS(DRE_por_UN!$P:$P,DRE_por_UN!$C:$C,AA$2)</f>
        <v>-4042.7891613485</v>
      </c>
      <c r="AB14" s="33" t="n">
        <f aca="false">-SUMIFS(DRE_por_UN!$P:$P,DRE_por_UN!$C:$C,AB$2)</f>
        <v>-3140.9483805268</v>
      </c>
      <c r="AC14" s="33" t="n">
        <f aca="false">-SUMIFS(DRE_por_UN!$P:$P,DRE_por_UN!$C:$C,AC$2)</f>
        <v>-4240.1667678292</v>
      </c>
      <c r="AD14" s="33" t="n">
        <f aca="false">-SUMIFS(DRE_por_UN!$P:$P,DRE_por_UN!$C:$C,AD$2)</f>
        <v>-3844.8196584056</v>
      </c>
      <c r="AE14" s="33" t="n">
        <f aca="false">-SUMIFS(DRE_por_UN!$P:$P,DRE_por_UN!$C:$C,AE$2)</f>
        <v>-5024.8893935521</v>
      </c>
      <c r="AF14" s="33" t="n">
        <f aca="false">-SUMIFS(DRE_por_UN!$P:$P,DRE_por_UN!$C:$C,AF$2)</f>
        <v>-4773.1516174304</v>
      </c>
      <c r="AG14" s="33" t="n">
        <f aca="false">-SUMIFS(DRE_por_UN!$P:$P,DRE_por_UN!$C:$C,AG$2)</f>
        <v>-5105.6771866188</v>
      </c>
      <c r="AH14" s="33" t="n">
        <f aca="false">-SUMIFS(DRE_por_UN!$P:$P,DRE_por_UN!$C:$C,AH$2)</f>
        <v>-4749.0305717401</v>
      </c>
      <c r="AI14" s="33" t="n">
        <f aca="false">-SUMIFS(DRE_por_UN!$P:$P,DRE_por_UN!$C:$C,AI$2)</f>
        <v>-4700.6006539848</v>
      </c>
      <c r="AJ14" s="33" t="n">
        <f aca="false">-SUMIFS(DRE_por_UN!$P:$P,DRE_por_UN!$C:$C,AJ$2)</f>
        <v>-4260.5689731717</v>
      </c>
      <c r="AK14" s="33" t="n">
        <f aca="false">-SUMIFS(DRE_por_UN!$P:$P,DRE_por_UN!$C:$C,AK$2)</f>
        <v>-5399.7542996691</v>
      </c>
      <c r="AL14" s="33" t="n">
        <f aca="false">-SUMIFS(DRE_por_UN!$P:$P,DRE_por_UN!$C:$C,AL$2)</f>
        <v>-5799.3279020035</v>
      </c>
      <c r="AN14" s="33" t="n">
        <f aca="false">SUMIF($C$3:$AL$3,2025,$C14:$AL14)</f>
        <v>-48756.9162</v>
      </c>
      <c r="AO14" s="33" t="n">
        <f aca="false">SUMIF($C$3:$AL$3,2026,$C14:$AL14)</f>
        <v>-51756.5053</v>
      </c>
      <c r="AP14" s="33" t="n">
        <f aca="false">SUMIF($C$3:$AL$3,2027,$C14:$AL14)</f>
        <v>-55081.7245662806</v>
      </c>
    </row>
    <row r="15" customFormat="false" ht="15" hidden="false" customHeight="true" outlineLevel="0" collapsed="false">
      <c r="A15" s="16" t="s">
        <v>199</v>
      </c>
      <c r="B15" s="17"/>
      <c r="C15" s="31" t="n">
        <f aca="false">C8+C10+C11+C12+C13+C14</f>
        <v>15780.7099</v>
      </c>
      <c r="D15" s="31" t="n">
        <f aca="false">D8+D10+D11+D12+D13+D14</f>
        <v>13175.6597</v>
      </c>
      <c r="E15" s="31" t="n">
        <f aca="false">E8+E10+E11+E12+E13+E14</f>
        <v>20352.8113</v>
      </c>
      <c r="F15" s="31" t="n">
        <f aca="false">F8+F10+F11+F12+F13+F14</f>
        <v>22417.1391</v>
      </c>
      <c r="G15" s="31" t="n">
        <f aca="false">G8+G10+G11+G12+G13+G14</f>
        <v>22268.4342</v>
      </c>
      <c r="H15" s="31" t="n">
        <f aca="false">H8+H10+H11+H12+H13+H14</f>
        <v>27779.7612</v>
      </c>
      <c r="I15" s="31" t="n">
        <f aca="false">I8+I10+I11+I12+I13+I14</f>
        <v>29136.6996</v>
      </c>
      <c r="J15" s="31" t="n">
        <f aca="false">J8+J10+J11+J12+J13+J14</f>
        <v>20242.12815</v>
      </c>
      <c r="K15" s="31" t="n">
        <f aca="false">K8+K10+K11+K12+K13+K14</f>
        <v>21819.25835</v>
      </c>
      <c r="L15" s="31" t="n">
        <f aca="false">L8+L10+L11+L12+L13+L14</f>
        <v>26145.78025</v>
      </c>
      <c r="M15" s="31" t="n">
        <f aca="false">M8+M10+M11+M12+M13+M14</f>
        <v>40262.7719</v>
      </c>
      <c r="N15" s="31" t="n">
        <f aca="false">N8+N10+N11+N12+N13+N14</f>
        <v>45114.91525</v>
      </c>
      <c r="O15" s="31" t="n">
        <f aca="false">O8+O10+O11+O12+O13+O14</f>
        <v>12743.5692</v>
      </c>
      <c r="P15" s="31" t="n">
        <f aca="false">P8+P10+P11+P12+P13+P14</f>
        <v>540.793149999985</v>
      </c>
      <c r="Q15" s="31" t="n">
        <f aca="false">Q8+Q10+Q11+Q12+Q13+Q14</f>
        <v>17255.56095</v>
      </c>
      <c r="R15" s="31" t="n">
        <f aca="false">R8+R10+R11+R12+R13+R14</f>
        <v>12968.039</v>
      </c>
      <c r="S15" s="31" t="n">
        <f aca="false">S8+S10+S11+S12+S13+S14</f>
        <v>30391.9997</v>
      </c>
      <c r="T15" s="31" t="n">
        <f aca="false">T8+T10+T11+T12+T13+T14</f>
        <v>28038.47865</v>
      </c>
      <c r="U15" s="31" t="n">
        <f aca="false">U8+U10+U11+U12+U13+U14</f>
        <v>31888.80965</v>
      </c>
      <c r="V15" s="31" t="n">
        <f aca="false">V8+V10+V11+V12+V13+V14</f>
        <v>25757.218</v>
      </c>
      <c r="W15" s="31" t="n">
        <f aca="false">W8+W10+W11+W12+W13+W14</f>
        <v>23593.92075</v>
      </c>
      <c r="X15" s="31" t="n">
        <f aca="false">X8+X10+X11+X12+X13+X14</f>
        <v>18992.3389</v>
      </c>
      <c r="Y15" s="31" t="n">
        <f aca="false">Y8+Y10+Y11+Y12+Y13+Y14</f>
        <v>37658.5852</v>
      </c>
      <c r="Z15" s="31" t="n">
        <f aca="false">Z8+Z10+Z11+Z12+Z13+Z14</f>
        <v>44480.02135</v>
      </c>
      <c r="AA15" s="31" t="n">
        <f aca="false">AA8+AA10+AA11+AA12+AA13+AA14</f>
        <v>11293.725250797</v>
      </c>
      <c r="AB15" s="31" t="n">
        <f aca="false">AB8+AB10+AB11+AB12+AB13+AB14</f>
        <v>-2825.98313002925</v>
      </c>
      <c r="AC15" s="31" t="n">
        <f aca="false">AC8+AC10+AC11+AC12+AC13+AC14</f>
        <v>14612.7184617574</v>
      </c>
      <c r="AD15" s="31" t="n">
        <f aca="false">AD8+AD10+AD11+AD12+AD13+AD14</f>
        <v>10732.863911709</v>
      </c>
      <c r="AE15" s="31" t="n">
        <f aca="false">AE8+AE10+AE11+AE12+AE13+AE14</f>
        <v>28075.5610042051</v>
      </c>
      <c r="AF15" s="31" t="n">
        <f aca="false">AF8+AF10+AF11+AF12+AF13+AF14</f>
        <v>25174.8731050137</v>
      </c>
      <c r="AG15" s="31" t="n">
        <f aca="false">AG8+AG10+AG11+AG12+AG13+AG14</f>
        <v>30811.5167477329</v>
      </c>
      <c r="AH15" s="31" t="n">
        <f aca="false">AH8+AH10+AH11+AH12+AH13+AH14</f>
        <v>24340.8189725374</v>
      </c>
      <c r="AI15" s="31" t="n">
        <f aca="false">AI8+AI10+AI11+AI12+AI13+AI14</f>
        <v>21718.7223411948</v>
      </c>
      <c r="AJ15" s="31" t="n">
        <f aca="false">AJ8+AJ10+AJ11+AJ12+AJ13+AJ14</f>
        <v>16011.3963850667</v>
      </c>
      <c r="AK15" s="31" t="n">
        <f aca="false">AK8+AK10+AK11+AK12+AK13+AK14</f>
        <v>35807.7393962416</v>
      </c>
      <c r="AL15" s="31" t="n">
        <f aca="false">AL8+AL10+AL11+AL12+AL13+AL14</f>
        <v>43403.1331855635</v>
      </c>
      <c r="AM15" s="17"/>
      <c r="AN15" s="31" t="n">
        <f aca="false">SUMIF($C$3:$AL$3,2025,$C15:$AL15)</f>
        <v>304496.0689</v>
      </c>
      <c r="AO15" s="31" t="n">
        <f aca="false">SUMIF($C$3:$AL$3,2026,$C15:$AL15)</f>
        <v>284309.3345</v>
      </c>
      <c r="AP15" s="31" t="n">
        <f aca="false">SUMIF($C$3:$AL$3,2027,$C15:$AL15)</f>
        <v>259157.08563179</v>
      </c>
    </row>
    <row r="16" customFormat="false" ht="15" hidden="false" customHeight="true" outlineLevel="0" collapsed="false">
      <c r="A16" s="32" t="s">
        <v>200</v>
      </c>
      <c r="C16" s="33" t="n">
        <f aca="false">-Premissas!$B$8*(1+Premissas!$B$9)^(C$3-2025)</f>
        <v>-8000</v>
      </c>
      <c r="D16" s="33" t="n">
        <f aca="false">-Premissas!$B$8*(1+Premissas!$B$9)^(D$3-2025)</f>
        <v>-8000</v>
      </c>
      <c r="E16" s="33" t="n">
        <f aca="false">-Premissas!$B$8*(1+Premissas!$B$9)^(E$3-2025)</f>
        <v>-8000</v>
      </c>
      <c r="F16" s="33" t="n">
        <f aca="false">-Premissas!$B$8*(1+Premissas!$B$9)^(F$3-2025)</f>
        <v>-8000</v>
      </c>
      <c r="G16" s="33" t="n">
        <f aca="false">-Premissas!$B$8*(1+Premissas!$B$9)^(G$3-2025)</f>
        <v>-8000</v>
      </c>
      <c r="H16" s="33" t="n">
        <f aca="false">-Premissas!$B$8*(1+Premissas!$B$9)^(H$3-2025)</f>
        <v>-8000</v>
      </c>
      <c r="I16" s="33" t="n">
        <f aca="false">-Premissas!$B$8*(1+Premissas!$B$9)^(I$3-2025)</f>
        <v>-8000</v>
      </c>
      <c r="J16" s="33" t="n">
        <f aca="false">-Premissas!$B$8*(1+Premissas!$B$9)^(J$3-2025)</f>
        <v>-8000</v>
      </c>
      <c r="K16" s="33" t="n">
        <f aca="false">-Premissas!$B$8*(1+Premissas!$B$9)^(K$3-2025)</f>
        <v>-8000</v>
      </c>
      <c r="L16" s="33" t="n">
        <f aca="false">-Premissas!$B$8*(1+Premissas!$B$9)^(L$3-2025)</f>
        <v>-8000</v>
      </c>
      <c r="M16" s="33" t="n">
        <f aca="false">-Premissas!$B$8*(1+Premissas!$B$9)^(M$3-2025)</f>
        <v>-8000</v>
      </c>
      <c r="N16" s="33" t="n">
        <f aca="false">-Premissas!$B$8*(1+Premissas!$B$9)^(N$3-2025)</f>
        <v>-8000</v>
      </c>
      <c r="O16" s="33" t="n">
        <f aca="false">-Premissas!$B$8*(1+Premissas!$B$9)^(O$3-2025)</f>
        <v>-8480</v>
      </c>
      <c r="P16" s="33" t="n">
        <f aca="false">-Premissas!$B$8*(1+Premissas!$B$9)^(P$3-2025)</f>
        <v>-8480</v>
      </c>
      <c r="Q16" s="33" t="n">
        <f aca="false">-Premissas!$B$8*(1+Premissas!$B$9)^(Q$3-2025)</f>
        <v>-8480</v>
      </c>
      <c r="R16" s="33" t="n">
        <f aca="false">-Premissas!$B$8*(1+Premissas!$B$9)^(R$3-2025)</f>
        <v>-8480</v>
      </c>
      <c r="S16" s="33" t="n">
        <f aca="false">-Premissas!$B$8*(1+Premissas!$B$9)^(S$3-2025)</f>
        <v>-8480</v>
      </c>
      <c r="T16" s="33" t="n">
        <f aca="false">-Premissas!$B$8*(1+Premissas!$B$9)^(T$3-2025)</f>
        <v>-8480</v>
      </c>
      <c r="U16" s="33" t="n">
        <f aca="false">-Premissas!$B$8*(1+Premissas!$B$9)^(U$3-2025)</f>
        <v>-8480</v>
      </c>
      <c r="V16" s="33" t="n">
        <f aca="false">-Premissas!$B$8*(1+Premissas!$B$9)^(V$3-2025)</f>
        <v>-8480</v>
      </c>
      <c r="W16" s="33" t="n">
        <f aca="false">-Premissas!$B$8*(1+Premissas!$B$9)^(W$3-2025)</f>
        <v>-8480</v>
      </c>
      <c r="X16" s="33" t="n">
        <f aca="false">-Premissas!$B$8*(1+Premissas!$B$9)^(X$3-2025)</f>
        <v>-8480</v>
      </c>
      <c r="Y16" s="33" t="n">
        <f aca="false">-Premissas!$B$8*(1+Premissas!$B$9)^(Y$3-2025)</f>
        <v>-8480</v>
      </c>
      <c r="Z16" s="33" t="n">
        <f aca="false">-Premissas!$B$8*(1+Premissas!$B$9)^(Z$3-2025)</f>
        <v>-8480</v>
      </c>
      <c r="AA16" s="33" t="n">
        <f aca="false">-Premissas!$B$8*(1+Premissas!$B$9)^(AA$3-2025)</f>
        <v>-8988.8</v>
      </c>
      <c r="AB16" s="33" t="n">
        <f aca="false">-Premissas!$B$8*(1+Premissas!$B$9)^(AB$3-2025)</f>
        <v>-8988.8</v>
      </c>
      <c r="AC16" s="33" t="n">
        <f aca="false">-Premissas!$B$8*(1+Premissas!$B$9)^(AC$3-2025)</f>
        <v>-8988.8</v>
      </c>
      <c r="AD16" s="33" t="n">
        <f aca="false">-Premissas!$B$8*(1+Premissas!$B$9)^(AD$3-2025)</f>
        <v>-8988.8</v>
      </c>
      <c r="AE16" s="33" t="n">
        <f aca="false">-Premissas!$B$8*(1+Premissas!$B$9)^(AE$3-2025)</f>
        <v>-8988.8</v>
      </c>
      <c r="AF16" s="33" t="n">
        <f aca="false">-Premissas!$B$8*(1+Premissas!$B$9)^(AF$3-2025)</f>
        <v>-8988.8</v>
      </c>
      <c r="AG16" s="33" t="n">
        <f aca="false">-Premissas!$B$8*(1+Premissas!$B$9)^(AG$3-2025)</f>
        <v>-8988.8</v>
      </c>
      <c r="AH16" s="33" t="n">
        <f aca="false">-Premissas!$B$8*(1+Premissas!$B$9)^(AH$3-2025)</f>
        <v>-8988.8</v>
      </c>
      <c r="AI16" s="33" t="n">
        <f aca="false">-Premissas!$B$8*(1+Premissas!$B$9)^(AI$3-2025)</f>
        <v>-8988.8</v>
      </c>
      <c r="AJ16" s="33" t="n">
        <f aca="false">-Premissas!$B$8*(1+Premissas!$B$9)^(AJ$3-2025)</f>
        <v>-8988.8</v>
      </c>
      <c r="AK16" s="33" t="n">
        <f aca="false">-Premissas!$B$8*(1+Premissas!$B$9)^(AK$3-2025)</f>
        <v>-8988.8</v>
      </c>
      <c r="AL16" s="33" t="n">
        <f aca="false">-Premissas!$B$8*(1+Premissas!$B$9)^(AL$3-2025)</f>
        <v>-8988.8</v>
      </c>
      <c r="AN16" s="33" t="n">
        <f aca="false">SUMIF($C$3:$AL$3,2025,$C16:$AL16)</f>
        <v>-96000</v>
      </c>
      <c r="AO16" s="33" t="n">
        <f aca="false">SUMIF($C$3:$AL$3,2026,$C16:$AL16)</f>
        <v>-101760</v>
      </c>
      <c r="AP16" s="33" t="n">
        <f aca="false">SUMIF($C$3:$AL$3,2027,$C16:$AL16)</f>
        <v>-107865.6</v>
      </c>
    </row>
    <row r="17" customFormat="false" ht="15" hidden="false" customHeight="true" outlineLevel="0" collapsed="false">
      <c r="A17" s="34" t="s">
        <v>201</v>
      </c>
      <c r="B17" s="35"/>
      <c r="C17" s="36" t="n">
        <f aca="false">C15+C16</f>
        <v>7780.70990000001</v>
      </c>
      <c r="D17" s="36" t="n">
        <f aca="false">D15+D16</f>
        <v>5175.65969999999</v>
      </c>
      <c r="E17" s="36" t="n">
        <f aca="false">E15+E16</f>
        <v>12352.8113</v>
      </c>
      <c r="F17" s="36" t="n">
        <f aca="false">F15+F16</f>
        <v>14417.1391</v>
      </c>
      <c r="G17" s="36" t="n">
        <f aca="false">G15+G16</f>
        <v>14268.4342</v>
      </c>
      <c r="H17" s="36" t="n">
        <f aca="false">H15+H16</f>
        <v>19779.7612</v>
      </c>
      <c r="I17" s="36" t="n">
        <f aca="false">I15+I16</f>
        <v>21136.6996</v>
      </c>
      <c r="J17" s="36" t="n">
        <f aca="false">J15+J16</f>
        <v>12242.12815</v>
      </c>
      <c r="K17" s="36" t="n">
        <f aca="false">K15+K16</f>
        <v>13819.25835</v>
      </c>
      <c r="L17" s="36" t="n">
        <f aca="false">L15+L16</f>
        <v>18145.78025</v>
      </c>
      <c r="M17" s="36" t="n">
        <f aca="false">M15+M16</f>
        <v>32262.7719</v>
      </c>
      <c r="N17" s="36" t="n">
        <f aca="false">N15+N16</f>
        <v>37114.91525</v>
      </c>
      <c r="O17" s="36" t="n">
        <f aca="false">O15+O16</f>
        <v>4263.56919999998</v>
      </c>
      <c r="P17" s="36" t="n">
        <f aca="false">P15+P16</f>
        <v>-7939.20685000002</v>
      </c>
      <c r="Q17" s="36" t="n">
        <f aca="false">Q15+Q16</f>
        <v>8775.56095000003</v>
      </c>
      <c r="R17" s="36" t="n">
        <f aca="false">R15+R16</f>
        <v>4488.03899999996</v>
      </c>
      <c r="S17" s="36" t="n">
        <f aca="false">S15+S16</f>
        <v>21911.9997</v>
      </c>
      <c r="T17" s="36" t="n">
        <f aca="false">T15+T16</f>
        <v>19558.47865</v>
      </c>
      <c r="U17" s="36" t="n">
        <f aca="false">U15+U16</f>
        <v>23408.80965</v>
      </c>
      <c r="V17" s="36" t="n">
        <f aca="false">V15+V16</f>
        <v>17277.218</v>
      </c>
      <c r="W17" s="36" t="n">
        <f aca="false">W15+W16</f>
        <v>15113.92075</v>
      </c>
      <c r="X17" s="36" t="n">
        <f aca="false">X15+X16</f>
        <v>10512.3389</v>
      </c>
      <c r="Y17" s="36" t="n">
        <f aca="false">Y15+Y16</f>
        <v>29178.5852</v>
      </c>
      <c r="Z17" s="36" t="n">
        <f aca="false">Z15+Z16</f>
        <v>36000.02135</v>
      </c>
      <c r="AA17" s="36" t="n">
        <f aca="false">AA15+AA16</f>
        <v>2304.92525079704</v>
      </c>
      <c r="AB17" s="36" t="n">
        <f aca="false">AB15+AB16</f>
        <v>-11814.7831300293</v>
      </c>
      <c r="AC17" s="36" t="n">
        <f aca="false">AC15+AC16</f>
        <v>5623.91846175742</v>
      </c>
      <c r="AD17" s="36" t="n">
        <f aca="false">AD15+AD16</f>
        <v>1744.063911709</v>
      </c>
      <c r="AE17" s="36" t="n">
        <f aca="false">AE15+AE16</f>
        <v>19086.7610042051</v>
      </c>
      <c r="AF17" s="36" t="n">
        <f aca="false">AF15+AF16</f>
        <v>16186.0731050137</v>
      </c>
      <c r="AG17" s="36" t="n">
        <f aca="false">AG15+AG16</f>
        <v>21822.7167477329</v>
      </c>
      <c r="AH17" s="36" t="n">
        <f aca="false">AH15+AH16</f>
        <v>15352.0189725374</v>
      </c>
      <c r="AI17" s="36" t="n">
        <f aca="false">AI15+AI16</f>
        <v>12729.9223411948</v>
      </c>
      <c r="AJ17" s="36" t="n">
        <f aca="false">AJ15+AJ16</f>
        <v>7022.59638506671</v>
      </c>
      <c r="AK17" s="36" t="n">
        <f aca="false">AK15+AK16</f>
        <v>26818.9393962416</v>
      </c>
      <c r="AL17" s="36" t="n">
        <f aca="false">AL15+AL16</f>
        <v>34414.3331855635</v>
      </c>
      <c r="AM17" s="35"/>
      <c r="AN17" s="36" t="n">
        <f aca="false">SUMIF($C$3:$AL$3,2025,$C17:$AL17)</f>
        <v>208496.0689</v>
      </c>
      <c r="AO17" s="36" t="n">
        <f aca="false">SUMIF($C$3:$AL$3,2026,$C17:$AL17)</f>
        <v>182549.3345</v>
      </c>
      <c r="AP17" s="36" t="n">
        <f aca="false">SUMIF($C$3:$AL$3,2027,$C17:$AL17)</f>
        <v>151291.48563179</v>
      </c>
    </row>
    <row r="18" customFormat="false" ht="15" hidden="false" customHeight="true" outlineLevel="0" collapsed="false">
      <c r="A18" s="32" t="s">
        <v>202</v>
      </c>
      <c r="C18" s="37" t="n">
        <f aca="false">IF(C6=0,0,C17/C6)</f>
        <v>0.044482642604172</v>
      </c>
      <c r="D18" s="37" t="n">
        <f aca="false">IF(D6=0,0,D17/D6)</f>
        <v>0.0303630892203769</v>
      </c>
      <c r="E18" s="37" t="n">
        <f aca="false">IF(E6=0,0,E17/E6)</f>
        <v>0.0661905246706673</v>
      </c>
      <c r="F18" s="37" t="n">
        <f aca="false">IF(F6=0,0,F17/F6)</f>
        <v>0.0753229083923026</v>
      </c>
      <c r="G18" s="37" t="n">
        <f aca="false">IF(G6=0,0,G17/G6)</f>
        <v>0.0736266247817471</v>
      </c>
      <c r="H18" s="37" t="n">
        <f aca="false">IF(H6=0,0,H17/H6)</f>
        <v>0.0939395002367748</v>
      </c>
      <c r="I18" s="37" t="n">
        <f aca="false">IF(I6=0,0,I17/I6)</f>
        <v>0.0991456038874898</v>
      </c>
      <c r="J18" s="37" t="n">
        <f aca="false">IF(J6=0,0,J17/J6)</f>
        <v>0.0651625888577504</v>
      </c>
      <c r="K18" s="37" t="n">
        <f aca="false">IF(K6=0,0,K17/K6)</f>
        <v>0.0726129133601586</v>
      </c>
      <c r="L18" s="37" t="n">
        <f aca="false">IF(L6=0,0,L17/L6)</f>
        <v>0.0880760078553919</v>
      </c>
      <c r="M18" s="37" t="n">
        <f aca="false">IF(M6=0,0,M17/M6)</f>
        <v>0.134490171388953</v>
      </c>
      <c r="N18" s="37" t="n">
        <f aca="false">IF(N6=0,0,N17/N6)</f>
        <v>0.146505644891374</v>
      </c>
      <c r="O18" s="37" t="n">
        <f aca="false">IF(O6=0,0,O17/O6)</f>
        <v>0.0234224297809588</v>
      </c>
      <c r="P18" s="37" t="n">
        <f aca="false">IF(P6=0,0,P17/P6)</f>
        <v>-0.0541927860693972</v>
      </c>
      <c r="Q18" s="37" t="n">
        <f aca="false">IF(Q6=0,0,Q17/Q6)</f>
        <v>0.0443209947530833</v>
      </c>
      <c r="R18" s="37" t="n">
        <f aca="false">IF(R6=0,0,R17/R6)</f>
        <v>0.0250890603591258</v>
      </c>
      <c r="S18" s="37" t="n">
        <f aca="false">IF(S6=0,0,S17/S6)</f>
        <v>0.0943006655745542</v>
      </c>
      <c r="T18" s="37" t="n">
        <f aca="false">IF(T6=0,0,T17/T6)</f>
        <v>0.0876107965233727</v>
      </c>
      <c r="U18" s="37" t="n">
        <f aca="false">IF(U6=0,0,U17/U6)</f>
        <v>0.0989169653588357</v>
      </c>
      <c r="V18" s="37" t="n">
        <f aca="false">IF(V6=0,0,V17/V6)</f>
        <v>0.0790111533877666</v>
      </c>
      <c r="W18" s="37" t="n">
        <f aca="false">IF(W6=0,0,W17/W6)</f>
        <v>0.069500800776294</v>
      </c>
      <c r="X18" s="37" t="n">
        <f aca="false">IF(X6=0,0,X17/X6)</f>
        <v>0.0528058794477421</v>
      </c>
      <c r="Y18" s="37" t="n">
        <f aca="false">IF(Y6=0,0,Y17/Y6)</f>
        <v>0.115383270164718</v>
      </c>
      <c r="Z18" s="37" t="n">
        <f aca="false">IF(Z6=0,0,Z17/Z6)</f>
        <v>0.132946317047604</v>
      </c>
      <c r="AA18" s="37" t="n">
        <f aca="false">IF(AA6=0,0,AA17/AA6)</f>
        <v>0.0116564740017011</v>
      </c>
      <c r="AB18" s="37" t="n">
        <f aca="false">IF(AB6=0,0,AB17/AB6)</f>
        <v>-0.0755354571592828</v>
      </c>
      <c r="AC18" s="37" t="n">
        <f aca="false">IF(AC6=0,0,AC17/AC6)</f>
        <v>0.02666965484053</v>
      </c>
      <c r="AD18" s="37" t="n">
        <f aca="false">IF(AD6=0,0,AD17/AD6)</f>
        <v>0.00912422371287365</v>
      </c>
      <c r="AE18" s="37" t="n">
        <f aca="false">IF(AE6=0,0,AE17/AE6)</f>
        <v>0.077878521709782</v>
      </c>
      <c r="AF18" s="37" t="n">
        <f aca="false">IF(AF6=0,0,AF17/AF6)</f>
        <v>0.0691377693947366</v>
      </c>
      <c r="AG18" s="37" t="n">
        <f aca="false">IF(AG6=0,0,AG17/AG6)</f>
        <v>0.0861235920000645</v>
      </c>
      <c r="AH18" s="37" t="n">
        <f aca="false">IF(AH6=0,0,AH17/AH6)</f>
        <v>0.0654825082707526</v>
      </c>
      <c r="AI18" s="37" t="n">
        <f aca="false">IF(AI6=0,0,AI17/AI6)</f>
        <v>0.0547488072156322</v>
      </c>
      <c r="AJ18" s="37" t="n">
        <f aca="false">IF(AJ6=0,0,AJ17/AJ6)</f>
        <v>0.0334427485981224</v>
      </c>
      <c r="AK18" s="37" t="n">
        <f aca="false">IF(AK6=0,0,AK17/AK6)</f>
        <v>0.100319933212666</v>
      </c>
      <c r="AL18" s="37" t="n">
        <f aca="false">IF(AL6=0,0,AL17/AL6)</f>
        <v>0.119410831614185</v>
      </c>
      <c r="AN18" s="37" t="n">
        <f aca="false">IF(AN6=0,0,AN17/AN6)</f>
        <v>0.0862131838677562</v>
      </c>
      <c r="AO18" s="37" t="n">
        <f aca="false">IF(AO6=0,0,AO17/AO6)</f>
        <v>0.0714046324193076</v>
      </c>
      <c r="AP18" s="37" t="n">
        <f aca="false">IF(AP6=0,0,AP17/AP6)</f>
        <v>0.0555965182204769</v>
      </c>
    </row>
    <row r="19" customFormat="false" ht="15" hidden="false" customHeight="true" outlineLevel="0" collapsed="false">
      <c r="A19" s="32" t="s">
        <v>203</v>
      </c>
      <c r="C19" s="33" t="n">
        <f aca="false">-(Cronogramas!C7+Cronogramas!C11)</f>
        <v>-4855.19778833333</v>
      </c>
      <c r="D19" s="33" t="n">
        <f aca="false">-(Cronogramas!D7+Cronogramas!D11)</f>
        <v>-4876.50515458333</v>
      </c>
      <c r="E19" s="33" t="n">
        <f aca="false">-(Cronogramas!E7+Cronogramas!E11)</f>
        <v>-4899.83328833333</v>
      </c>
      <c r="F19" s="33" t="n">
        <f aca="false">-(Cronogramas!F7+Cronogramas!F11)</f>
        <v>-4923.75884333333</v>
      </c>
      <c r="G19" s="33" t="n">
        <f aca="false">-(Cronogramas!G7+Cronogramas!G11)</f>
        <v>-4947.98315458333</v>
      </c>
      <c r="H19" s="33" t="n">
        <f aca="false">-(Cronogramas!H7+Cronogramas!H11)</f>
        <v>-5224.30296833333</v>
      </c>
      <c r="I19" s="33" t="n">
        <f aca="false">-(Cronogramas!I7+Cronogramas!I11)</f>
        <v>-5500.95152708333</v>
      </c>
      <c r="J19" s="33" t="n">
        <f aca="false">-(Cronogramas!J7+Cronogramas!J11)</f>
        <v>-5774.43533958333</v>
      </c>
      <c r="K19" s="33" t="n">
        <f aca="false">-(Cronogramas!K7+Cronogramas!K11)</f>
        <v>-5798.22459708333</v>
      </c>
      <c r="L19" s="33" t="n">
        <f aca="false">-(Cronogramas!L7+Cronogramas!L11)</f>
        <v>-5823.97760958333</v>
      </c>
      <c r="M19" s="33" t="n">
        <f aca="false">-(Cronogramas!M7+Cronogramas!M11)</f>
        <v>-5853.96378958333</v>
      </c>
      <c r="N19" s="33" t="n">
        <f aca="false">-(Cronogramas!N7+Cronogramas!N11)</f>
        <v>-5885.63058583333</v>
      </c>
      <c r="O19" s="33" t="n">
        <f aca="false">-(Cronogramas!O7+Cronogramas!O11)</f>
        <v>-5908.38425208333</v>
      </c>
      <c r="P19" s="33" t="n">
        <f aca="false">-(Cronogramas!P7+Cronogramas!P11)</f>
        <v>-5926.69666833333</v>
      </c>
      <c r="Q19" s="33" t="n">
        <f aca="false">-(Cronogramas!Q7+Cronogramas!Q11)</f>
        <v>-5951.44667958333</v>
      </c>
      <c r="R19" s="33" t="n">
        <f aca="false">-(Cronogramas!R7+Cronogramas!R11)</f>
        <v>-5973.80721708333</v>
      </c>
      <c r="S19" s="33" t="n">
        <f aca="false">-(Cronogramas!S7+Cronogramas!S11)</f>
        <v>-6002.85261083333</v>
      </c>
      <c r="T19" s="33" t="n">
        <f aca="false">-(Cronogramas!T7+Cronogramas!T11)</f>
        <v>-6030.75795958333</v>
      </c>
      <c r="U19" s="33" t="n">
        <f aca="false">-(Cronogramas!U7+Cronogramas!U11)</f>
        <v>-6060.33934833333</v>
      </c>
      <c r="V19" s="33" t="n">
        <f aca="false">-(Cronogramas!V7+Cronogramas!V11)</f>
        <v>-6087.67285958334</v>
      </c>
      <c r="W19" s="33" t="n">
        <f aca="false">-(Cronogramas!W7+Cronogramas!W11)</f>
        <v>-6114.85585708334</v>
      </c>
      <c r="X19" s="33" t="n">
        <f aca="false">-(Cronogramas!X7+Cronogramas!X11)</f>
        <v>-6139.74025208334</v>
      </c>
      <c r="Y19" s="33" t="n">
        <f aca="false">-(Cronogramas!Y7+Cronogramas!Y11)</f>
        <v>-6171.35075458333</v>
      </c>
      <c r="Z19" s="33" t="n">
        <f aca="false">-(Cronogramas!Z7+Cronogramas!Z11)</f>
        <v>-6205.19902333333</v>
      </c>
      <c r="AA19" s="33" t="n">
        <f aca="false">-(Cronogramas!AA7+Cronogramas!AA11)</f>
        <v>-6229.91624539445</v>
      </c>
      <c r="AB19" s="33" t="n">
        <f aca="false">-(Cronogramas!AB7+Cronogramas!AB11)</f>
        <v>-6249.46796251902</v>
      </c>
      <c r="AC19" s="33" t="n">
        <f aca="false">-(Cronogramas!AC7+Cronogramas!AC11)</f>
        <v>-6275.82712659232</v>
      </c>
      <c r="AD19" s="33" t="n">
        <f aca="false">-(Cronogramas!AD7+Cronogramas!AD11)</f>
        <v>-6299.72044571995</v>
      </c>
      <c r="AE19" s="33" t="n">
        <f aca="false">-(Cronogramas!AE7+Cronogramas!AE11)</f>
        <v>-6330.35591584889</v>
      </c>
      <c r="AF19" s="33" t="n">
        <f aca="false">-(Cronogramas!AF7+Cronogramas!AF11)</f>
        <v>-6359.62008152619</v>
      </c>
      <c r="AG19" s="33" t="n">
        <f aca="false">-(Cronogramas!AG7+Cronogramas!AG11)</f>
        <v>-6391.29362799723</v>
      </c>
      <c r="AH19" s="33" t="n">
        <f aca="false">-(Cronogramas!AH7+Cronogramas!AH11)</f>
        <v>-6420.5992001606</v>
      </c>
      <c r="AI19" s="33" t="n">
        <f aca="false">-(Cronogramas!AI7+Cronogramas!AI11)</f>
        <v>-6449.66358299514</v>
      </c>
      <c r="AJ19" s="33" t="n">
        <f aca="false">-(Cronogramas!AJ7+Cronogramas!AJ11)</f>
        <v>-6475.91215959038</v>
      </c>
      <c r="AK19" s="33" t="n">
        <f aca="false">-(Cronogramas!AK7+Cronogramas!AK11)</f>
        <v>-6509.3289225125</v>
      </c>
      <c r="AL19" s="33" t="n">
        <f aca="false">-(Cronogramas!AL7+Cronogramas!AL11)</f>
        <v>-6545.35406018254</v>
      </c>
      <c r="AN19" s="33" t="n">
        <f aca="false">SUMIF($C$3:$AL$3,2025,$C19:$AL19)</f>
        <v>-64364.76464625</v>
      </c>
      <c r="AO19" s="33" t="n">
        <f aca="false">SUMIF($C$3:$AL$3,2026,$C19:$AL19)</f>
        <v>-72573.1034825</v>
      </c>
      <c r="AP19" s="33" t="n">
        <f aca="false">SUMIF($C$3:$AL$3,2027,$C19:$AL19)</f>
        <v>-76537.0593310392</v>
      </c>
    </row>
    <row r="20" customFormat="false" ht="15" hidden="false" customHeight="true" outlineLevel="0" collapsed="false">
      <c r="A20" s="16" t="s">
        <v>204</v>
      </c>
      <c r="B20" s="17"/>
      <c r="C20" s="31" t="n">
        <f aca="false">C17+C19</f>
        <v>2925.51211166668</v>
      </c>
      <c r="D20" s="31" t="n">
        <f aca="false">D17+D19</f>
        <v>299.154545416652</v>
      </c>
      <c r="E20" s="31" t="n">
        <f aca="false">E17+E19</f>
        <v>7452.97801166668</v>
      </c>
      <c r="F20" s="31" t="n">
        <f aca="false">F17+F19</f>
        <v>9493.38025666665</v>
      </c>
      <c r="G20" s="31" t="n">
        <f aca="false">G17+G19</f>
        <v>9320.45104541671</v>
      </c>
      <c r="H20" s="31" t="n">
        <f aca="false">H17+H19</f>
        <v>14555.4582316666</v>
      </c>
      <c r="I20" s="31" t="n">
        <f aca="false">I17+I19</f>
        <v>15635.7480729167</v>
      </c>
      <c r="J20" s="31" t="n">
        <f aca="false">J17+J19</f>
        <v>6467.69281041665</v>
      </c>
      <c r="K20" s="31" t="n">
        <f aca="false">K17+K19</f>
        <v>8021.0337529167</v>
      </c>
      <c r="L20" s="31" t="n">
        <f aca="false">L17+L19</f>
        <v>12321.8026404167</v>
      </c>
      <c r="M20" s="31" t="n">
        <f aca="false">M17+M19</f>
        <v>26408.8081104167</v>
      </c>
      <c r="N20" s="31" t="n">
        <f aca="false">N17+N19</f>
        <v>31229.2846641667</v>
      </c>
      <c r="O20" s="31" t="n">
        <f aca="false">O17+O19</f>
        <v>-1644.81505208335</v>
      </c>
      <c r="P20" s="31" t="n">
        <f aca="false">P17+P19</f>
        <v>-13865.9035183333</v>
      </c>
      <c r="Q20" s="31" t="n">
        <f aca="false">Q17+Q19</f>
        <v>2824.11427041669</v>
      </c>
      <c r="R20" s="31" t="n">
        <f aca="false">R17+R19</f>
        <v>-1485.76821708337</v>
      </c>
      <c r="S20" s="31" t="n">
        <f aca="false">S17+S19</f>
        <v>15909.1470891666</v>
      </c>
      <c r="T20" s="31" t="n">
        <f aca="false">T17+T19</f>
        <v>13527.7206904167</v>
      </c>
      <c r="U20" s="31" t="n">
        <f aca="false">U17+U19</f>
        <v>17348.4703016667</v>
      </c>
      <c r="V20" s="31" t="n">
        <f aca="false">V17+V19</f>
        <v>11189.5451404166</v>
      </c>
      <c r="W20" s="31" t="n">
        <f aca="false">W17+W19</f>
        <v>8999.06489291664</v>
      </c>
      <c r="X20" s="31" t="n">
        <f aca="false">X17+X19</f>
        <v>4372.59864791664</v>
      </c>
      <c r="Y20" s="31" t="n">
        <f aca="false">Y17+Y19</f>
        <v>23007.2344454167</v>
      </c>
      <c r="Z20" s="31" t="n">
        <f aca="false">Z17+Z19</f>
        <v>29794.8223266667</v>
      </c>
      <c r="AA20" s="31" t="n">
        <f aca="false">AA17+AA19</f>
        <v>-3924.99099459741</v>
      </c>
      <c r="AB20" s="31" t="n">
        <f aca="false">AB17+AB19</f>
        <v>-18064.2510925483</v>
      </c>
      <c r="AC20" s="31" t="n">
        <f aca="false">AC17+AC19</f>
        <v>-651.9086648349</v>
      </c>
      <c r="AD20" s="31" t="n">
        <f aca="false">AD17+AD19</f>
        <v>-4555.65653401095</v>
      </c>
      <c r="AE20" s="31" t="n">
        <f aca="false">AE17+AE19</f>
        <v>12756.4050883563</v>
      </c>
      <c r="AF20" s="31" t="n">
        <f aca="false">AF17+AF19</f>
        <v>9826.45302348747</v>
      </c>
      <c r="AG20" s="31" t="n">
        <f aca="false">AG17+AG19</f>
        <v>15431.4231197357</v>
      </c>
      <c r="AH20" s="31" t="n">
        <f aca="false">AH17+AH19</f>
        <v>8931.41977237682</v>
      </c>
      <c r="AI20" s="31" t="n">
        <f aca="false">AI17+AI19</f>
        <v>6280.2587581997</v>
      </c>
      <c r="AJ20" s="31" t="n">
        <f aca="false">AJ17+AJ19</f>
        <v>546.684225476325</v>
      </c>
      <c r="AK20" s="31" t="n">
        <f aca="false">AK17+AK19</f>
        <v>20309.6104737291</v>
      </c>
      <c r="AL20" s="31" t="n">
        <f aca="false">AL17+AL19</f>
        <v>27868.979125381</v>
      </c>
      <c r="AM20" s="17"/>
      <c r="AN20" s="31" t="n">
        <f aca="false">SUMIF($C$3:$AL$3,2025,$C20:$AL20)</f>
        <v>144131.30425375</v>
      </c>
      <c r="AO20" s="31" t="n">
        <f aca="false">SUMIF($C$3:$AL$3,2026,$C20:$AL20)</f>
        <v>109976.2310175</v>
      </c>
      <c r="AP20" s="31" t="n">
        <f aca="false">SUMIF($C$3:$AL$3,2027,$C20:$AL20)</f>
        <v>74754.4263007507</v>
      </c>
    </row>
    <row r="21" customFormat="false" ht="15" hidden="false" customHeight="true" outlineLevel="0" collapsed="false">
      <c r="A21" s="32" t="s">
        <v>205</v>
      </c>
      <c r="C21" s="33" t="n">
        <f aca="false">Cronogramas!C24</f>
        <v>-1104</v>
      </c>
      <c r="D21" s="33" t="n">
        <f aca="false">Cronogramas!D24</f>
        <v>-1164.4387138</v>
      </c>
      <c r="E21" s="33" t="n">
        <f aca="false">Cronogramas!E24</f>
        <v>-1032.9367578359</v>
      </c>
      <c r="F21" s="33" t="n">
        <f aca="false">Cronogramas!F24</f>
        <v>-999.256662806423</v>
      </c>
      <c r="G21" s="33" t="n">
        <f aca="false">Cronogramas!G24</f>
        <v>-876.230574508403</v>
      </c>
      <c r="H21" s="33" t="n">
        <f aca="false">Cronogramas!H24</f>
        <v>-813.876301026191</v>
      </c>
      <c r="I21" s="33" t="n">
        <f aca="false">Cronogramas!I24</f>
        <v>-922.980877226406</v>
      </c>
      <c r="J21" s="33" t="n">
        <f aca="false">Cronogramas!J24</f>
        <v>-1068.2296625792</v>
      </c>
      <c r="K21" s="33" t="n">
        <f aca="false">Cronogramas!K24</f>
        <v>-1229.53064881123</v>
      </c>
      <c r="L21" s="33" t="n">
        <f aca="false">Cronogramas!L24</f>
        <v>-1167.32792263291</v>
      </c>
      <c r="M21" s="33" t="n">
        <f aca="false">Cronogramas!M24</f>
        <v>-1082.48588178517</v>
      </c>
      <c r="N21" s="33" t="n">
        <f aca="false">Cronogramas!N24</f>
        <v>-867.121187257656</v>
      </c>
      <c r="O21" s="33" t="n">
        <f aca="false">Cronogramas!O24</f>
        <v>-712.928998262587</v>
      </c>
      <c r="P21" s="33" t="n">
        <f aca="false">Cronogramas!P24</f>
        <v>-925.031279036293</v>
      </c>
      <c r="Q21" s="33" t="n">
        <f aca="false">Cronogramas!Q24</f>
        <v>-833.224459347619</v>
      </c>
      <c r="R21" s="33" t="n">
        <f aca="false">Cronogramas!R24</f>
        <v>-924.137175181748</v>
      </c>
      <c r="S21" s="33" t="n">
        <f aca="false">Cronogramas!S24</f>
        <v>-1078.5929159248</v>
      </c>
      <c r="T21" s="33" t="n">
        <f aca="false">Cronogramas!T24</f>
        <v>-1258.73079481813</v>
      </c>
      <c r="U21" s="33" t="n">
        <f aca="false">Cronogramas!U24</f>
        <v>-1093.44644274161</v>
      </c>
      <c r="V21" s="33" t="n">
        <f aca="false">Cronogramas!V24</f>
        <v>-1344.64068060681</v>
      </c>
      <c r="W21" s="33" t="n">
        <f aca="false">Cronogramas!W24</f>
        <v>-1207.28522479059</v>
      </c>
      <c r="X21" s="33" t="n">
        <f aca="false">Cronogramas!X24</f>
        <v>-1060.75484841072</v>
      </c>
      <c r="Y21" s="33" t="n">
        <f aca="false">Cronogramas!Y24</f>
        <v>-1097.74479693088</v>
      </c>
      <c r="Z21" s="33" t="n">
        <f aca="false">Cronogramas!Z24</f>
        <v>-1018.36947212975</v>
      </c>
      <c r="AA21" s="33" t="n">
        <f aca="false">Cronogramas!AA24</f>
        <v>-746.960602503283</v>
      </c>
      <c r="AB21" s="33" t="n">
        <f aca="false">Cronogramas!AB24</f>
        <v>-774.965570247211</v>
      </c>
      <c r="AC21" s="33" t="n">
        <f aca="false">Cronogramas!AC24</f>
        <v>-518.916033506251</v>
      </c>
      <c r="AD21" s="33" t="n">
        <f aca="false">Cronogramas!AD24</f>
        <v>-623.370637009628</v>
      </c>
      <c r="AE21" s="33" t="n">
        <f aca="false">Cronogramas!AE24</f>
        <v>-611.937018857891</v>
      </c>
      <c r="AF21" s="33" t="n">
        <f aca="false">Cronogramas!AF24</f>
        <v>-772.067819645184</v>
      </c>
      <c r="AG21" s="33" t="n">
        <f aca="false">Cronogramas!AG24</f>
        <v>-500.612813182693</v>
      </c>
      <c r="AH21" s="33" t="n">
        <f aca="false">Cronogramas!AH24</f>
        <v>-229.582465466973</v>
      </c>
      <c r="AI21" s="33" t="n">
        <f aca="false">Cronogramas!AI24</f>
        <v>-102.536270360344</v>
      </c>
      <c r="AJ21" s="33" t="n">
        <f aca="false">Cronogramas!AJ24</f>
        <v>72.6944455930288</v>
      </c>
      <c r="AK21" s="33" t="n">
        <f aca="false">Cronogramas!AK24</f>
        <v>169.075058125745</v>
      </c>
      <c r="AL21" s="33" t="n">
        <f aca="false">Cronogramas!AL24</f>
        <v>210.158702838936</v>
      </c>
      <c r="AN21" s="33" t="n">
        <f aca="false">SUMIF($C$3:$AL$3,2025,$C21:$AL21)</f>
        <v>-12328.4151902695</v>
      </c>
      <c r="AO21" s="33" t="n">
        <f aca="false">SUMIF($C$3:$AL$3,2026,$C21:$AL21)</f>
        <v>-12554.8870881815</v>
      </c>
      <c r="AP21" s="33" t="n">
        <f aca="false">SUMIF($C$3:$AL$3,2027,$C21:$AL21)</f>
        <v>-4429.02102422175</v>
      </c>
    </row>
    <row r="22" customFormat="false" ht="15" hidden="false" customHeight="true" outlineLevel="0" collapsed="false">
      <c r="A22" s="16" t="s">
        <v>206</v>
      </c>
      <c r="B22" s="17"/>
      <c r="C22" s="31" t="n">
        <f aca="false">C20+C21</f>
        <v>1821.51211166668</v>
      </c>
      <c r="D22" s="31" t="n">
        <f aca="false">D20+D21</f>
        <v>-865.284168383349</v>
      </c>
      <c r="E22" s="31" t="n">
        <f aca="false">E20+E21</f>
        <v>6420.04125383078</v>
      </c>
      <c r="F22" s="31" t="n">
        <f aca="false">F20+F21</f>
        <v>8494.12359386023</v>
      </c>
      <c r="G22" s="31" t="n">
        <f aca="false">G20+G21</f>
        <v>8444.22047090831</v>
      </c>
      <c r="H22" s="31" t="n">
        <f aca="false">H20+H21</f>
        <v>13741.5819306404</v>
      </c>
      <c r="I22" s="31" t="n">
        <f aca="false">I20+I21</f>
        <v>14712.7671956903</v>
      </c>
      <c r="J22" s="31" t="n">
        <f aca="false">J20+J21</f>
        <v>5399.46314783745</v>
      </c>
      <c r="K22" s="31" t="n">
        <f aca="false">K20+K21</f>
        <v>6791.50310410547</v>
      </c>
      <c r="L22" s="31" t="n">
        <f aca="false">L20+L21</f>
        <v>11154.4747177838</v>
      </c>
      <c r="M22" s="31" t="n">
        <f aca="false">M20+M21</f>
        <v>25326.3222286315</v>
      </c>
      <c r="N22" s="31" t="n">
        <f aca="false">N20+N21</f>
        <v>30362.163476909</v>
      </c>
      <c r="O22" s="31" t="n">
        <f aca="false">O20+O21</f>
        <v>-2357.74405034594</v>
      </c>
      <c r="P22" s="31" t="n">
        <f aca="false">P20+P21</f>
        <v>-14790.9347973696</v>
      </c>
      <c r="Q22" s="31" t="n">
        <f aca="false">Q20+Q21</f>
        <v>1990.88981106907</v>
      </c>
      <c r="R22" s="31" t="n">
        <f aca="false">R20+R21</f>
        <v>-2409.90539226512</v>
      </c>
      <c r="S22" s="31" t="n">
        <f aca="false">S20+S21</f>
        <v>14830.5541732418</v>
      </c>
      <c r="T22" s="31" t="n">
        <f aca="false">T20+T21</f>
        <v>12268.9898955986</v>
      </c>
      <c r="U22" s="31" t="n">
        <f aca="false">U20+U21</f>
        <v>16255.0238589251</v>
      </c>
      <c r="V22" s="31" t="n">
        <f aca="false">V20+V21</f>
        <v>9844.90445980981</v>
      </c>
      <c r="W22" s="31" t="n">
        <f aca="false">W20+W21</f>
        <v>7791.77966812606</v>
      </c>
      <c r="X22" s="31" t="n">
        <f aca="false">X20+X21</f>
        <v>3311.84379950592</v>
      </c>
      <c r="Y22" s="31" t="n">
        <f aca="false">Y20+Y21</f>
        <v>21909.4896484858</v>
      </c>
      <c r="Z22" s="31" t="n">
        <f aca="false">Z20+Z21</f>
        <v>28776.4528545369</v>
      </c>
      <c r="AA22" s="31" t="n">
        <f aca="false">AA20+AA21</f>
        <v>-4671.95159710069</v>
      </c>
      <c r="AB22" s="31" t="n">
        <f aca="false">AB20+AB21</f>
        <v>-18839.2166627955</v>
      </c>
      <c r="AC22" s="31" t="n">
        <f aca="false">AC20+AC21</f>
        <v>-1170.82469834115</v>
      </c>
      <c r="AD22" s="31" t="n">
        <f aca="false">AD20+AD21</f>
        <v>-5179.02717102058</v>
      </c>
      <c r="AE22" s="31" t="n">
        <f aca="false">AE20+AE21</f>
        <v>12144.4680694984</v>
      </c>
      <c r="AF22" s="31" t="n">
        <f aca="false">AF20+AF21</f>
        <v>9054.38520384228</v>
      </c>
      <c r="AG22" s="31" t="n">
        <f aca="false">AG20+AG21</f>
        <v>14930.810306553</v>
      </c>
      <c r="AH22" s="31" t="n">
        <f aca="false">AH20+AH21</f>
        <v>8701.83730690985</v>
      </c>
      <c r="AI22" s="31" t="n">
        <f aca="false">AI20+AI21</f>
        <v>6177.72248783936</v>
      </c>
      <c r="AJ22" s="31" t="n">
        <f aca="false">AJ20+AJ21</f>
        <v>619.378671069354</v>
      </c>
      <c r="AK22" s="31" t="n">
        <f aca="false">AK20+AK21</f>
        <v>20478.6855318548</v>
      </c>
      <c r="AL22" s="31" t="n">
        <f aca="false">AL20+AL21</f>
        <v>28079.1378282199</v>
      </c>
      <c r="AM22" s="17"/>
      <c r="AN22" s="31" t="n">
        <f aca="false">SUMIF($C$3:$AL$3,2025,$C22:$AL22)</f>
        <v>131802.889063481</v>
      </c>
      <c r="AO22" s="31" t="n">
        <f aca="false">SUMIF($C$3:$AL$3,2026,$C22:$AL22)</f>
        <v>97421.3439293184</v>
      </c>
      <c r="AP22" s="31" t="n">
        <f aca="false">SUMIF($C$3:$AL$3,2027,$C22:$AL22)</f>
        <v>70325.4052765289</v>
      </c>
    </row>
    <row r="23" customFormat="false" ht="15" hidden="false" customHeight="true" outlineLevel="0" collapsed="false">
      <c r="A23" s="32" t="s">
        <v>207</v>
      </c>
      <c r="C23" s="33" t="n">
        <f aca="false">-MAX(0,C22)*Premissas!$B$5</f>
        <v>-619.31411796667</v>
      </c>
      <c r="D23" s="33" t="n">
        <f aca="false">-MAX(0,D22)*Premissas!$B$5</f>
        <v>-0</v>
      </c>
      <c r="E23" s="33" t="n">
        <f aca="false">-MAX(0,E22)*Premissas!$B$5</f>
        <v>-2182.81402630246</v>
      </c>
      <c r="F23" s="33" t="n">
        <f aca="false">-MAX(0,F22)*Premissas!$B$5</f>
        <v>-2888.00202191248</v>
      </c>
      <c r="G23" s="33" t="n">
        <f aca="false">-MAX(0,G22)*Premissas!$B$5</f>
        <v>-2871.03496010883</v>
      </c>
      <c r="H23" s="33" t="n">
        <f aca="false">-MAX(0,H22)*Premissas!$B$5</f>
        <v>-4672.13785641775</v>
      </c>
      <c r="I23" s="33" t="n">
        <f aca="false">-MAX(0,I22)*Premissas!$B$5</f>
        <v>-5002.34084653469</v>
      </c>
      <c r="J23" s="33" t="n">
        <f aca="false">-MAX(0,J22)*Premissas!$B$5</f>
        <v>-1835.81747026473</v>
      </c>
      <c r="K23" s="33" t="n">
        <f aca="false">-MAX(0,K22)*Premissas!$B$5</f>
        <v>-2309.11105539586</v>
      </c>
      <c r="L23" s="33" t="n">
        <f aca="false">-MAX(0,L22)*Premissas!$B$5</f>
        <v>-3792.52140404649</v>
      </c>
      <c r="M23" s="33" t="n">
        <f aca="false">-MAX(0,M22)*Premissas!$B$5</f>
        <v>-8610.94955773471</v>
      </c>
      <c r="N23" s="33" t="n">
        <f aca="false">-MAX(0,N22)*Premissas!$B$5</f>
        <v>-10323.1355821491</v>
      </c>
      <c r="O23" s="33" t="n">
        <f aca="false">-MAX(0,O22)*Premissas!$B$5</f>
        <v>-0</v>
      </c>
      <c r="P23" s="33" t="n">
        <f aca="false">-MAX(0,P22)*Premissas!$B$5</f>
        <v>-0</v>
      </c>
      <c r="Q23" s="33" t="n">
        <f aca="false">-MAX(0,Q22)*Premissas!$B$5</f>
        <v>-676.902535763486</v>
      </c>
      <c r="R23" s="33" t="n">
        <f aca="false">-MAX(0,R22)*Premissas!$B$5</f>
        <v>-0</v>
      </c>
      <c r="S23" s="33" t="n">
        <f aca="false">-MAX(0,S22)*Premissas!$B$5</f>
        <v>-5042.38841890222</v>
      </c>
      <c r="T23" s="33" t="n">
        <f aca="false">-MAX(0,T22)*Premissas!$B$5</f>
        <v>-4171.45656450351</v>
      </c>
      <c r="U23" s="33" t="n">
        <f aca="false">-MAX(0,U22)*Premissas!$B$5</f>
        <v>-5526.70811203452</v>
      </c>
      <c r="V23" s="33" t="n">
        <f aca="false">-MAX(0,V22)*Premissas!$B$5</f>
        <v>-3347.26751633534</v>
      </c>
      <c r="W23" s="33" t="n">
        <f aca="false">-MAX(0,W22)*Premissas!$B$5</f>
        <v>-2649.20508716286</v>
      </c>
      <c r="X23" s="33" t="n">
        <f aca="false">-MAX(0,X22)*Premissas!$B$5</f>
        <v>-1126.02689183201</v>
      </c>
      <c r="Y23" s="33" t="n">
        <f aca="false">-MAX(0,Y22)*Premissas!$B$5</f>
        <v>-7449.22648048518</v>
      </c>
      <c r="Z23" s="33" t="n">
        <f aca="false">-MAX(0,Z22)*Premissas!$B$5</f>
        <v>-9783.99397054256</v>
      </c>
      <c r="AA23" s="33" t="n">
        <f aca="false">-MAX(0,AA22)*Premissas!$B$5</f>
        <v>-0</v>
      </c>
      <c r="AB23" s="33" t="n">
        <f aca="false">-MAX(0,AB22)*Premissas!$B$5</f>
        <v>-0</v>
      </c>
      <c r="AC23" s="33" t="n">
        <f aca="false">-MAX(0,AC22)*Premissas!$B$5</f>
        <v>-0</v>
      </c>
      <c r="AD23" s="33" t="n">
        <f aca="false">-MAX(0,AD22)*Premissas!$B$5</f>
        <v>-0</v>
      </c>
      <c r="AE23" s="33" t="n">
        <f aca="false">-MAX(0,AE22)*Premissas!$B$5</f>
        <v>-4129.11914362944</v>
      </c>
      <c r="AF23" s="33" t="n">
        <f aca="false">-MAX(0,AF22)*Premissas!$B$5</f>
        <v>-3078.49096930638</v>
      </c>
      <c r="AG23" s="33" t="n">
        <f aca="false">-MAX(0,AG22)*Premissas!$B$5</f>
        <v>-5076.47550422801</v>
      </c>
      <c r="AH23" s="33" t="n">
        <f aca="false">-MAX(0,AH22)*Premissas!$B$5</f>
        <v>-2958.62468434935</v>
      </c>
      <c r="AI23" s="33" t="n">
        <f aca="false">-MAX(0,AI22)*Premissas!$B$5</f>
        <v>-2100.42564586538</v>
      </c>
      <c r="AJ23" s="33" t="n">
        <f aca="false">-MAX(0,AJ22)*Premissas!$B$5</f>
        <v>-210.58874816358</v>
      </c>
      <c r="AK23" s="33" t="n">
        <f aca="false">-MAX(0,AK22)*Premissas!$B$5</f>
        <v>-6962.75308083063</v>
      </c>
      <c r="AL23" s="33" t="n">
        <f aca="false">-MAX(0,AL22)*Premissas!$B$5</f>
        <v>-9546.90686159476</v>
      </c>
      <c r="AN23" s="33" t="n">
        <f aca="false">SUMIF($C$3:$AL$3,2025,$C23:$AL23)</f>
        <v>-45107.1788988337</v>
      </c>
      <c r="AO23" s="33" t="n">
        <f aca="false">SUMIF($C$3:$AL$3,2026,$C23:$AL23)</f>
        <v>-39773.1755775617</v>
      </c>
      <c r="AP23" s="33" t="n">
        <f aca="false">SUMIF($C$3:$AL$3,2027,$C23:$AL23)</f>
        <v>-34063.3846379675</v>
      </c>
    </row>
    <row r="24" customFormat="false" ht="15" hidden="false" customHeight="true" outlineLevel="0" collapsed="false">
      <c r="A24" s="34" t="s">
        <v>208</v>
      </c>
      <c r="B24" s="35"/>
      <c r="C24" s="36" t="n">
        <f aca="false">C22+C23</f>
        <v>1202.19799370001</v>
      </c>
      <c r="D24" s="36" t="n">
        <f aca="false">D22+D23</f>
        <v>-865.284168383349</v>
      </c>
      <c r="E24" s="36" t="n">
        <f aca="false">E22+E23</f>
        <v>4237.22722752831</v>
      </c>
      <c r="F24" s="36" t="n">
        <f aca="false">F22+F23</f>
        <v>5606.12157194775</v>
      </c>
      <c r="G24" s="36" t="n">
        <f aca="false">G22+G23</f>
        <v>5573.18551079949</v>
      </c>
      <c r="H24" s="36" t="n">
        <f aca="false">H22+H23</f>
        <v>9069.44407422268</v>
      </c>
      <c r="I24" s="36" t="n">
        <f aca="false">I22+I23</f>
        <v>9710.42634915558</v>
      </c>
      <c r="J24" s="36" t="n">
        <f aca="false">J22+J23</f>
        <v>3563.64567757272</v>
      </c>
      <c r="K24" s="36" t="n">
        <f aca="false">K22+K23</f>
        <v>4482.39204870961</v>
      </c>
      <c r="L24" s="36" t="n">
        <f aca="false">L22+L23</f>
        <v>7361.95331373731</v>
      </c>
      <c r="M24" s="36" t="n">
        <f aca="false">M22+M23</f>
        <v>16715.3726708968</v>
      </c>
      <c r="N24" s="36" t="n">
        <f aca="false">N22+N23</f>
        <v>20039.0278947599</v>
      </c>
      <c r="O24" s="36" t="n">
        <f aca="false">O22+O23</f>
        <v>-2357.74405034594</v>
      </c>
      <c r="P24" s="36" t="n">
        <f aca="false">P22+P23</f>
        <v>-14790.9347973696</v>
      </c>
      <c r="Q24" s="36" t="n">
        <f aca="false">Q22+Q23</f>
        <v>1313.98727530559</v>
      </c>
      <c r="R24" s="36" t="n">
        <f aca="false">R22+R23</f>
        <v>-2409.90539226512</v>
      </c>
      <c r="S24" s="36" t="n">
        <f aca="false">S22+S23</f>
        <v>9788.1657543396</v>
      </c>
      <c r="T24" s="36" t="n">
        <f aca="false">T22+T23</f>
        <v>8097.53333109505</v>
      </c>
      <c r="U24" s="36" t="n">
        <f aca="false">U22+U23</f>
        <v>10728.3157468905</v>
      </c>
      <c r="V24" s="36" t="n">
        <f aca="false">V22+V23</f>
        <v>6497.63694347447</v>
      </c>
      <c r="W24" s="36" t="n">
        <f aca="false">W22+W23</f>
        <v>5142.5745809632</v>
      </c>
      <c r="X24" s="36" t="n">
        <f aca="false">X22+X23</f>
        <v>2185.81690767391</v>
      </c>
      <c r="Y24" s="36" t="n">
        <f aca="false">Y22+Y23</f>
        <v>14460.2631680006</v>
      </c>
      <c r="Z24" s="36" t="n">
        <f aca="false">Z22+Z23</f>
        <v>18992.4588839944</v>
      </c>
      <c r="AA24" s="36" t="n">
        <f aca="false">AA22+AA23</f>
        <v>-4671.95159710069</v>
      </c>
      <c r="AB24" s="36" t="n">
        <f aca="false">AB22+AB23</f>
        <v>-18839.2166627955</v>
      </c>
      <c r="AC24" s="36" t="n">
        <f aca="false">AC22+AC23</f>
        <v>-1170.82469834115</v>
      </c>
      <c r="AD24" s="36" t="n">
        <f aca="false">AD22+AD23</f>
        <v>-5179.02717102058</v>
      </c>
      <c r="AE24" s="36" t="n">
        <f aca="false">AE22+AE23</f>
        <v>8015.34892586892</v>
      </c>
      <c r="AF24" s="36" t="n">
        <f aca="false">AF22+AF23</f>
        <v>5975.89423453591</v>
      </c>
      <c r="AG24" s="36" t="n">
        <f aca="false">AG22+AG23</f>
        <v>9854.33480232495</v>
      </c>
      <c r="AH24" s="36" t="n">
        <f aca="false">AH22+AH23</f>
        <v>5743.2126225605</v>
      </c>
      <c r="AI24" s="36" t="n">
        <f aca="false">AI22+AI23</f>
        <v>4077.29684197398</v>
      </c>
      <c r="AJ24" s="36" t="n">
        <f aca="false">AJ22+AJ23</f>
        <v>408.789922905774</v>
      </c>
      <c r="AK24" s="36" t="n">
        <f aca="false">AK22+AK23</f>
        <v>13515.9324510242</v>
      </c>
      <c r="AL24" s="36" t="n">
        <f aca="false">AL22+AL23</f>
        <v>18532.2309666251</v>
      </c>
      <c r="AM24" s="35"/>
      <c r="AN24" s="36" t="n">
        <f aca="false">SUMIF($C$3:$AL$3,2025,$C24:$AL24)</f>
        <v>86695.7101646468</v>
      </c>
      <c r="AO24" s="36" t="n">
        <f aca="false">SUMIF($C$3:$AL$3,2026,$C24:$AL24)</f>
        <v>57648.1683517567</v>
      </c>
      <c r="AP24" s="36" t="n">
        <f aca="false">SUMIF($C$3:$AL$3,2027,$C24:$AL24)</f>
        <v>36262.0206385614</v>
      </c>
    </row>
    <row r="25" customFormat="false" ht="15" hidden="false" customHeight="true" outlineLevel="0" collapsed="false">
      <c r="A25" s="32" t="s">
        <v>209</v>
      </c>
      <c r="C25" s="37" t="n">
        <f aca="false">IF(C6=0,0,C24/C6)</f>
        <v>0.00687301600760233</v>
      </c>
      <c r="D25" s="37" t="n">
        <f aca="false">IF(D6=0,0,D24/D6)</f>
        <v>-0.00507620321436576</v>
      </c>
      <c r="E25" s="37" t="n">
        <f aca="false">IF(E6=0,0,E24/E6)</f>
        <v>0.0227044910286079</v>
      </c>
      <c r="F25" s="37" t="n">
        <f aca="false">IF(F6=0,0,F24/F6)</f>
        <v>0.0292894019174673</v>
      </c>
      <c r="G25" s="37" t="n">
        <f aca="false">IF(G6=0,0,G24/G6)</f>
        <v>0.0287582248122714</v>
      </c>
      <c r="H25" s="37" t="n">
        <f aca="false">IF(H6=0,0,H24/H6)</f>
        <v>0.0430732724800469</v>
      </c>
      <c r="I25" s="37" t="n">
        <f aca="false">IF(I6=0,0,I24/I6)</f>
        <v>0.0455485531143198</v>
      </c>
      <c r="J25" s="37" t="n">
        <f aca="false">IF(J6=0,0,J24/J6)</f>
        <v>0.0189686282709245</v>
      </c>
      <c r="K25" s="37" t="n">
        <f aca="false">IF(K6=0,0,K24/K6)</f>
        <v>0.0235526058805619</v>
      </c>
      <c r="L25" s="37" t="n">
        <f aca="false">IF(L6=0,0,L24/L6)</f>
        <v>0.0357334569777871</v>
      </c>
      <c r="M25" s="37" t="n">
        <f aca="false">IF(M6=0,0,M24/M6)</f>
        <v>0.0696794851448934</v>
      </c>
      <c r="N25" s="37" t="n">
        <f aca="false">IF(N6=0,0,N24/N6)</f>
        <v>0.0791011022103315</v>
      </c>
      <c r="O25" s="37" t="n">
        <f aca="false">IF(O6=0,0,O24/O6)</f>
        <v>-0.0129525502859673</v>
      </c>
      <c r="P25" s="37" t="n">
        <f aca="false">IF(P6=0,0,P24/P6)</f>
        <v>-0.100962474008377</v>
      </c>
      <c r="Q25" s="37" t="n">
        <f aca="false">IF(Q6=0,0,Q24/Q6)</f>
        <v>0.00663629635373191</v>
      </c>
      <c r="R25" s="37" t="n">
        <f aca="false">IF(R6=0,0,R24/R6)</f>
        <v>-0.0134718664089868</v>
      </c>
      <c r="S25" s="37" t="n">
        <f aca="false">IF(S6=0,0,S24/S6)</f>
        <v>0.0421244321844475</v>
      </c>
      <c r="T25" s="37" t="n">
        <f aca="false">IF(T6=0,0,T24/T6)</f>
        <v>0.0362723173773946</v>
      </c>
      <c r="U25" s="37" t="n">
        <f aca="false">IF(U6=0,0,U24/U6)</f>
        <v>0.0453338915118148</v>
      </c>
      <c r="V25" s="37" t="n">
        <f aca="false">IF(V6=0,0,V24/V6)</f>
        <v>0.0297146096784148</v>
      </c>
      <c r="W25" s="37" t="n">
        <f aca="false">IF(W6=0,0,W24/W6)</f>
        <v>0.0236479373777818</v>
      </c>
      <c r="X25" s="37" t="n">
        <f aca="false">IF(X6=0,0,X24/X6)</f>
        <v>0.0109798575958643</v>
      </c>
      <c r="Y25" s="37" t="n">
        <f aca="false">IF(Y6=0,0,Y24/Y6)</f>
        <v>0.05718140342755</v>
      </c>
      <c r="Z25" s="37" t="n">
        <f aca="false">IF(Z6=0,0,Z24/Z6)</f>
        <v>0.0701382211903909</v>
      </c>
      <c r="AA25" s="37" t="n">
        <f aca="false">IF(AA6=0,0,AA24/AA6)</f>
        <v>-0.0236270058258845</v>
      </c>
      <c r="AB25" s="37" t="n">
        <f aca="false">IF(AB6=0,0,AB24/AB6)</f>
        <v>-0.120444770545992</v>
      </c>
      <c r="AC25" s="37" t="n">
        <f aca="false">IF(AC6=0,0,AC24/AC6)</f>
        <v>-0.00555226587936137</v>
      </c>
      <c r="AD25" s="37" t="n">
        <f aca="false">IF(AD6=0,0,AD24/AD6)</f>
        <v>-0.0270945360466397</v>
      </c>
      <c r="AE25" s="37" t="n">
        <f aca="false">IF(AE6=0,0,AE24/AE6)</f>
        <v>0.0327045288195956</v>
      </c>
      <c r="AF25" s="37" t="n">
        <f aca="false">IF(AF6=0,0,AF24/AF6)</f>
        <v>0.0255256475634416</v>
      </c>
      <c r="AG25" s="37" t="n">
        <f aca="false">IF(AG6=0,0,AG24/AG6)</f>
        <v>0.038890240832899</v>
      </c>
      <c r="AH25" s="37" t="n">
        <f aca="false">IF(AH6=0,0,AH24/AH6)</f>
        <v>0.0244971015688726</v>
      </c>
      <c r="AI25" s="37" t="n">
        <f aca="false">IF(AI6=0,0,AI24/AI6)</f>
        <v>0.0175356245528507</v>
      </c>
      <c r="AJ25" s="37" t="n">
        <f aca="false">IF(AJ6=0,0,AJ24/AJ6)</f>
        <v>0.00194672424151481</v>
      </c>
      <c r="AK25" s="37" t="n">
        <f aca="false">IF(AK6=0,0,AK24/AK6)</f>
        <v>0.0505582051832993</v>
      </c>
      <c r="AL25" s="37" t="n">
        <f aca="false">IF(AL6=0,0,AL24/AL6)</f>
        <v>0.0643031233369698</v>
      </c>
      <c r="AN25" s="37" t="n">
        <f aca="false">IF(AN6=0,0,AN24/AN6)</f>
        <v>0.0358487008431572</v>
      </c>
      <c r="AO25" s="37" t="n">
        <f aca="false">IF(AO6=0,0,AO24/AO6)</f>
        <v>0.0225492263890097</v>
      </c>
      <c r="AP25" s="37" t="n">
        <f aca="false">IF(AP6=0,0,AP24/AP6)</f>
        <v>0.0133255489079517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8" min="3" style="1" width="11"/>
    <col collapsed="false" customWidth="true" hidden="false" outlineLevel="0" max="42" min="40" style="1" width="13"/>
  </cols>
  <sheetData>
    <row r="1" customFormat="false" ht="15.75" hidden="false" customHeight="true" outlineLevel="0" collapsed="false">
      <c r="A1" s="28" t="s">
        <v>210</v>
      </c>
    </row>
    <row r="2" customFormat="false" ht="15" hidden="false" customHeight="true" outlineLevel="0" collapsed="false">
      <c r="A2" s="23" t="s">
        <v>147</v>
      </c>
      <c r="C2" s="29" t="s">
        <v>148</v>
      </c>
      <c r="D2" s="29" t="s">
        <v>149</v>
      </c>
      <c r="E2" s="29" t="s">
        <v>150</v>
      </c>
      <c r="F2" s="29" t="s">
        <v>151</v>
      </c>
      <c r="G2" s="29" t="s">
        <v>152</v>
      </c>
      <c r="H2" s="29" t="s">
        <v>153</v>
      </c>
      <c r="I2" s="29" t="s">
        <v>154</v>
      </c>
      <c r="J2" s="29" t="s">
        <v>155</v>
      </c>
      <c r="K2" s="29" t="s">
        <v>156</v>
      </c>
      <c r="L2" s="29" t="s">
        <v>157</v>
      </c>
      <c r="M2" s="29" t="s">
        <v>158</v>
      </c>
      <c r="N2" s="29" t="s">
        <v>159</v>
      </c>
      <c r="O2" s="29" t="s">
        <v>160</v>
      </c>
      <c r="P2" s="29" t="s">
        <v>161</v>
      </c>
      <c r="Q2" s="29" t="s">
        <v>162</v>
      </c>
      <c r="R2" s="29" t="s">
        <v>163</v>
      </c>
      <c r="S2" s="29" t="s">
        <v>164</v>
      </c>
      <c r="T2" s="29" t="s">
        <v>165</v>
      </c>
      <c r="U2" s="29" t="s">
        <v>166</v>
      </c>
      <c r="V2" s="29" t="s">
        <v>167</v>
      </c>
      <c r="W2" s="29" t="s">
        <v>168</v>
      </c>
      <c r="X2" s="29" t="s">
        <v>169</v>
      </c>
      <c r="Y2" s="29" t="s">
        <v>170</v>
      </c>
      <c r="Z2" s="29" t="s">
        <v>171</v>
      </c>
      <c r="AA2" s="29" t="s">
        <v>172</v>
      </c>
      <c r="AB2" s="29" t="s">
        <v>173</v>
      </c>
      <c r="AC2" s="29" t="s">
        <v>174</v>
      </c>
      <c r="AD2" s="29" t="s">
        <v>175</v>
      </c>
      <c r="AE2" s="29" t="s">
        <v>176</v>
      </c>
      <c r="AF2" s="29" t="s">
        <v>177</v>
      </c>
      <c r="AG2" s="29" t="s">
        <v>178</v>
      </c>
      <c r="AH2" s="29" t="s">
        <v>179</v>
      </c>
      <c r="AI2" s="29" t="s">
        <v>180</v>
      </c>
      <c r="AJ2" s="29" t="s">
        <v>181</v>
      </c>
      <c r="AK2" s="29" t="s">
        <v>182</v>
      </c>
      <c r="AL2" s="29" t="s">
        <v>183</v>
      </c>
      <c r="AN2" s="30" t="s">
        <v>184</v>
      </c>
      <c r="AO2" s="30" t="s">
        <v>185</v>
      </c>
      <c r="AP2" s="30" t="s">
        <v>186</v>
      </c>
    </row>
    <row r="3" customFormat="false" ht="15" hidden="false" customHeight="true" outlineLevel="0" collapsed="false">
      <c r="A3" s="23"/>
      <c r="C3" s="29" t="n">
        <v>2025</v>
      </c>
      <c r="D3" s="29" t="n">
        <v>2025</v>
      </c>
      <c r="E3" s="29" t="n">
        <v>2025</v>
      </c>
      <c r="F3" s="29" t="n">
        <v>2025</v>
      </c>
      <c r="G3" s="29" t="n">
        <v>2025</v>
      </c>
      <c r="H3" s="29" t="n">
        <v>2025</v>
      </c>
      <c r="I3" s="29" t="n">
        <v>2025</v>
      </c>
      <c r="J3" s="29" t="n">
        <v>2025</v>
      </c>
      <c r="K3" s="29" t="n">
        <v>2025</v>
      </c>
      <c r="L3" s="29" t="n">
        <v>2025</v>
      </c>
      <c r="M3" s="29" t="n">
        <v>2025</v>
      </c>
      <c r="N3" s="29" t="n">
        <v>2025</v>
      </c>
      <c r="O3" s="29" t="n">
        <v>2026</v>
      </c>
      <c r="P3" s="29" t="n">
        <v>2026</v>
      </c>
      <c r="Q3" s="29" t="n">
        <v>2026</v>
      </c>
      <c r="R3" s="29" t="n">
        <v>2026</v>
      </c>
      <c r="S3" s="29" t="n">
        <v>2026</v>
      </c>
      <c r="T3" s="29" t="n">
        <v>2026</v>
      </c>
      <c r="U3" s="29" t="n">
        <v>2026</v>
      </c>
      <c r="V3" s="29" t="n">
        <v>2026</v>
      </c>
      <c r="W3" s="29" t="n">
        <v>2026</v>
      </c>
      <c r="X3" s="29" t="n">
        <v>2026</v>
      </c>
      <c r="Y3" s="29" t="n">
        <v>2026</v>
      </c>
      <c r="Z3" s="29" t="n">
        <v>2026</v>
      </c>
      <c r="AA3" s="29" t="n">
        <v>2027</v>
      </c>
      <c r="AB3" s="29" t="n">
        <v>2027</v>
      </c>
      <c r="AC3" s="29" t="n">
        <v>2027</v>
      </c>
      <c r="AD3" s="29" t="n">
        <v>2027</v>
      </c>
      <c r="AE3" s="29" t="n">
        <v>2027</v>
      </c>
      <c r="AF3" s="29" t="n">
        <v>2027</v>
      </c>
      <c r="AG3" s="29" t="n">
        <v>2027</v>
      </c>
      <c r="AH3" s="29" t="n">
        <v>2027</v>
      </c>
      <c r="AI3" s="29" t="n">
        <v>2027</v>
      </c>
      <c r="AJ3" s="29" t="n">
        <v>2027</v>
      </c>
      <c r="AK3" s="29" t="n">
        <v>2027</v>
      </c>
      <c r="AL3" s="29" t="n">
        <v>2027</v>
      </c>
      <c r="AN3" s="23" t="s">
        <v>187</v>
      </c>
      <c r="AO3" s="23" t="s">
        <v>187</v>
      </c>
      <c r="AP3" s="23" t="s">
        <v>187</v>
      </c>
    </row>
    <row r="4" customFormat="false" ht="15" hidden="false" customHeight="true" outlineLevel="0" collapsed="false">
      <c r="A4" s="38" t="s">
        <v>211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</row>
    <row r="5" customFormat="false" ht="15" hidden="false" customHeight="true" outlineLevel="0" collapsed="false">
      <c r="A5" s="32" t="s">
        <v>212</v>
      </c>
      <c r="C5" s="33" t="n">
        <f aca="false">DFC_Consolidado!C21</f>
        <v>448395.698466667</v>
      </c>
      <c r="D5" s="33" t="n">
        <f aca="false">DFC_Consolidado!D21</f>
        <v>454118.138018233</v>
      </c>
      <c r="E5" s="33" t="n">
        <f aca="false">DFC_Consolidado!E21</f>
        <v>448971.481910398</v>
      </c>
      <c r="F5" s="33" t="n">
        <f aca="false">DFC_Consolidado!F21</f>
        <v>453752.158387955</v>
      </c>
      <c r="G5" s="33" t="n">
        <f aca="false">DFC_Consolidado!G21</f>
        <v>451791.522108201</v>
      </c>
      <c r="H5" s="33" t="n">
        <f aca="false">DFC_Consolidado!H21</f>
        <v>430779.902530399</v>
      </c>
      <c r="I5" s="33" t="n">
        <f aca="false">DFC_Consolidado!I21</f>
        <v>405752.259713422</v>
      </c>
      <c r="J5" s="33" t="n">
        <f aca="false">DFC_Consolidado!J21</f>
        <v>378941.039020975</v>
      </c>
      <c r="K5" s="33" t="n">
        <f aca="false">DFC_Consolidado!K21</f>
        <v>376963.564151899</v>
      </c>
      <c r="L5" s="33" t="n">
        <f aca="false">DFC_Consolidado!L21</f>
        <v>377501.568690537</v>
      </c>
      <c r="M5" s="33" t="n">
        <f aca="false">DFC_Consolidado!M21</f>
        <v>392542.090304705</v>
      </c>
      <c r="N5" s="33" t="n">
        <f aca="false">DFC_Consolidado!N21</f>
        <v>400785.666859713</v>
      </c>
      <c r="O5" s="33" t="n">
        <f aca="false">DFC_Consolidado!O21</f>
        <v>439440.968995968</v>
      </c>
      <c r="P5" s="33" t="n">
        <f aca="false">DFC_Consolidado!P21</f>
        <v>440752.837850265</v>
      </c>
      <c r="Q5" s="33" t="n">
        <f aca="false">DFC_Consolidado!Q21</f>
        <v>421762.536090917</v>
      </c>
      <c r="R5" s="33" t="n">
        <f aca="false">DFC_Consolidado!R21</f>
        <v>395711.898230578</v>
      </c>
      <c r="S5" s="33" t="n">
        <f aca="false">DFC_Consolidado!S21</f>
        <v>366807.689464653</v>
      </c>
      <c r="T5" s="33" t="n">
        <f aca="false">DFC_Consolidado!T21</f>
        <v>376283.728584266</v>
      </c>
      <c r="U5" s="33" t="n">
        <f aca="false">DFC_Consolidado!U21</f>
        <v>481706.591043687</v>
      </c>
      <c r="V5" s="33" t="n">
        <f aca="false">DFC_Consolidado!V21</f>
        <v>488079.419467713</v>
      </c>
      <c r="W5" s="33" t="n">
        <f aca="false">DFC_Consolidado!W21</f>
        <v>495471.68350992</v>
      </c>
      <c r="X5" s="33" t="n">
        <f aca="false">DFC_Consolidado!X21</f>
        <v>482472.800341013</v>
      </c>
      <c r="Y5" s="33" t="n">
        <f aca="false">DFC_Consolidado!Y21</f>
        <v>482403.391985584</v>
      </c>
      <c r="Z5" s="33" t="n">
        <f aca="false">DFC_Consolidado!Z21</f>
        <v>503671.044166302</v>
      </c>
      <c r="AA5" s="33" t="n">
        <f aca="false">DFC_Consolidado!AA21</f>
        <v>491670.492194754</v>
      </c>
      <c r="AB5" s="33" t="n">
        <f aca="false">DFC_Consolidado!AB21</f>
        <v>493453.774054861</v>
      </c>
      <c r="AC5" s="33" t="n">
        <f aca="false">DFC_Consolidado!AC21</f>
        <v>455181.040332264</v>
      </c>
      <c r="AD5" s="33" t="n">
        <f aca="false">DFC_Consolidado!AD21</f>
        <v>429784.775682457</v>
      </c>
      <c r="AE5" s="33" t="n">
        <f aca="false">DFC_Consolidado!AE21</f>
        <v>385325.797817202</v>
      </c>
      <c r="AF5" s="33" t="n">
        <f aca="false">DFC_Consolidado!AF21</f>
        <v>388820.798535256</v>
      </c>
      <c r="AG5" s="33" t="n">
        <f aca="false">DFC_Consolidado!AG21</f>
        <v>392268.614948114</v>
      </c>
      <c r="AH5" s="33" t="n">
        <f aca="false">DFC_Consolidado!AH21</f>
        <v>397495.969959962</v>
      </c>
      <c r="AI5" s="33" t="n">
        <f aca="false">DFC_Consolidado!AI21</f>
        <v>399188.271732559</v>
      </c>
      <c r="AJ5" s="33" t="n">
        <f aca="false">DFC_Consolidado!AJ21</f>
        <v>392119.450902861</v>
      </c>
      <c r="AK5" s="33" t="n">
        <f aca="false">DFC_Consolidado!AK21</f>
        <v>378906.52253766</v>
      </c>
      <c r="AL5" s="33" t="n">
        <f aca="false">DFC_Consolidado!AL21</f>
        <v>387018.241865281</v>
      </c>
      <c r="AN5" s="33" t="n">
        <f aca="false">DFC_Consolidado!N21</f>
        <v>400785.666859713</v>
      </c>
      <c r="AO5" s="33" t="n">
        <f aca="false">DFC_Consolidado!Z21</f>
        <v>503671.044166302</v>
      </c>
      <c r="AP5" s="33" t="n">
        <f aca="false">DFC_Consolidado!AL21</f>
        <v>387018.241865281</v>
      </c>
    </row>
    <row r="6" customFormat="false" ht="15" hidden="false" customHeight="true" outlineLevel="0" collapsed="false">
      <c r="A6" s="32" t="s">
        <v>213</v>
      </c>
      <c r="C6" s="33" t="n">
        <f aca="false">SUMIFS(Contas_Receber!$G:$G,Contas_Receber!$C:$C,C$2)</f>
        <v>134689.721666667</v>
      </c>
      <c r="D6" s="33" t="n">
        <f aca="false">SUMIFS(Contas_Receber!$G:$G,Contas_Receber!$C:$C,D$2)</f>
        <v>120751.329</v>
      </c>
      <c r="E6" s="33" t="n">
        <f aca="false">SUMIFS(Contas_Receber!$G:$G,Contas_Receber!$C:$C,E$2)</f>
        <v>137288.645</v>
      </c>
      <c r="F6" s="33" t="n">
        <f aca="false">SUMIFS(Contas_Receber!$G:$G,Contas_Receber!$C:$C,F$2)</f>
        <v>134627.577666667</v>
      </c>
      <c r="G6" s="33" t="n">
        <f aca="false">SUMIFS(Contas_Receber!$G:$G,Contas_Receber!$C:$C,G$2)</f>
        <v>140529.434333333</v>
      </c>
      <c r="H6" s="33" t="n">
        <f aca="false">SUMIFS(Contas_Receber!$G:$G,Contas_Receber!$C:$C,H$2)</f>
        <v>145382.583666667</v>
      </c>
      <c r="I6" s="33" t="n">
        <f aca="false">SUMIFS(Contas_Receber!$G:$G,Contas_Receber!$C:$C,I$2)</f>
        <v>148041.689333333</v>
      </c>
      <c r="J6" s="33" t="n">
        <f aca="false">SUMIFS(Contas_Receber!$G:$G,Contas_Receber!$C:$C,J$2)</f>
        <v>134050.902</v>
      </c>
      <c r="K6" s="33" t="n">
        <f aca="false">SUMIFS(Contas_Receber!$G:$G,Contas_Receber!$C:$C,K$2)</f>
        <v>145015.936</v>
      </c>
      <c r="L6" s="33" t="n">
        <f aca="false">SUMIFS(Contas_Receber!$G:$G,Contas_Receber!$C:$C,L$2)</f>
        <v>147979.018666667</v>
      </c>
      <c r="M6" s="33" t="n">
        <f aca="false">SUMIFS(Contas_Receber!$G:$G,Contas_Receber!$C:$C,M$2)</f>
        <v>169712.107666667</v>
      </c>
      <c r="N6" s="33" t="n">
        <f aca="false">SUMIFS(Contas_Receber!$G:$G,Contas_Receber!$C:$C,N$2)</f>
        <v>181941.237666667</v>
      </c>
      <c r="O6" s="33" t="n">
        <f aca="false">SUMIFS(Contas_Receber!$G:$G,Contas_Receber!$C:$C,O$2)</f>
        <v>151706.018666667</v>
      </c>
      <c r="P6" s="33" t="n">
        <f aca="false">SUMIFS(Contas_Receber!$G:$G,Contas_Receber!$C:$C,P$2)</f>
        <v>118135.432</v>
      </c>
      <c r="Q6" s="33" t="n">
        <f aca="false">SUMIFS(Contas_Receber!$G:$G,Contas_Receber!$C:$C,Q$2)</f>
        <v>153498.392333333</v>
      </c>
      <c r="R6" s="33" t="n">
        <f aca="false">SUMIFS(Contas_Receber!$G:$G,Contas_Receber!$C:$C,R$2)</f>
        <v>141620.018333333</v>
      </c>
      <c r="S6" s="33" t="n">
        <f aca="false">SUMIFS(Contas_Receber!$G:$G,Contas_Receber!$C:$C,S$2)</f>
        <v>196552.927</v>
      </c>
      <c r="T6" s="33" t="n">
        <f aca="false">SUMIFS(Contas_Receber!$G:$G,Contas_Receber!$C:$C,T$2)</f>
        <v>186428.314</v>
      </c>
      <c r="U6" s="33" t="n">
        <f aca="false">SUMIFS(Contas_Receber!$G:$G,Contas_Receber!$C:$C,U$2)</f>
        <v>182551.611666667</v>
      </c>
      <c r="V6" s="33" t="n">
        <f aca="false">SUMIFS(Contas_Receber!$G:$G,Contas_Receber!$C:$C,V$2)</f>
        <v>173209.224666667</v>
      </c>
      <c r="W6" s="33" t="n">
        <f aca="false">SUMIFS(Contas_Receber!$G:$G,Contas_Receber!$C:$C,W$2)</f>
        <v>167424.476</v>
      </c>
      <c r="X6" s="33" t="n">
        <f aca="false">SUMIFS(Contas_Receber!$G:$G,Contas_Receber!$C:$C,X$2)</f>
        <v>169177.215666667</v>
      </c>
      <c r="Y6" s="33" t="n">
        <f aca="false">SUMIFS(Contas_Receber!$G:$G,Contas_Receber!$C:$C,Y$2)</f>
        <v>204531.200666667</v>
      </c>
      <c r="Z6" s="33" t="n">
        <f aca="false">SUMIFS(Contas_Receber!$G:$G,Contas_Receber!$C:$C,Z$2)</f>
        <v>209794.021333333</v>
      </c>
      <c r="AA6" s="33" t="n">
        <f aca="false">SUMIFS(Contas_Receber!$G:$G,Contas_Receber!$C:$C,AA$2)</f>
        <v>186914.159544257</v>
      </c>
      <c r="AB6" s="33" t="n">
        <f aca="false">SUMIFS(Contas_Receber!$G:$G,Contas_Receber!$C:$C,AB$2)</f>
        <v>141293.55954381</v>
      </c>
      <c r="AC6" s="33" t="n">
        <f aca="false">SUMIFS(Contas_Receber!$G:$G,Contas_Receber!$C:$C,AC$2)</f>
        <v>184570.561091253</v>
      </c>
      <c r="AD6" s="33" t="n">
        <f aca="false">SUMIFS(Contas_Receber!$G:$G,Contas_Receber!$C:$C,AD$2)</f>
        <v>168227.84784708</v>
      </c>
      <c r="AE6" s="33" t="n">
        <f aca="false">SUMIFS(Contas_Receber!$G:$G,Contas_Receber!$C:$C,AE$2)</f>
        <v>231602.993478283</v>
      </c>
      <c r="AF6" s="33" t="n">
        <f aca="false">SUMIFS(Contas_Receber!$G:$G,Contas_Receber!$C:$C,AF$2)</f>
        <v>216388.35695742</v>
      </c>
      <c r="AG6" s="33" t="n">
        <f aca="false">SUMIFS(Contas_Receber!$G:$G,Contas_Receber!$C:$C,AG$2)</f>
        <v>218636.92117073</v>
      </c>
      <c r="AH6" s="33" t="n">
        <f aca="false">SUMIFS(Contas_Receber!$G:$G,Contas_Receber!$C:$C,AH$2)</f>
        <v>209109.412799957</v>
      </c>
      <c r="AI6" s="33" t="n">
        <f aca="false">SUMIFS(Contas_Receber!$G:$G,Contas_Receber!$C:$C,AI$2)</f>
        <v>203191.522609543</v>
      </c>
      <c r="AJ6" s="33" t="n">
        <f aca="false">SUMIFS(Contas_Receber!$G:$G,Contas_Receber!$C:$C,AJ$2)</f>
        <v>195692.534536743</v>
      </c>
      <c r="AK6" s="33" t="n">
        <f aca="false">SUMIFS(Contas_Receber!$G:$G,Contas_Receber!$C:$C,AK$2)</f>
        <v>239883.69358096</v>
      </c>
      <c r="AL6" s="33" t="n">
        <f aca="false">SUMIFS(Contas_Receber!$G:$G,Contas_Receber!$C:$C,AL$2)</f>
        <v>251071.580580293</v>
      </c>
      <c r="AN6" s="33" t="n">
        <f aca="false">SUMIF($C$3:$AL$3,2025,$C6:$AL6)</f>
        <v>1740010.18266667</v>
      </c>
      <c r="AO6" s="33" t="n">
        <f aca="false">SUMIF($C$3:$AL$3,2026,$C6:$AL6)</f>
        <v>2054628.85233333</v>
      </c>
      <c r="AP6" s="33" t="n">
        <f aca="false">SUMIF($C$3:$AL$3,2027,$C6:$AL6)</f>
        <v>2446583.14374033</v>
      </c>
    </row>
    <row r="7" customFormat="false" ht="15" hidden="false" customHeight="true" outlineLevel="0" collapsed="false">
      <c r="A7" s="32" t="s">
        <v>214</v>
      </c>
      <c r="C7" s="33" t="n">
        <f aca="false">SUMIFS(Estoque!$G:$G,Estoque!$C:$C,C$2)</f>
        <v>169799.378466667</v>
      </c>
      <c r="D7" s="33" t="n">
        <f aca="false">SUMIFS(Estoque!$G:$G,Estoque!$C:$C,D$2)</f>
        <v>167734.203566667</v>
      </c>
      <c r="E7" s="33" t="n">
        <f aca="false">SUMIFS(Estoque!$G:$G,Estoque!$C:$C,E$2)</f>
        <v>182327.481333333</v>
      </c>
      <c r="F7" s="33" t="n">
        <f aca="false">SUMIFS(Estoque!$G:$G,Estoque!$C:$C,F$2)</f>
        <v>185651.9003</v>
      </c>
      <c r="G7" s="33" t="n">
        <f aca="false">SUMIFS(Estoque!$G:$G,Estoque!$C:$C,G$2)</f>
        <v>190437.992566667</v>
      </c>
      <c r="H7" s="33" t="n">
        <f aca="false">SUMIFS(Estoque!$G:$G,Estoque!$C:$C,H$2)</f>
        <v>209970.698833333</v>
      </c>
      <c r="I7" s="33" t="n">
        <f aca="false">SUMIFS(Estoque!$G:$G,Estoque!$C:$C,I$2)</f>
        <v>210217.6232</v>
      </c>
      <c r="J7" s="33" t="n">
        <f aca="false">SUMIFS(Estoque!$G:$G,Estoque!$C:$C,J$2)</f>
        <v>186203.997533333</v>
      </c>
      <c r="K7" s="33" t="n">
        <f aca="false">SUMIFS(Estoque!$G:$G,Estoque!$C:$C,K$2)</f>
        <v>186257.141233333</v>
      </c>
      <c r="L7" s="33" t="n">
        <f aca="false">SUMIFS(Estoque!$G:$G,Estoque!$C:$C,L$2)</f>
        <v>202911.862766667</v>
      </c>
      <c r="M7" s="33" t="n">
        <f aca="false">SUMIFS(Estoque!$G:$G,Estoque!$C:$C,M$2)</f>
        <v>235060.512866667</v>
      </c>
      <c r="N7" s="33" t="n">
        <f aca="false">SUMIFS(Estoque!$G:$G,Estoque!$C:$C,N$2)</f>
        <v>248556.415666667</v>
      </c>
      <c r="O7" s="33" t="n">
        <f aca="false">SUMIFS(Estoque!$G:$G,Estoque!$C:$C,O$2)</f>
        <v>178767.150466667</v>
      </c>
      <c r="P7" s="33" t="n">
        <f aca="false">SUMIFS(Estoque!$G:$G,Estoque!$C:$C,P$2)</f>
        <v>144836.880766667</v>
      </c>
      <c r="Q7" s="33" t="n">
        <f aca="false">SUMIFS(Estoque!$G:$G,Estoque!$C:$C,Q$2)</f>
        <v>199259.295533333</v>
      </c>
      <c r="R7" s="33" t="n">
        <f aca="false">SUMIFS(Estoque!$G:$G,Estoque!$C:$C,R$2)</f>
        <v>173107.485866667</v>
      </c>
      <c r="S7" s="33" t="n">
        <f aca="false">SUMIFS(Estoque!$G:$G,Estoque!$C:$C,S$2)</f>
        <v>227722.480233333</v>
      </c>
      <c r="T7" s="33" t="n">
        <f aca="false">SUMIFS(Estoque!$G:$G,Estoque!$C:$C,T$2)</f>
        <v>217737.874666667</v>
      </c>
      <c r="U7" s="33" t="n">
        <f aca="false">SUMIFS(Estoque!$G:$G,Estoque!$C:$C,U$2)</f>
        <v>233108.497533333</v>
      </c>
      <c r="V7" s="33" t="n">
        <f aca="false">SUMIFS(Estoque!$G:$G,Estoque!$C:$C,V$2)</f>
        <v>214296.759566667</v>
      </c>
      <c r="W7" s="33" t="n">
        <f aca="false">SUMIFS(Estoque!$G:$G,Estoque!$C:$C,W$2)</f>
        <v>217451.4357</v>
      </c>
      <c r="X7" s="33" t="n">
        <f aca="false">SUMIFS(Estoque!$G:$G,Estoque!$C:$C,X$2)</f>
        <v>195725.6319</v>
      </c>
      <c r="Y7" s="33" t="n">
        <f aca="false">SUMIFS(Estoque!$G:$G,Estoque!$C:$C,Y$2)</f>
        <v>251888.550166667</v>
      </c>
      <c r="Z7" s="33" t="n">
        <f aca="false">SUMIFS(Estoque!$G:$G,Estoque!$C:$C,Z$2)</f>
        <v>269080.184</v>
      </c>
      <c r="AA7" s="33" t="n">
        <f aca="false">SUMIFS(Estoque!$G:$G,Estoque!$C:$C,AA$2)</f>
        <v>194571.341663758</v>
      </c>
      <c r="AB7" s="33" t="n">
        <f aca="false">SUMIFS(Estoque!$G:$G,Estoque!$C:$C,AB$2)</f>
        <v>155298.851803927</v>
      </c>
      <c r="AC7" s="33" t="n">
        <f aca="false">SUMIFS(Estoque!$G:$G,Estoque!$C:$C,AC$2)</f>
        <v>213237.879513146</v>
      </c>
      <c r="AD7" s="33" t="n">
        <f aca="false">SUMIFS(Estoque!$G:$G,Estoque!$C:$C,AD$2)</f>
        <v>185304.343676319</v>
      </c>
      <c r="AE7" s="33" t="n">
        <f aca="false">SUMIFS(Estoque!$G:$G,Estoque!$C:$C,AE$2)</f>
        <v>240701.13438533</v>
      </c>
      <c r="AF7" s="33" t="n">
        <f aca="false">SUMIFS(Estoque!$G:$G,Estoque!$C:$C,AF$2)</f>
        <v>228826.305983049</v>
      </c>
      <c r="AG7" s="33" t="n">
        <f aca="false">SUMIFS(Estoque!$G:$G,Estoque!$C:$C,AG$2)</f>
        <v>250334.943155773</v>
      </c>
      <c r="AH7" s="33" t="n">
        <f aca="false">SUMIFS(Estoque!$G:$G,Estoque!$C:$C,AH$2)</f>
        <v>230693.448998591</v>
      </c>
      <c r="AI7" s="33" t="n">
        <f aca="false">SUMIFS(Estoque!$G:$G,Estoque!$C:$C,AI$2)</f>
        <v>233340.93357041</v>
      </c>
      <c r="AJ7" s="33" t="n">
        <f aca="false">SUMIFS(Estoque!$G:$G,Estoque!$C:$C,AJ$2)</f>
        <v>207235.635133042</v>
      </c>
      <c r="AK7" s="33" t="n">
        <f aca="false">SUMIFS(Estoque!$G:$G,Estoque!$C:$C,AK$2)</f>
        <v>267166.520591173</v>
      </c>
      <c r="AL7" s="33" t="n">
        <f aca="false">SUMIFS(Estoque!$G:$G,Estoque!$C:$C,AL$2)</f>
        <v>287759.504762601</v>
      </c>
      <c r="AN7" s="33" t="n">
        <f aca="false">SUMIF($C$3:$AL$3,2025,$C7:$AL7)</f>
        <v>2375129.20833333</v>
      </c>
      <c r="AO7" s="33" t="n">
        <f aca="false">SUMIF($C$3:$AL$3,2026,$C7:$AL7)</f>
        <v>2522982.2264</v>
      </c>
      <c r="AP7" s="33" t="n">
        <f aca="false">SUMIF($C$3:$AL$3,2027,$C7:$AL7)</f>
        <v>2694470.84323712</v>
      </c>
    </row>
    <row r="8" customFormat="false" ht="15" hidden="false" customHeight="true" outlineLevel="0" collapsed="false">
      <c r="A8" s="32" t="s">
        <v>215</v>
      </c>
      <c r="C8" s="33" t="n">
        <f aca="false">DRE_Consolidado!C6*Premissas!$B$13</f>
        <v>13993.2512</v>
      </c>
      <c r="D8" s="33" t="n">
        <f aca="false">DRE_Consolidado!D6*Premissas!$B$13</f>
        <v>13636.7144</v>
      </c>
      <c r="E8" s="33" t="n">
        <f aca="false">DRE_Consolidado!E6*Premissas!$B$13</f>
        <v>14930.0056</v>
      </c>
      <c r="F8" s="33" t="n">
        <f aca="false">DRE_Consolidado!F6*Premissas!$B$13</f>
        <v>15312.3552</v>
      </c>
      <c r="G8" s="33" t="n">
        <f aca="false">DRE_Consolidado!G6*Premissas!$B$13</f>
        <v>15503.5592</v>
      </c>
      <c r="H8" s="33" t="n">
        <f aca="false">DRE_Consolidado!H6*Premissas!$B$13</f>
        <v>16844.6808</v>
      </c>
      <c r="I8" s="33" t="n">
        <f aca="false">DRE_Consolidado!I6*Premissas!$B$13</f>
        <v>17055.0776</v>
      </c>
      <c r="J8" s="33" t="n">
        <f aca="false">DRE_Consolidado!J6*Premissas!$B$13</f>
        <v>15029.64</v>
      </c>
      <c r="K8" s="33" t="n">
        <f aca="false">DRE_Consolidado!K6*Premissas!$B$13</f>
        <v>15225.1248</v>
      </c>
      <c r="L8" s="33" t="n">
        <f aca="false">DRE_Consolidado!L6*Premissas!$B$13</f>
        <v>16481.928</v>
      </c>
      <c r="M8" s="33" t="n">
        <f aca="false">DRE_Consolidado!M6*Premissas!$B$13</f>
        <v>19191.1552</v>
      </c>
      <c r="N8" s="33" t="n">
        <f aca="false">DRE_Consolidado!N6*Premissas!$B$13</f>
        <v>20266.7496</v>
      </c>
      <c r="O8" s="33" t="n">
        <f aca="false">DRE_Consolidado!O6*Premissas!$B$13</f>
        <v>14562.3464</v>
      </c>
      <c r="P8" s="33" t="n">
        <f aca="false">DRE_Consolidado!P6*Premissas!$B$13</f>
        <v>11719.9464</v>
      </c>
      <c r="Q8" s="33" t="n">
        <f aca="false">DRE_Consolidado!Q6*Premissas!$B$13</f>
        <v>15840.0072</v>
      </c>
      <c r="R8" s="33" t="n">
        <f aca="false">DRE_Consolidado!R6*Premissas!$B$13</f>
        <v>14310.744</v>
      </c>
      <c r="S8" s="33" t="n">
        <f aca="false">DRE_Consolidado!S6*Premissas!$B$13</f>
        <v>18589.052</v>
      </c>
      <c r="T8" s="33" t="n">
        <f aca="false">DRE_Consolidado!T6*Premissas!$B$13</f>
        <v>17859.4232</v>
      </c>
      <c r="U8" s="33" t="n">
        <f aca="false">DRE_Consolidado!U6*Premissas!$B$13</f>
        <v>18932.0888</v>
      </c>
      <c r="V8" s="33" t="n">
        <f aca="false">DRE_Consolidado!V6*Premissas!$B$13</f>
        <v>17493.4472</v>
      </c>
      <c r="W8" s="33" t="n">
        <f aca="false">DRE_Consolidado!W6*Premissas!$B$13</f>
        <v>17397.1184</v>
      </c>
      <c r="X8" s="33" t="n">
        <f aca="false">DRE_Consolidado!X6*Premissas!$B$13</f>
        <v>15926.0128</v>
      </c>
      <c r="Y8" s="33" t="n">
        <f aca="false">DRE_Consolidado!Y6*Premissas!$B$13</f>
        <v>20230.7216</v>
      </c>
      <c r="Z8" s="33" t="n">
        <f aca="false">DRE_Consolidado!Z6*Premissas!$B$13</f>
        <v>21662.892</v>
      </c>
      <c r="AA8" s="33" t="n">
        <f aca="false">DRE_Consolidado!AA6*Premissas!$B$13</f>
        <v>15819.022119112</v>
      </c>
      <c r="AB8" s="33" t="n">
        <f aca="false">DRE_Consolidado!AB6*Premissas!$B$13</f>
        <v>12513.0989597272</v>
      </c>
      <c r="AC8" s="33" t="n">
        <f aca="false">DRE_Consolidado!AC6*Premissas!$B$13</f>
        <v>16869.8650069088</v>
      </c>
      <c r="AD8" s="33" t="n">
        <f aca="false">DRE_Consolidado!AD6*Premissas!$B$13</f>
        <v>15291.7242416864</v>
      </c>
      <c r="AE8" s="33" t="n">
        <f aca="false">DRE_Consolidado!AE6*Premissas!$B$13</f>
        <v>19606.7008825184</v>
      </c>
      <c r="AF8" s="33" t="n">
        <f aca="false">DRE_Consolidado!AF6*Premissas!$B$13</f>
        <v>18729.0660334736</v>
      </c>
      <c r="AG8" s="33" t="n">
        <f aca="false">DRE_Consolidado!AG6*Premissas!$B$13</f>
        <v>20271.0697414632</v>
      </c>
      <c r="AH8" s="33" t="n">
        <f aca="false">DRE_Consolidado!AH6*Premissas!$B$13</f>
        <v>18755.5661845584</v>
      </c>
      <c r="AI8" s="33" t="n">
        <f aca="false">DRE_Consolidado!AI6*Premissas!$B$13</f>
        <v>18601.2050141032</v>
      </c>
      <c r="AJ8" s="33" t="n">
        <f aca="false">DRE_Consolidado!AJ6*Premissas!$B$13</f>
        <v>16799.0890209568</v>
      </c>
      <c r="AK8" s="33" t="n">
        <f aca="false">DRE_Consolidado!AK6*Premissas!$B$13</f>
        <v>21386.7282701544</v>
      </c>
      <c r="AL8" s="33" t="n">
        <f aca="false">DRE_Consolidado!AL6*Premissas!$B$13</f>
        <v>23056.088108828</v>
      </c>
      <c r="AN8" s="33" t="n">
        <f aca="false">SUMIF($C$3:$AL$3,2025,$C8:$AL8)</f>
        <v>193470.2416</v>
      </c>
      <c r="AO8" s="33" t="n">
        <f aca="false">SUMIF($C$3:$AL$3,2026,$C8:$AL8)</f>
        <v>204523.8</v>
      </c>
      <c r="AP8" s="33" t="n">
        <f aca="false">SUMIF($C$3:$AL$3,2027,$C8:$AL8)</f>
        <v>217699.22358349</v>
      </c>
    </row>
    <row r="9" customFormat="false" ht="15" hidden="false" customHeight="true" outlineLevel="0" collapsed="false">
      <c r="A9" s="16" t="s">
        <v>216</v>
      </c>
      <c r="B9" s="17"/>
      <c r="C9" s="31" t="n">
        <f aca="false">SUM(C5:C8)</f>
        <v>766878.0498</v>
      </c>
      <c r="D9" s="31" t="n">
        <f aca="false">SUM(D5:D8)</f>
        <v>756240.3849849</v>
      </c>
      <c r="E9" s="31" t="n">
        <f aca="false">SUM(E5:E8)</f>
        <v>783517.613843731</v>
      </c>
      <c r="F9" s="31" t="n">
        <f aca="false">SUM(F5:F8)</f>
        <v>789343.991554622</v>
      </c>
      <c r="G9" s="31" t="n">
        <f aca="false">SUM(G5:G8)</f>
        <v>798262.508208201</v>
      </c>
      <c r="H9" s="31" t="n">
        <f aca="false">SUM(H5:H8)</f>
        <v>802977.865830399</v>
      </c>
      <c r="I9" s="31" t="n">
        <f aca="false">SUM(I5:I8)</f>
        <v>781066.649846755</v>
      </c>
      <c r="J9" s="31" t="n">
        <f aca="false">SUM(J5:J8)</f>
        <v>714225.578554308</v>
      </c>
      <c r="K9" s="31" t="n">
        <f aca="false">SUM(K5:K8)</f>
        <v>723461.766185232</v>
      </c>
      <c r="L9" s="31" t="n">
        <f aca="false">SUM(L5:L8)</f>
        <v>744874.37812387</v>
      </c>
      <c r="M9" s="31" t="n">
        <f aca="false">SUM(M5:M8)</f>
        <v>816505.866038038</v>
      </c>
      <c r="N9" s="31" t="n">
        <f aca="false">SUM(N5:N8)</f>
        <v>851550.069793046</v>
      </c>
      <c r="O9" s="31" t="n">
        <f aca="false">SUM(O5:O8)</f>
        <v>784476.484529301</v>
      </c>
      <c r="P9" s="31" t="n">
        <f aca="false">SUM(P5:P8)</f>
        <v>715445.097016931</v>
      </c>
      <c r="Q9" s="31" t="n">
        <f aca="false">SUM(Q5:Q8)</f>
        <v>790360.231157584</v>
      </c>
      <c r="R9" s="31" t="n">
        <f aca="false">SUM(R5:R8)</f>
        <v>724750.146430578</v>
      </c>
      <c r="S9" s="31" t="n">
        <f aca="false">SUM(S5:S8)</f>
        <v>809672.148697986</v>
      </c>
      <c r="T9" s="31" t="n">
        <f aca="false">SUM(T5:T8)</f>
        <v>798309.340450932</v>
      </c>
      <c r="U9" s="31" t="n">
        <f aca="false">SUM(U5:U8)</f>
        <v>916298.789043687</v>
      </c>
      <c r="V9" s="31" t="n">
        <f aca="false">SUM(V5:V8)</f>
        <v>893078.850901046</v>
      </c>
      <c r="W9" s="31" t="n">
        <f aca="false">SUM(W5:W8)</f>
        <v>897744.71360992</v>
      </c>
      <c r="X9" s="31" t="n">
        <f aca="false">SUM(X5:X8)</f>
        <v>863301.66070768</v>
      </c>
      <c r="Y9" s="31" t="n">
        <f aca="false">SUM(Y5:Y8)</f>
        <v>959053.864418917</v>
      </c>
      <c r="Z9" s="31" t="n">
        <f aca="false">SUM(Z5:Z8)</f>
        <v>1004208.14149964</v>
      </c>
      <c r="AA9" s="31" t="n">
        <f aca="false">SUM(AA5:AA8)</f>
        <v>888975.015521881</v>
      </c>
      <c r="AB9" s="31" t="n">
        <f aca="false">SUM(AB5:AB8)</f>
        <v>802559.284362325</v>
      </c>
      <c r="AC9" s="31" t="n">
        <f aca="false">SUM(AC5:AC8)</f>
        <v>869859.345943571</v>
      </c>
      <c r="AD9" s="31" t="n">
        <f aca="false">SUM(AD5:AD8)</f>
        <v>798608.691447542</v>
      </c>
      <c r="AE9" s="31" t="n">
        <f aca="false">SUM(AE5:AE8)</f>
        <v>877236.626563333</v>
      </c>
      <c r="AF9" s="31" t="n">
        <f aca="false">SUM(AF5:AF8)</f>
        <v>852764.527509199</v>
      </c>
      <c r="AG9" s="31" t="n">
        <f aca="false">SUM(AG5:AG8)</f>
        <v>881511.54901608</v>
      </c>
      <c r="AH9" s="31" t="n">
        <f aca="false">SUM(AH5:AH8)</f>
        <v>856054.397943068</v>
      </c>
      <c r="AI9" s="31" t="n">
        <f aca="false">SUM(AI5:AI8)</f>
        <v>854321.932926615</v>
      </c>
      <c r="AJ9" s="31" t="n">
        <f aca="false">SUM(AJ5:AJ8)</f>
        <v>811846.709593603</v>
      </c>
      <c r="AK9" s="31" t="n">
        <f aca="false">SUM(AK5:AK8)</f>
        <v>907343.464979947</v>
      </c>
      <c r="AL9" s="31" t="n">
        <f aca="false">SUM(AL5:AL8)</f>
        <v>948905.415317003</v>
      </c>
      <c r="AM9" s="17"/>
      <c r="AN9" s="31" t="n">
        <f aca="false">SUMIF($C$3:$AL$3,2025,$C9:$AL9)</f>
        <v>9328904.7227631</v>
      </c>
      <c r="AO9" s="31" t="n">
        <f aca="false">SUMIF($C$3:$AL$3,2026,$C9:$AL9)</f>
        <v>10156699.4684642</v>
      </c>
      <c r="AP9" s="31" t="n">
        <f aca="false">SUMIF($C$3:$AL$3,2027,$C9:$AL9)</f>
        <v>10349986.9611242</v>
      </c>
    </row>
    <row r="10" customFormat="false" ht="15" hidden="false" customHeight="true" outlineLevel="0" collapsed="false">
      <c r="A10" s="32" t="s">
        <v>217</v>
      </c>
      <c r="C10" s="33" t="n">
        <f aca="false">Cronogramas!C9</f>
        <v>378435.203478333</v>
      </c>
      <c r="D10" s="33" t="n">
        <f aca="false">Cronogramas!D9</f>
        <v>376782.248940417</v>
      </c>
      <c r="E10" s="33" t="n">
        <f aca="false">Cronogramas!E9</f>
        <v>375348.45836875</v>
      </c>
      <c r="F10" s="33" t="n">
        <f aca="false">Cronogramas!F9</f>
        <v>373962.432792083</v>
      </c>
      <c r="G10" s="33" t="n">
        <f aca="false">Cronogramas!G9</f>
        <v>372588.033654167</v>
      </c>
      <c r="H10" s="33" t="n">
        <f aca="false">Cronogramas!H9</f>
        <v>401188.7750025</v>
      </c>
      <c r="I10" s="33" t="n">
        <f aca="false">Cronogramas!I9</f>
        <v>429552.317192083</v>
      </c>
      <c r="J10" s="33" t="n">
        <f aca="false">Cronogramas!J9</f>
        <v>457262.606019167</v>
      </c>
      <c r="K10" s="33" t="n">
        <f aca="false">Cronogramas!K9</f>
        <v>454985.75898875</v>
      </c>
      <c r="L10" s="33" t="n">
        <f aca="false">Cronogramas!L9</f>
        <v>452918.809545833</v>
      </c>
      <c r="M10" s="33" t="n">
        <f aca="false">Cronogramas!M9</f>
        <v>451329.854022917</v>
      </c>
      <c r="N10" s="33" t="n">
        <f aca="false">Cronogramas!N9</f>
        <v>449910.90565375</v>
      </c>
      <c r="O10" s="33" t="n">
        <f aca="false">Cronogramas!O9</f>
        <v>447399.628018333</v>
      </c>
      <c r="P10" s="33" t="n">
        <f aca="false">Cronogramas!P9</f>
        <v>444337.087966667</v>
      </c>
      <c r="Q10" s="33" t="n">
        <f aca="false">Cronogramas!Q9</f>
        <v>442022.30930375</v>
      </c>
      <c r="R10" s="33" t="n">
        <f aca="false">Cronogramas!R9</f>
        <v>439398.433253333</v>
      </c>
      <c r="S10" s="33" t="n">
        <f aca="false">Cronogramas!S9</f>
        <v>437547.694559167</v>
      </c>
      <c r="T10" s="33" t="n">
        <f aca="false">Cronogramas!T9</f>
        <v>435532.24511625</v>
      </c>
      <c r="U10" s="33" t="n">
        <f aca="false">Cronogramas!U9</f>
        <v>433688.339084583</v>
      </c>
      <c r="V10" s="33" t="n">
        <f aca="false">Cronogramas!V9</f>
        <v>431547.354241667</v>
      </c>
      <c r="W10" s="33" t="n">
        <f aca="false">Cronogramas!W9</f>
        <v>429361.12475125</v>
      </c>
      <c r="X10" s="33" t="n">
        <f aca="false">Cronogramas!X9</f>
        <v>426874.178565834</v>
      </c>
      <c r="Y10" s="33" t="n">
        <f aca="false">Cronogramas!Y9</f>
        <v>425162.754777917</v>
      </c>
      <c r="Z10" s="33" t="n">
        <f aca="false">Cronogramas!Z9</f>
        <v>423686.01467125</v>
      </c>
      <c r="AA10" s="33" t="n">
        <f aca="false">Cronogramas!AA9</f>
        <v>421088.831739856</v>
      </c>
      <c r="AB10" s="33" t="n">
        <f aca="false">Cronogramas!AB9</f>
        <v>417852.236498952</v>
      </c>
      <c r="AC10" s="33" t="n">
        <f aca="false">Cronogramas!AC9</f>
        <v>415406.175727822</v>
      </c>
      <c r="AD10" s="33" t="n">
        <f aca="false">Cronogramas!AD9</f>
        <v>412640.320244085</v>
      </c>
      <c r="AE10" s="33" t="n">
        <f aca="false">Cronogramas!AE9</f>
        <v>410652.887410375</v>
      </c>
      <c r="AF10" s="33" t="n">
        <f aca="false">Cronogramas!AF9</f>
        <v>408471.633876792</v>
      </c>
      <c r="AG10" s="33" t="n">
        <f aca="false">Cronogramas!AG9</f>
        <v>406547.832491986</v>
      </c>
      <c r="AH10" s="33" t="n">
        <f aca="false">Cronogramas!AH9</f>
        <v>404310.568618096</v>
      </c>
      <c r="AI10" s="33" t="n">
        <f aca="false">Cronogramas!AI9</f>
        <v>402015.297641912</v>
      </c>
      <c r="AJ10" s="33" t="n">
        <f aca="false">Cronogramas!AJ9</f>
        <v>399355.881340418</v>
      </c>
      <c r="AK10" s="33" t="n">
        <f aca="false">Cronogramas!AK9</f>
        <v>397523.230635226</v>
      </c>
      <c r="AL10" s="33" t="n">
        <f aca="false">Cronogramas!AL9</f>
        <v>395967.559762116</v>
      </c>
      <c r="AN10" s="33" t="n">
        <f aca="false">SUMIF($C$3:$AL$3,2025,$C10:$AL10)</f>
        <v>4974265.40365875</v>
      </c>
      <c r="AO10" s="33" t="n">
        <f aca="false">SUMIF($C$3:$AL$3,2026,$C10:$AL10)</f>
        <v>5216557.16431</v>
      </c>
      <c r="AP10" s="33" t="n">
        <f aca="false">SUMIF($C$3:$AL$3,2027,$C10:$AL10)</f>
        <v>4891832.45598764</v>
      </c>
    </row>
    <row r="11" customFormat="false" ht="15" hidden="false" customHeight="true" outlineLevel="0" collapsed="false">
      <c r="A11" s="32" t="s">
        <v>218</v>
      </c>
      <c r="C11" s="33" t="n">
        <f aca="false">Cronogramas!C12</f>
        <v>39333.3333333333</v>
      </c>
      <c r="D11" s="33" t="n">
        <f aca="false">Cronogramas!D12</f>
        <v>38666.6666666667</v>
      </c>
      <c r="E11" s="33" t="n">
        <f aca="false">Cronogramas!E12</f>
        <v>38000</v>
      </c>
      <c r="F11" s="33" t="n">
        <f aca="false">Cronogramas!F12</f>
        <v>37333.3333333333</v>
      </c>
      <c r="G11" s="33" t="n">
        <f aca="false">Cronogramas!G12</f>
        <v>36666.6666666667</v>
      </c>
      <c r="H11" s="33" t="n">
        <f aca="false">Cronogramas!H12</f>
        <v>36000</v>
      </c>
      <c r="I11" s="33" t="n">
        <f aca="false">Cronogramas!I12</f>
        <v>35333.3333333334</v>
      </c>
      <c r="J11" s="33" t="n">
        <f aca="false">Cronogramas!J12</f>
        <v>34666.6666666667</v>
      </c>
      <c r="K11" s="33" t="n">
        <f aca="false">Cronogramas!K12</f>
        <v>34000</v>
      </c>
      <c r="L11" s="33" t="n">
        <f aca="false">Cronogramas!L12</f>
        <v>33333.3333333334</v>
      </c>
      <c r="M11" s="33" t="n">
        <f aca="false">Cronogramas!M12</f>
        <v>32666.6666666667</v>
      </c>
      <c r="N11" s="33" t="n">
        <f aca="false">Cronogramas!N12</f>
        <v>32000</v>
      </c>
      <c r="O11" s="33" t="n">
        <f aca="false">Cronogramas!O12</f>
        <v>31333.3333333334</v>
      </c>
      <c r="P11" s="33" t="n">
        <f aca="false">Cronogramas!P12</f>
        <v>30666.6666666667</v>
      </c>
      <c r="Q11" s="33" t="n">
        <f aca="false">Cronogramas!Q12</f>
        <v>30000</v>
      </c>
      <c r="R11" s="33" t="n">
        <f aca="false">Cronogramas!R12</f>
        <v>29333.3333333334</v>
      </c>
      <c r="S11" s="33" t="n">
        <f aca="false">Cronogramas!S12</f>
        <v>28666.6666666667</v>
      </c>
      <c r="T11" s="33" t="n">
        <f aca="false">Cronogramas!T12</f>
        <v>28000</v>
      </c>
      <c r="U11" s="33" t="n">
        <f aca="false">Cronogramas!U12</f>
        <v>27333.3333333333</v>
      </c>
      <c r="V11" s="33" t="n">
        <f aca="false">Cronogramas!V12</f>
        <v>26666.6666666667</v>
      </c>
      <c r="W11" s="33" t="n">
        <f aca="false">Cronogramas!W12</f>
        <v>26000</v>
      </c>
      <c r="X11" s="33" t="n">
        <f aca="false">Cronogramas!X12</f>
        <v>25333.3333333333</v>
      </c>
      <c r="Y11" s="33" t="n">
        <f aca="false">Cronogramas!Y12</f>
        <v>24666.6666666667</v>
      </c>
      <c r="Z11" s="33" t="n">
        <f aca="false">Cronogramas!Z12</f>
        <v>24000</v>
      </c>
      <c r="AA11" s="33" t="n">
        <f aca="false">Cronogramas!AA12</f>
        <v>23333.3333333333</v>
      </c>
      <c r="AB11" s="33" t="n">
        <f aca="false">Cronogramas!AB12</f>
        <v>22666.6666666667</v>
      </c>
      <c r="AC11" s="33" t="n">
        <f aca="false">Cronogramas!AC12</f>
        <v>22000</v>
      </c>
      <c r="AD11" s="33" t="n">
        <f aca="false">Cronogramas!AD12</f>
        <v>21333.3333333333</v>
      </c>
      <c r="AE11" s="33" t="n">
        <f aca="false">Cronogramas!AE12</f>
        <v>20666.6666666667</v>
      </c>
      <c r="AF11" s="33" t="n">
        <f aca="false">Cronogramas!AF12</f>
        <v>20000</v>
      </c>
      <c r="AG11" s="33" t="n">
        <f aca="false">Cronogramas!AG12</f>
        <v>19333.3333333333</v>
      </c>
      <c r="AH11" s="33" t="n">
        <f aca="false">Cronogramas!AH12</f>
        <v>18666.6666666667</v>
      </c>
      <c r="AI11" s="33" t="n">
        <f aca="false">Cronogramas!AI12</f>
        <v>18000</v>
      </c>
      <c r="AJ11" s="33" t="n">
        <f aca="false">Cronogramas!AJ12</f>
        <v>17333.3333333333</v>
      </c>
      <c r="AK11" s="33" t="n">
        <f aca="false">Cronogramas!AK12</f>
        <v>16666.6666666667</v>
      </c>
      <c r="AL11" s="33" t="n">
        <f aca="false">Cronogramas!AL12</f>
        <v>16000</v>
      </c>
      <c r="AN11" s="33" t="n">
        <f aca="false">SUMIF($C$3:$AL$3,2025,$C11:$AL11)</f>
        <v>428000</v>
      </c>
      <c r="AO11" s="33" t="n">
        <f aca="false">SUMIF($C$3:$AL$3,2026,$C11:$AL11)</f>
        <v>332000</v>
      </c>
      <c r="AP11" s="33" t="n">
        <f aca="false">SUMIF($C$3:$AL$3,2027,$C11:$AL11)</f>
        <v>236000</v>
      </c>
    </row>
    <row r="12" customFormat="false" ht="15" hidden="false" customHeight="true" outlineLevel="0" collapsed="false">
      <c r="A12" s="16" t="s">
        <v>219</v>
      </c>
      <c r="B12" s="17"/>
      <c r="C12" s="31" t="n">
        <f aca="false">C10+C11</f>
        <v>417768.536811667</v>
      </c>
      <c r="D12" s="31" t="n">
        <f aca="false">D10+D11</f>
        <v>415448.915607083</v>
      </c>
      <c r="E12" s="31" t="n">
        <f aca="false">E10+E11</f>
        <v>413348.45836875</v>
      </c>
      <c r="F12" s="31" t="n">
        <f aca="false">F10+F11</f>
        <v>411295.766125417</v>
      </c>
      <c r="G12" s="31" t="n">
        <f aca="false">G10+G11</f>
        <v>409254.700320833</v>
      </c>
      <c r="H12" s="31" t="n">
        <f aca="false">H10+H11</f>
        <v>437188.7750025</v>
      </c>
      <c r="I12" s="31" t="n">
        <f aca="false">I10+I11</f>
        <v>464885.650525417</v>
      </c>
      <c r="J12" s="31" t="n">
        <f aca="false">J10+J11</f>
        <v>491929.272685833</v>
      </c>
      <c r="K12" s="31" t="n">
        <f aca="false">K10+K11</f>
        <v>488985.75898875</v>
      </c>
      <c r="L12" s="31" t="n">
        <f aca="false">L10+L11</f>
        <v>486252.142879167</v>
      </c>
      <c r="M12" s="31" t="n">
        <f aca="false">M10+M11</f>
        <v>483996.520689583</v>
      </c>
      <c r="N12" s="31" t="n">
        <f aca="false">N10+N11</f>
        <v>481910.90565375</v>
      </c>
      <c r="O12" s="31" t="n">
        <f aca="false">O10+O11</f>
        <v>478732.961351667</v>
      </c>
      <c r="P12" s="31" t="n">
        <f aca="false">P10+P11</f>
        <v>475003.754633333</v>
      </c>
      <c r="Q12" s="31" t="n">
        <f aca="false">Q10+Q11</f>
        <v>472022.30930375</v>
      </c>
      <c r="R12" s="31" t="n">
        <f aca="false">R10+R11</f>
        <v>468731.766586667</v>
      </c>
      <c r="S12" s="31" t="n">
        <f aca="false">S10+S11</f>
        <v>466214.361225833</v>
      </c>
      <c r="T12" s="31" t="n">
        <f aca="false">T10+T11</f>
        <v>463532.24511625</v>
      </c>
      <c r="U12" s="31" t="n">
        <f aca="false">U10+U11</f>
        <v>461021.672417917</v>
      </c>
      <c r="V12" s="31" t="n">
        <f aca="false">V10+V11</f>
        <v>458214.020908334</v>
      </c>
      <c r="W12" s="31" t="n">
        <f aca="false">W10+W11</f>
        <v>455361.12475125</v>
      </c>
      <c r="X12" s="31" t="n">
        <f aca="false">X10+X11</f>
        <v>452207.511899167</v>
      </c>
      <c r="Y12" s="31" t="n">
        <f aca="false">Y10+Y11</f>
        <v>449829.421444584</v>
      </c>
      <c r="Z12" s="31" t="n">
        <f aca="false">Z10+Z11</f>
        <v>447686.01467125</v>
      </c>
      <c r="AA12" s="31" t="n">
        <f aca="false">AA10+AA11</f>
        <v>444422.165073189</v>
      </c>
      <c r="AB12" s="31" t="n">
        <f aca="false">AB10+AB11</f>
        <v>440518.903165619</v>
      </c>
      <c r="AC12" s="31" t="n">
        <f aca="false">AC10+AC11</f>
        <v>437406.175727822</v>
      </c>
      <c r="AD12" s="31" t="n">
        <f aca="false">AD10+AD11</f>
        <v>433973.653577418</v>
      </c>
      <c r="AE12" s="31" t="n">
        <f aca="false">AE10+AE11</f>
        <v>431319.554077042</v>
      </c>
      <c r="AF12" s="31" t="n">
        <f aca="false">AF10+AF11</f>
        <v>428471.633876792</v>
      </c>
      <c r="AG12" s="31" t="n">
        <f aca="false">AG10+AG11</f>
        <v>425881.165825319</v>
      </c>
      <c r="AH12" s="31" t="n">
        <f aca="false">AH10+AH11</f>
        <v>422977.235284763</v>
      </c>
      <c r="AI12" s="31" t="n">
        <f aca="false">AI10+AI11</f>
        <v>420015.297641912</v>
      </c>
      <c r="AJ12" s="31" t="n">
        <f aca="false">AJ10+AJ11</f>
        <v>416689.214673751</v>
      </c>
      <c r="AK12" s="31" t="n">
        <f aca="false">AK10+AK11</f>
        <v>414189.897301893</v>
      </c>
      <c r="AL12" s="31" t="n">
        <f aca="false">AL10+AL11</f>
        <v>411967.559762116</v>
      </c>
      <c r="AM12" s="17"/>
      <c r="AN12" s="31" t="n">
        <f aca="false">SUMIF($C$3:$AL$3,2025,$C12:$AL12)</f>
        <v>5402265.40365875</v>
      </c>
      <c r="AO12" s="31" t="n">
        <f aca="false">SUMIF($C$3:$AL$3,2026,$C12:$AL12)</f>
        <v>5548557.16431</v>
      </c>
      <c r="AP12" s="31" t="n">
        <f aca="false">SUMIF($C$3:$AL$3,2027,$C12:$AL12)</f>
        <v>5127832.45598764</v>
      </c>
    </row>
    <row r="13" customFormat="false" ht="15" hidden="false" customHeight="true" outlineLevel="0" collapsed="false">
      <c r="A13" s="34" t="s">
        <v>220</v>
      </c>
      <c r="B13" s="35"/>
      <c r="C13" s="36" t="n">
        <f aca="false">C9+C12</f>
        <v>1184646.58661167</v>
      </c>
      <c r="D13" s="36" t="n">
        <f aca="false">D9+D12</f>
        <v>1171689.30059198</v>
      </c>
      <c r="E13" s="36" t="n">
        <f aca="false">E9+E12</f>
        <v>1196866.07221248</v>
      </c>
      <c r="F13" s="36" t="n">
        <f aca="false">F9+F12</f>
        <v>1200639.75768004</v>
      </c>
      <c r="G13" s="36" t="n">
        <f aca="false">G9+G12</f>
        <v>1207517.20852903</v>
      </c>
      <c r="H13" s="36" t="n">
        <f aca="false">H9+H12</f>
        <v>1240166.6408329</v>
      </c>
      <c r="I13" s="36" t="n">
        <f aca="false">I9+I12</f>
        <v>1245952.30037217</v>
      </c>
      <c r="J13" s="36" t="n">
        <f aca="false">J9+J12</f>
        <v>1206154.85124014</v>
      </c>
      <c r="K13" s="36" t="n">
        <f aca="false">K9+K12</f>
        <v>1212447.52517398</v>
      </c>
      <c r="L13" s="36" t="n">
        <f aca="false">L9+L12</f>
        <v>1231126.52100304</v>
      </c>
      <c r="M13" s="36" t="n">
        <f aca="false">M9+M12</f>
        <v>1300502.38672762</v>
      </c>
      <c r="N13" s="36" t="n">
        <f aca="false">N9+N12</f>
        <v>1333460.9754468</v>
      </c>
      <c r="O13" s="36" t="n">
        <f aca="false">O9+O12</f>
        <v>1263209.44588097</v>
      </c>
      <c r="P13" s="36" t="n">
        <f aca="false">P9+P12</f>
        <v>1190448.85165026</v>
      </c>
      <c r="Q13" s="36" t="n">
        <f aca="false">Q9+Q12</f>
        <v>1262382.54046133</v>
      </c>
      <c r="R13" s="36" t="n">
        <f aca="false">R9+R12</f>
        <v>1193481.91301724</v>
      </c>
      <c r="S13" s="36" t="n">
        <f aca="false">S9+S12</f>
        <v>1275886.50992382</v>
      </c>
      <c r="T13" s="36" t="n">
        <f aca="false">T9+T12</f>
        <v>1261841.58556718</v>
      </c>
      <c r="U13" s="36" t="n">
        <f aca="false">U9+U12</f>
        <v>1377320.4614616</v>
      </c>
      <c r="V13" s="36" t="n">
        <f aca="false">V9+V12</f>
        <v>1351292.87180938</v>
      </c>
      <c r="W13" s="36" t="n">
        <f aca="false">W9+W12</f>
        <v>1353105.83836117</v>
      </c>
      <c r="X13" s="36" t="n">
        <f aca="false">X9+X12</f>
        <v>1315509.17260685</v>
      </c>
      <c r="Y13" s="36" t="n">
        <f aca="false">Y9+Y12</f>
        <v>1408883.2858635</v>
      </c>
      <c r="Z13" s="36" t="n">
        <f aca="false">Z9+Z12</f>
        <v>1451894.15617089</v>
      </c>
      <c r="AA13" s="36" t="n">
        <f aca="false">AA9+AA12</f>
        <v>1333397.18059507</v>
      </c>
      <c r="AB13" s="36" t="n">
        <f aca="false">AB9+AB12</f>
        <v>1243078.18752794</v>
      </c>
      <c r="AC13" s="36" t="n">
        <f aca="false">AC9+AC12</f>
        <v>1307265.52167139</v>
      </c>
      <c r="AD13" s="36" t="n">
        <f aca="false">AD9+AD12</f>
        <v>1232582.34502496</v>
      </c>
      <c r="AE13" s="36" t="n">
        <f aca="false">AE9+AE12</f>
        <v>1308556.18064038</v>
      </c>
      <c r="AF13" s="36" t="n">
        <f aca="false">AF9+AF12</f>
        <v>1281236.16138599</v>
      </c>
      <c r="AG13" s="36" t="n">
        <f aca="false">AG9+AG12</f>
        <v>1307392.7148414</v>
      </c>
      <c r="AH13" s="36" t="n">
        <f aca="false">AH9+AH12</f>
        <v>1279031.63322783</v>
      </c>
      <c r="AI13" s="36" t="n">
        <f aca="false">AI9+AI12</f>
        <v>1274337.23056853</v>
      </c>
      <c r="AJ13" s="36" t="n">
        <f aca="false">AJ9+AJ12</f>
        <v>1228535.92426735</v>
      </c>
      <c r="AK13" s="36" t="n">
        <f aca="false">AK9+AK12</f>
        <v>1321533.36228184</v>
      </c>
      <c r="AL13" s="36" t="n">
        <f aca="false">AL9+AL12</f>
        <v>1360872.97507912</v>
      </c>
      <c r="AM13" s="35"/>
      <c r="AN13" s="36" t="n">
        <f aca="false">SUMIF($C$3:$AL$3,2025,$C13:$AL13)</f>
        <v>14731170.1264219</v>
      </c>
      <c r="AO13" s="36" t="n">
        <f aca="false">SUMIF($C$3:$AL$3,2026,$C13:$AL13)</f>
        <v>15705256.6327742</v>
      </c>
      <c r="AP13" s="36" t="n">
        <f aca="false">SUMIF($C$3:$AL$3,2027,$C13:$AL13)</f>
        <v>15477819.4171118</v>
      </c>
    </row>
    <row r="15" customFormat="false" ht="15" hidden="false" customHeight="true" outlineLevel="0" collapsed="false">
      <c r="A15" s="38" t="s">
        <v>221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</row>
    <row r="16" customFormat="false" ht="15" hidden="false" customHeight="true" outlineLevel="0" collapsed="false">
      <c r="A16" s="32" t="s">
        <v>222</v>
      </c>
      <c r="C16" s="33" t="n">
        <f aca="false">SUMIFS(Contas_Pagar!$G:$G,Contas_Pagar!$C:$C,C$2)</f>
        <v>138612.6505</v>
      </c>
      <c r="D16" s="33" t="n">
        <f aca="false">SUMIFS(Contas_Pagar!$G:$G,Contas_Pagar!$C:$C,D$2)</f>
        <v>138606.513766667</v>
      </c>
      <c r="E16" s="33" t="n">
        <f aca="false">SUMIFS(Contas_Pagar!$G:$G,Contas_Pagar!$C:$C,E$2)</f>
        <v>150583.080133333</v>
      </c>
      <c r="F16" s="33" t="n">
        <f aca="false">SUMIFS(Contas_Pagar!$G:$G,Contas_Pagar!$C:$C,F$2)</f>
        <v>153637.339033333</v>
      </c>
      <c r="G16" s="33" t="n">
        <f aca="false">SUMIFS(Contas_Pagar!$G:$G,Contas_Pagar!$C:$C,G$2)</f>
        <v>157194.896433333</v>
      </c>
      <c r="H16" s="33" t="n">
        <f aca="false">SUMIFS(Contas_Pagar!$G:$G,Contas_Pagar!$C:$C,H$2)</f>
        <v>173293.469766667</v>
      </c>
      <c r="I16" s="33" t="n">
        <f aca="false">SUMIFS(Contas_Pagar!$G:$G,Contas_Pagar!$C:$C,I$2)</f>
        <v>173846.283966667</v>
      </c>
      <c r="J16" s="33" t="n">
        <f aca="false">SUMIFS(Contas_Pagar!$G:$G,Contas_Pagar!$C:$C,J$2)</f>
        <v>153791.359533333</v>
      </c>
      <c r="K16" s="33" t="n">
        <f aca="false">SUMIFS(Contas_Pagar!$G:$G,Contas_Pagar!$C:$C,K$2)</f>
        <v>152624.851833333</v>
      </c>
      <c r="L16" s="33" t="n">
        <f aca="false">SUMIFS(Contas_Pagar!$G:$G,Contas_Pagar!$C:$C,L$2)</f>
        <v>167613.2</v>
      </c>
      <c r="M16" s="33" t="n">
        <f aca="false">SUMIFS(Contas_Pagar!$G:$G,Contas_Pagar!$C:$C,M$2)</f>
        <v>194672.7109</v>
      </c>
      <c r="N16" s="33" t="n">
        <f aca="false">SUMIFS(Contas_Pagar!$G:$G,Contas_Pagar!$C:$C,N$2)</f>
        <v>204938.1227</v>
      </c>
      <c r="O16" s="33" t="n">
        <f aca="false">SUMIFS(Contas_Pagar!$G:$G,Contas_Pagar!$C:$C,O$2)</f>
        <v>146392.046766667</v>
      </c>
      <c r="P16" s="33" t="n">
        <f aca="false">SUMIFS(Contas_Pagar!$G:$G,Contas_Pagar!$C:$C,P$2)</f>
        <v>119843.817333333</v>
      </c>
      <c r="Q16" s="33" t="n">
        <f aca="false">SUMIFS(Contas_Pagar!$G:$G,Contas_Pagar!$C:$C,Q$2)</f>
        <v>164399.070333333</v>
      </c>
      <c r="R16" s="33" t="n">
        <f aca="false">SUMIFS(Contas_Pagar!$G:$G,Contas_Pagar!$C:$C,R$2)</f>
        <v>143468.592866667</v>
      </c>
      <c r="S16" s="33" t="n">
        <f aca="false">SUMIFS(Contas_Pagar!$G:$G,Contas_Pagar!$C:$C,S$2)</f>
        <v>185593.6206</v>
      </c>
      <c r="T16" s="33" t="n">
        <f aca="false">SUMIFS(Contas_Pagar!$G:$G,Contas_Pagar!$C:$C,T$2)</f>
        <v>178085.430766667</v>
      </c>
      <c r="U16" s="33" t="n">
        <f aca="false">SUMIFS(Contas_Pagar!$G:$G,Contas_Pagar!$C:$C,U$2)</f>
        <v>192551.097366667</v>
      </c>
      <c r="V16" s="33" t="n">
        <f aca="false">SUMIFS(Contas_Pagar!$G:$G,Contas_Pagar!$C:$C,V$2)</f>
        <v>176539.873366667</v>
      </c>
      <c r="W16" s="33" t="n">
        <f aca="false">SUMIFS(Contas_Pagar!$G:$G,Contas_Pagar!$C:$C,W$2)</f>
        <v>179031.388766667</v>
      </c>
      <c r="X16" s="33" t="n">
        <f aca="false">SUMIFS(Contas_Pagar!$G:$G,Contas_Pagar!$C:$C,X$2)</f>
        <v>160299.9463</v>
      </c>
      <c r="Y16" s="33" t="n">
        <f aca="false">SUMIFS(Contas_Pagar!$G:$G,Contas_Pagar!$C:$C,Y$2)</f>
        <v>206941.1708</v>
      </c>
      <c r="Z16" s="33" t="n">
        <f aca="false">SUMIFS(Contas_Pagar!$G:$G,Contas_Pagar!$C:$C,Z$2)</f>
        <v>222217.781733333</v>
      </c>
      <c r="AA16" s="33" t="n">
        <f aca="false">SUMIFS(Contas_Pagar!$G:$G,Contas_Pagar!$C:$C,AA$2)</f>
        <v>158966.290665172</v>
      </c>
      <c r="AB16" s="33" t="n">
        <f aca="false">SUMIFS(Contas_Pagar!$G:$G,Contas_Pagar!$C:$C,AB$2)</f>
        <v>128454.591317762</v>
      </c>
      <c r="AC16" s="33" t="n">
        <f aca="false">SUMIFS(Contas_Pagar!$G:$G,Contas_Pagar!$C:$C,AC$2)</f>
        <v>175933.693890345</v>
      </c>
      <c r="AD16" s="33" t="n">
        <f aca="false">SUMIFS(Contas_Pagar!$G:$G,Contas_Pagar!$C:$C,AD$2)</f>
        <v>153553.232511707</v>
      </c>
      <c r="AE16" s="33" t="n">
        <f aca="false">SUMIFS(Contas_Pagar!$G:$G,Contas_Pagar!$C:$C,AE$2)</f>
        <v>196278.361266984</v>
      </c>
      <c r="AF16" s="33" t="n">
        <f aca="false">SUMIFS(Contas_Pagar!$G:$G,Contas_Pagar!$C:$C,AF$2)</f>
        <v>187565.368900633</v>
      </c>
      <c r="AG16" s="33" t="n">
        <f aca="false">SUMIFS(Contas_Pagar!$G:$G,Contas_Pagar!$C:$C,AG$2)</f>
        <v>206732.817333677</v>
      </c>
      <c r="AH16" s="33" t="n">
        <f aca="false">SUMIFS(Contas_Pagar!$G:$G,Contas_Pagar!$C:$C,AH$2)</f>
        <v>189809.105602248</v>
      </c>
      <c r="AI16" s="33" t="n">
        <f aca="false">SUMIFS(Contas_Pagar!$G:$G,Contas_Pagar!$C:$C,AI$2)</f>
        <v>191952.969471834</v>
      </c>
      <c r="AJ16" s="33" t="n">
        <f aca="false">SUMIFS(Contas_Pagar!$G:$G,Contas_Pagar!$C:$C,AJ$2)</f>
        <v>170053.67842256</v>
      </c>
      <c r="AK16" s="33" t="n">
        <f aca="false">SUMIFS(Contas_Pagar!$G:$G,Contas_Pagar!$C:$C,AK$2)</f>
        <v>219884.840106827</v>
      </c>
      <c r="AL16" s="33" t="n">
        <f aca="false">SUMIFS(Contas_Pagar!$G:$G,Contas_Pagar!$C:$C,AL$2)</f>
        <v>237631.169441795</v>
      </c>
      <c r="AN16" s="33" t="n">
        <f aca="false">SUMIF($C$3:$AL$3,2025,$C16:$AL16)</f>
        <v>1959414.47856667</v>
      </c>
      <c r="AO16" s="33" t="n">
        <f aca="false">SUMIF($C$3:$AL$3,2026,$C16:$AL16)</f>
        <v>2075363.837</v>
      </c>
      <c r="AP16" s="33" t="n">
        <f aca="false">SUMIF($C$3:$AL$3,2027,$C16:$AL16)</f>
        <v>2216816.11893154</v>
      </c>
    </row>
    <row r="17" customFormat="false" ht="15" hidden="false" customHeight="true" outlineLevel="0" collapsed="false">
      <c r="A17" s="32" t="s">
        <v>223</v>
      </c>
      <c r="C17" s="33" t="n">
        <f aca="false">Cronogramas!C19</f>
        <v>140000</v>
      </c>
      <c r="D17" s="33" t="n">
        <f aca="false">Cronogramas!D19</f>
        <v>140000</v>
      </c>
      <c r="E17" s="33" t="n">
        <f aca="false">Cronogramas!E19</f>
        <v>140000</v>
      </c>
      <c r="F17" s="33" t="n">
        <f aca="false">Cronogramas!F19</f>
        <v>140000</v>
      </c>
      <c r="G17" s="33" t="n">
        <f aca="false">Cronogramas!G19</f>
        <v>140000</v>
      </c>
      <c r="H17" s="33" t="n">
        <f aca="false">Cronogramas!H19</f>
        <v>140000</v>
      </c>
      <c r="I17" s="33" t="n">
        <f aca="false">Cronogramas!I19</f>
        <v>140000</v>
      </c>
      <c r="J17" s="33" t="n">
        <f aca="false">Cronogramas!J19</f>
        <v>140000</v>
      </c>
      <c r="K17" s="33" t="n">
        <f aca="false">Cronogramas!K19</f>
        <v>140000</v>
      </c>
      <c r="L17" s="33" t="n">
        <f aca="false">Cronogramas!L19</f>
        <v>140000</v>
      </c>
      <c r="M17" s="33" t="n">
        <f aca="false">Cronogramas!M19</f>
        <v>140000</v>
      </c>
      <c r="N17" s="33" t="n">
        <f aca="false">Cronogramas!N19</f>
        <v>140000</v>
      </c>
      <c r="O17" s="33" t="n">
        <f aca="false">Cronogramas!O19</f>
        <v>180000</v>
      </c>
      <c r="P17" s="33" t="n">
        <f aca="false">Cronogramas!P19</f>
        <v>180000</v>
      </c>
      <c r="Q17" s="33" t="n">
        <f aca="false">Cronogramas!Q19</f>
        <v>180000</v>
      </c>
      <c r="R17" s="33" t="n">
        <f aca="false">Cronogramas!R19</f>
        <v>180000</v>
      </c>
      <c r="S17" s="33" t="n">
        <f aca="false">Cronogramas!S19</f>
        <v>180000</v>
      </c>
      <c r="T17" s="33" t="n">
        <f aca="false">Cronogramas!T19</f>
        <v>180000</v>
      </c>
      <c r="U17" s="33" t="n">
        <f aca="false">Cronogramas!U19</f>
        <v>260000</v>
      </c>
      <c r="V17" s="33" t="n">
        <f aca="false">Cronogramas!V19</f>
        <v>260000</v>
      </c>
      <c r="W17" s="33" t="n">
        <f aca="false">Cronogramas!W19</f>
        <v>260000</v>
      </c>
      <c r="X17" s="33" t="n">
        <f aca="false">Cronogramas!X19</f>
        <v>260000</v>
      </c>
      <c r="Y17" s="33" t="n">
        <f aca="false">Cronogramas!Y19</f>
        <v>260000</v>
      </c>
      <c r="Z17" s="33" t="n">
        <f aca="false">Cronogramas!Z19</f>
        <v>260000</v>
      </c>
      <c r="AA17" s="33" t="n">
        <f aca="false">Cronogramas!AA19</f>
        <v>260000</v>
      </c>
      <c r="AB17" s="33" t="n">
        <f aca="false">Cronogramas!AB19</f>
        <v>250000</v>
      </c>
      <c r="AC17" s="33" t="n">
        <f aca="false">Cronogramas!AC19</f>
        <v>240000</v>
      </c>
      <c r="AD17" s="33" t="n">
        <f aca="false">Cronogramas!AD19</f>
        <v>230000</v>
      </c>
      <c r="AE17" s="33" t="n">
        <f aca="false">Cronogramas!AE19</f>
        <v>220000</v>
      </c>
      <c r="AF17" s="33" t="n">
        <f aca="false">Cronogramas!AF19</f>
        <v>210000</v>
      </c>
      <c r="AG17" s="33" t="n">
        <f aca="false">Cronogramas!AG19</f>
        <v>200000</v>
      </c>
      <c r="AH17" s="33" t="n">
        <f aca="false">Cronogramas!AH19</f>
        <v>200000</v>
      </c>
      <c r="AI17" s="33" t="n">
        <f aca="false">Cronogramas!AI19</f>
        <v>195000</v>
      </c>
      <c r="AJ17" s="33" t="n">
        <f aca="false">Cronogramas!AJ19</f>
        <v>190000</v>
      </c>
      <c r="AK17" s="33" t="n">
        <f aca="false">Cronogramas!AK19</f>
        <v>185000</v>
      </c>
      <c r="AL17" s="33" t="n">
        <f aca="false">Cronogramas!AL19</f>
        <v>180000</v>
      </c>
      <c r="AN17" s="33" t="n">
        <f aca="false">SUMIF($C$3:$AL$3,2025,$C17:$AL17)</f>
        <v>1680000</v>
      </c>
      <c r="AO17" s="33" t="n">
        <f aca="false">SUMIF($C$3:$AL$3,2026,$C17:$AL17)</f>
        <v>2640000</v>
      </c>
      <c r="AP17" s="33" t="n">
        <f aca="false">SUMIF($C$3:$AL$3,2027,$C17:$AL17)</f>
        <v>2560000</v>
      </c>
    </row>
    <row r="18" customFormat="false" ht="15" hidden="false" customHeight="true" outlineLevel="0" collapsed="false">
      <c r="A18" s="32" t="s">
        <v>224</v>
      </c>
      <c r="C18" s="33" t="n">
        <f aca="false">-DRE_Consolidado!C5-DRE_Consolidado!C23</f>
        <v>87085.7741179667</v>
      </c>
      <c r="D18" s="33" t="n">
        <f aca="false">-DRE_Consolidado!D5-DRE_Consolidado!D23</f>
        <v>80445.58</v>
      </c>
      <c r="E18" s="33" t="n">
        <f aca="false">-DRE_Consolidado!E5-DRE_Consolidado!E23</f>
        <v>92791.9440263025</v>
      </c>
      <c r="F18" s="33" t="n">
        <f aca="false">-DRE_Consolidado!F5-DRE_Consolidado!F23</f>
        <v>92427.3120219125</v>
      </c>
      <c r="G18" s="33" t="n">
        <f aca="false">-DRE_Consolidado!G5-DRE_Consolidado!G23</f>
        <v>94935.0149601088</v>
      </c>
      <c r="H18" s="33" t="n">
        <f aca="false">-DRE_Consolidado!H5-DRE_Consolidado!H23</f>
        <v>105740.027856418</v>
      </c>
      <c r="I18" s="33" t="n">
        <f aca="false">-DRE_Consolidado!I5-DRE_Consolidado!I23</f>
        <v>105999.450846535</v>
      </c>
      <c r="J18" s="33" t="n">
        <f aca="false">-DRE_Consolidado!J5-DRE_Consolidado!J23</f>
        <v>90225.0774702647</v>
      </c>
      <c r="K18" s="33" t="n">
        <f aca="false">-DRE_Consolidado!K5-DRE_Consolidado!K23</f>
        <v>97957.5110553959</v>
      </c>
      <c r="L18" s="33" t="n">
        <f aca="false">-DRE_Consolidado!L5-DRE_Consolidado!L23</f>
        <v>97715.2014040465</v>
      </c>
      <c r="M18" s="33" t="n">
        <f aca="false">-DRE_Consolidado!M5-DRE_Consolidado!M23</f>
        <v>124929.649557735</v>
      </c>
      <c r="N18" s="33" t="n">
        <f aca="false">-DRE_Consolidado!N5-DRE_Consolidado!N23</f>
        <v>131239.305582149</v>
      </c>
      <c r="O18" s="33" t="n">
        <f aca="false">-DRE_Consolidado!O5-DRE_Consolidado!O23</f>
        <v>92274.9</v>
      </c>
      <c r="P18" s="33" t="n">
        <f aca="false">-DRE_Consolidado!P5-DRE_Consolidado!P23</f>
        <v>69406.47</v>
      </c>
      <c r="Q18" s="33" t="n">
        <f aca="false">-DRE_Consolidado!Q5-DRE_Consolidado!Q23</f>
        <v>95320.8425357635</v>
      </c>
      <c r="R18" s="33" t="n">
        <f aca="false">-DRE_Consolidado!R5-DRE_Consolidado!R23</f>
        <v>82680.89</v>
      </c>
      <c r="S18" s="33" t="n">
        <f aca="false">-DRE_Consolidado!S5-DRE_Consolidado!S23</f>
        <v>112824.408418902</v>
      </c>
      <c r="T18" s="33" t="n">
        <f aca="false">-DRE_Consolidado!T5-DRE_Consolidado!T23</f>
        <v>104102.176564504</v>
      </c>
      <c r="U18" s="33" t="n">
        <f aca="false">-DRE_Consolidado!U5-DRE_Consolidado!U23</f>
        <v>118046.238112035</v>
      </c>
      <c r="V18" s="33" t="n">
        <f aca="false">-DRE_Consolidado!V5-DRE_Consolidado!V23</f>
        <v>108330.537516335</v>
      </c>
      <c r="W18" s="33" t="n">
        <f aca="false">-DRE_Consolidado!W5-DRE_Consolidado!W23</f>
        <v>107629.825087163</v>
      </c>
      <c r="X18" s="33" t="n">
        <f aca="false">-DRE_Consolidado!X5-DRE_Consolidado!X23</f>
        <v>93417.666891832</v>
      </c>
      <c r="Y18" s="33" t="n">
        <f aca="false">-DRE_Consolidado!Y5-DRE_Consolidado!Y23</f>
        <v>125309.406480485</v>
      </c>
      <c r="Z18" s="33" t="n">
        <f aca="false">-DRE_Consolidado!Z5-DRE_Consolidado!Z23</f>
        <v>137260.993970543</v>
      </c>
      <c r="AA18" s="33" t="n">
        <f aca="false">-DRE_Consolidado!AA5-DRE_Consolidado!AA23</f>
        <v>96505.8984111</v>
      </c>
      <c r="AB18" s="33" t="n">
        <f aca="false">-DRE_Consolidado!AB5-DRE_Consolidado!AB23</f>
        <v>74670.22530341</v>
      </c>
      <c r="AC18" s="33" t="n">
        <f aca="false">-DRE_Consolidado!AC5-DRE_Consolidado!AC23</f>
        <v>102103.32401364</v>
      </c>
      <c r="AD18" s="33" t="n">
        <f aca="false">-DRE_Consolidado!AD5-DRE_Consolidado!AD23</f>
        <v>89246.76237892</v>
      </c>
      <c r="AE18" s="33" t="n">
        <f aca="false">-DRE_Consolidado!AE5-DRE_Consolidado!AE23</f>
        <v>124086.399512149</v>
      </c>
      <c r="AF18" s="33" t="n">
        <f aca="false">-DRE_Consolidado!AF5-DRE_Consolidado!AF23</f>
        <v>115600.521950886</v>
      </c>
      <c r="AG18" s="33" t="n">
        <f aca="false">-DRE_Consolidado!AG5-DRE_Consolidado!AG23</f>
        <v>125807.787535938</v>
      </c>
      <c r="AH18" s="33" t="n">
        <f aca="false">-DRE_Consolidado!AH5-DRE_Consolidado!AH23</f>
        <v>115521.584477369</v>
      </c>
      <c r="AI18" s="33" t="n">
        <f aca="false">-DRE_Consolidado!AI5-DRE_Consolidado!AI23</f>
        <v>114798.972569575</v>
      </c>
      <c r="AJ18" s="33" t="n">
        <f aca="false">-DRE_Consolidado!AJ5-DRE_Consolidado!AJ23</f>
        <v>102740.812386204</v>
      </c>
      <c r="AK18" s="33" t="n">
        <f aca="false">-DRE_Consolidado!AK5-DRE_Consolidado!AK23</f>
        <v>136656.607203901</v>
      </c>
      <c r="AL18" s="33" t="n">
        <f aca="false">-DRE_Consolidado!AL5-DRE_Consolidado!AL23</f>
        <v>147630.959901245</v>
      </c>
      <c r="AN18" s="33" t="n">
        <f aca="false">SUMIF($C$3:$AL$3,2025,$C18:$AL18)</f>
        <v>1201491.84889883</v>
      </c>
      <c r="AO18" s="33" t="n">
        <f aca="false">SUMIF($C$3:$AL$3,2026,$C18:$AL18)</f>
        <v>1246604.35557756</v>
      </c>
      <c r="AP18" s="33" t="n">
        <f aca="false">SUMIF($C$3:$AL$3,2027,$C18:$AL18)</f>
        <v>1345369.85564434</v>
      </c>
    </row>
    <row r="19" customFormat="false" ht="15" hidden="false" customHeight="true" outlineLevel="0" collapsed="false">
      <c r="A19" s="32" t="s">
        <v>225</v>
      </c>
      <c r="C19" s="33" t="n">
        <f aca="false">-DRE_Consolidado!C10*Premissas!$B$15</f>
        <v>15254.4</v>
      </c>
      <c r="D19" s="33" t="n">
        <f aca="false">-DRE_Consolidado!D10*Premissas!$B$15</f>
        <v>15254.4</v>
      </c>
      <c r="E19" s="33" t="n">
        <f aca="false">-DRE_Consolidado!E10*Premissas!$B$15</f>
        <v>15254.4</v>
      </c>
      <c r="F19" s="33" t="n">
        <f aca="false">-DRE_Consolidado!F10*Premissas!$B$15</f>
        <v>15254.4</v>
      </c>
      <c r="G19" s="33" t="n">
        <f aca="false">-DRE_Consolidado!G10*Premissas!$B$15</f>
        <v>15254.4</v>
      </c>
      <c r="H19" s="33" t="n">
        <f aca="false">-DRE_Consolidado!H10*Premissas!$B$15</f>
        <v>15254.4</v>
      </c>
      <c r="I19" s="33" t="n">
        <f aca="false">-DRE_Consolidado!I10*Premissas!$B$15</f>
        <v>15254.4</v>
      </c>
      <c r="J19" s="33" t="n">
        <f aca="false">-DRE_Consolidado!J10*Premissas!$B$15</f>
        <v>15254.4</v>
      </c>
      <c r="K19" s="33" t="n">
        <f aca="false">-DRE_Consolidado!K10*Premissas!$B$15</f>
        <v>15254.4</v>
      </c>
      <c r="L19" s="33" t="n">
        <f aca="false">-DRE_Consolidado!L10*Premissas!$B$15</f>
        <v>15254.4</v>
      </c>
      <c r="M19" s="33" t="n">
        <f aca="false">-DRE_Consolidado!M10*Premissas!$B$15</f>
        <v>15254.4</v>
      </c>
      <c r="N19" s="33" t="n">
        <f aca="false">-DRE_Consolidado!N10*Premissas!$B$15</f>
        <v>15254.4</v>
      </c>
      <c r="O19" s="33" t="n">
        <f aca="false">-DRE_Consolidado!O10*Premissas!$B$15</f>
        <v>17001.6</v>
      </c>
      <c r="P19" s="33" t="n">
        <f aca="false">-DRE_Consolidado!P10*Premissas!$B$15</f>
        <v>17001.6</v>
      </c>
      <c r="Q19" s="33" t="n">
        <f aca="false">-DRE_Consolidado!Q10*Premissas!$B$15</f>
        <v>17001.6</v>
      </c>
      <c r="R19" s="33" t="n">
        <f aca="false">-DRE_Consolidado!R10*Premissas!$B$15</f>
        <v>17001.6</v>
      </c>
      <c r="S19" s="33" t="n">
        <f aca="false">-DRE_Consolidado!S10*Premissas!$B$15</f>
        <v>17001.6</v>
      </c>
      <c r="T19" s="33" t="n">
        <f aca="false">-DRE_Consolidado!T10*Premissas!$B$15</f>
        <v>17001.6</v>
      </c>
      <c r="U19" s="33" t="n">
        <f aca="false">-DRE_Consolidado!U10*Premissas!$B$15</f>
        <v>17001.6</v>
      </c>
      <c r="V19" s="33" t="n">
        <f aca="false">-DRE_Consolidado!V10*Premissas!$B$15</f>
        <v>17001.6</v>
      </c>
      <c r="W19" s="33" t="n">
        <f aca="false">-DRE_Consolidado!W10*Premissas!$B$15</f>
        <v>17001.6</v>
      </c>
      <c r="X19" s="33" t="n">
        <f aca="false">-DRE_Consolidado!X10*Premissas!$B$15</f>
        <v>17001.6</v>
      </c>
      <c r="Y19" s="33" t="n">
        <f aca="false">-DRE_Consolidado!Y10*Premissas!$B$15</f>
        <v>17001.6</v>
      </c>
      <c r="Z19" s="33" t="n">
        <f aca="false">-DRE_Consolidado!Z10*Premissas!$B$15</f>
        <v>17001.6</v>
      </c>
      <c r="AA19" s="33" t="n">
        <f aca="false">-DRE_Consolidado!AA10*Premissas!$B$15</f>
        <v>19488</v>
      </c>
      <c r="AB19" s="33" t="n">
        <f aca="false">-DRE_Consolidado!AB10*Premissas!$B$15</f>
        <v>19488</v>
      </c>
      <c r="AC19" s="33" t="n">
        <f aca="false">-DRE_Consolidado!AC10*Premissas!$B$15</f>
        <v>19488</v>
      </c>
      <c r="AD19" s="33" t="n">
        <f aca="false">-DRE_Consolidado!AD10*Premissas!$B$15</f>
        <v>19488</v>
      </c>
      <c r="AE19" s="33" t="n">
        <f aca="false">-DRE_Consolidado!AE10*Premissas!$B$15</f>
        <v>19488</v>
      </c>
      <c r="AF19" s="33" t="n">
        <f aca="false">-DRE_Consolidado!AF10*Premissas!$B$15</f>
        <v>19488</v>
      </c>
      <c r="AG19" s="33" t="n">
        <f aca="false">-DRE_Consolidado!AG10*Premissas!$B$15</f>
        <v>19488</v>
      </c>
      <c r="AH19" s="33" t="n">
        <f aca="false">-DRE_Consolidado!AH10*Premissas!$B$15</f>
        <v>19488</v>
      </c>
      <c r="AI19" s="33" t="n">
        <f aca="false">-DRE_Consolidado!AI10*Premissas!$B$15</f>
        <v>19488</v>
      </c>
      <c r="AJ19" s="33" t="n">
        <f aca="false">-DRE_Consolidado!AJ10*Premissas!$B$15</f>
        <v>19488</v>
      </c>
      <c r="AK19" s="33" t="n">
        <f aca="false">-DRE_Consolidado!AK10*Premissas!$B$15</f>
        <v>19488</v>
      </c>
      <c r="AL19" s="33" t="n">
        <f aca="false">-DRE_Consolidado!AL10*Premissas!$B$15</f>
        <v>19488</v>
      </c>
      <c r="AN19" s="33" t="n">
        <f aca="false">SUMIF($C$3:$AL$3,2025,$C19:$AL19)</f>
        <v>183052.8</v>
      </c>
      <c r="AO19" s="33" t="n">
        <f aca="false">SUMIF($C$3:$AL$3,2026,$C19:$AL19)</f>
        <v>204019.2</v>
      </c>
      <c r="AP19" s="33" t="n">
        <f aca="false">SUMIF($C$3:$AL$3,2027,$C19:$AL19)</f>
        <v>233856</v>
      </c>
    </row>
    <row r="20" customFormat="false" ht="15" hidden="false" customHeight="true" outlineLevel="0" collapsed="false">
      <c r="A20" s="32" t="s">
        <v>226</v>
      </c>
      <c r="C20" s="33" t="n">
        <f aca="false">DRE_Consolidado!C6*Premissas!$B$14</f>
        <v>17491.564</v>
      </c>
      <c r="D20" s="33" t="n">
        <f aca="false">DRE_Consolidado!D6*Premissas!$B$14</f>
        <v>17045.893</v>
      </c>
      <c r="E20" s="33" t="n">
        <f aca="false">DRE_Consolidado!E6*Premissas!$B$14</f>
        <v>18662.507</v>
      </c>
      <c r="F20" s="33" t="n">
        <f aca="false">DRE_Consolidado!F6*Premissas!$B$14</f>
        <v>19140.444</v>
      </c>
      <c r="G20" s="33" t="n">
        <f aca="false">DRE_Consolidado!G6*Premissas!$B$14</f>
        <v>19379.449</v>
      </c>
      <c r="H20" s="33" t="n">
        <f aca="false">DRE_Consolidado!H6*Premissas!$B$14</f>
        <v>21055.851</v>
      </c>
      <c r="I20" s="33" t="n">
        <f aca="false">DRE_Consolidado!I6*Premissas!$B$14</f>
        <v>21318.847</v>
      </c>
      <c r="J20" s="33" t="n">
        <f aca="false">DRE_Consolidado!J6*Premissas!$B$14</f>
        <v>18787.05</v>
      </c>
      <c r="K20" s="33" t="n">
        <f aca="false">DRE_Consolidado!K6*Premissas!$B$14</f>
        <v>19031.406</v>
      </c>
      <c r="L20" s="33" t="n">
        <f aca="false">DRE_Consolidado!L6*Premissas!$B$14</f>
        <v>20602.41</v>
      </c>
      <c r="M20" s="33" t="n">
        <f aca="false">DRE_Consolidado!M6*Premissas!$B$14</f>
        <v>23988.944</v>
      </c>
      <c r="N20" s="33" t="n">
        <f aca="false">DRE_Consolidado!N6*Premissas!$B$14</f>
        <v>25333.437</v>
      </c>
      <c r="O20" s="33" t="n">
        <f aca="false">DRE_Consolidado!O6*Premissas!$B$14</f>
        <v>18202.933</v>
      </c>
      <c r="P20" s="33" t="n">
        <f aca="false">DRE_Consolidado!P6*Premissas!$B$14</f>
        <v>14649.933</v>
      </c>
      <c r="Q20" s="33" t="n">
        <f aca="false">DRE_Consolidado!Q6*Premissas!$B$14</f>
        <v>19800.009</v>
      </c>
      <c r="R20" s="33" t="n">
        <f aca="false">DRE_Consolidado!R6*Premissas!$B$14</f>
        <v>17888.43</v>
      </c>
      <c r="S20" s="33" t="n">
        <f aca="false">DRE_Consolidado!S6*Premissas!$B$14</f>
        <v>23236.315</v>
      </c>
      <c r="T20" s="33" t="n">
        <f aca="false">DRE_Consolidado!T6*Premissas!$B$14</f>
        <v>22324.279</v>
      </c>
      <c r="U20" s="33" t="n">
        <f aca="false">DRE_Consolidado!U6*Premissas!$B$14</f>
        <v>23665.111</v>
      </c>
      <c r="V20" s="33" t="n">
        <f aca="false">DRE_Consolidado!V6*Premissas!$B$14</f>
        <v>21866.809</v>
      </c>
      <c r="W20" s="33" t="n">
        <f aca="false">DRE_Consolidado!W6*Premissas!$B$14</f>
        <v>21746.398</v>
      </c>
      <c r="X20" s="33" t="n">
        <f aca="false">DRE_Consolidado!X6*Premissas!$B$14</f>
        <v>19907.516</v>
      </c>
      <c r="Y20" s="33" t="n">
        <f aca="false">DRE_Consolidado!Y6*Premissas!$B$14</f>
        <v>25288.402</v>
      </c>
      <c r="Z20" s="33" t="n">
        <f aca="false">DRE_Consolidado!Z6*Premissas!$B$14</f>
        <v>27078.615</v>
      </c>
      <c r="AA20" s="33" t="n">
        <f aca="false">DRE_Consolidado!AA6*Premissas!$B$14</f>
        <v>19773.77764889</v>
      </c>
      <c r="AB20" s="33" t="n">
        <f aca="false">DRE_Consolidado!AB6*Premissas!$B$14</f>
        <v>15641.373699659</v>
      </c>
      <c r="AC20" s="33" t="n">
        <f aca="false">DRE_Consolidado!AC6*Premissas!$B$14</f>
        <v>21087.331258636</v>
      </c>
      <c r="AD20" s="33" t="n">
        <f aca="false">DRE_Consolidado!AD6*Premissas!$B$14</f>
        <v>19114.655302108</v>
      </c>
      <c r="AE20" s="33" t="n">
        <f aca="false">DRE_Consolidado!AE6*Premissas!$B$14</f>
        <v>24508.376103148</v>
      </c>
      <c r="AF20" s="33" t="n">
        <f aca="false">DRE_Consolidado!AF6*Premissas!$B$14</f>
        <v>23411.332541842</v>
      </c>
      <c r="AG20" s="33" t="n">
        <f aca="false">DRE_Consolidado!AG6*Premissas!$B$14</f>
        <v>25338.837176829</v>
      </c>
      <c r="AH20" s="33" t="n">
        <f aca="false">DRE_Consolidado!AH6*Premissas!$B$14</f>
        <v>23444.457730698</v>
      </c>
      <c r="AI20" s="33" t="n">
        <f aca="false">DRE_Consolidado!AI6*Premissas!$B$14</f>
        <v>23251.506267629</v>
      </c>
      <c r="AJ20" s="33" t="n">
        <f aca="false">DRE_Consolidado!AJ6*Premissas!$B$14</f>
        <v>20998.861276196</v>
      </c>
      <c r="AK20" s="33" t="n">
        <f aca="false">DRE_Consolidado!AK6*Premissas!$B$14</f>
        <v>26733.410337693</v>
      </c>
      <c r="AL20" s="33" t="n">
        <f aca="false">DRE_Consolidado!AL6*Premissas!$B$14</f>
        <v>28820.110136035</v>
      </c>
      <c r="AN20" s="33" t="n">
        <f aca="false">SUMIF($C$3:$AL$3,2025,$C20:$AL20)</f>
        <v>241837.802</v>
      </c>
      <c r="AO20" s="33" t="n">
        <f aca="false">SUMIF($C$3:$AL$3,2026,$C20:$AL20)</f>
        <v>255654.75</v>
      </c>
      <c r="AP20" s="33" t="n">
        <f aca="false">SUMIF($C$3:$AL$3,2027,$C20:$AL20)</f>
        <v>272124.029479363</v>
      </c>
    </row>
    <row r="21" customFormat="false" ht="15" hidden="false" customHeight="true" outlineLevel="0" collapsed="false">
      <c r="A21" s="16" t="s">
        <v>227</v>
      </c>
      <c r="B21" s="17"/>
      <c r="C21" s="31" t="n">
        <f aca="false">SUM(C16:C20)</f>
        <v>398444.388617967</v>
      </c>
      <c r="D21" s="31" t="n">
        <f aca="false">SUM(D16:D20)</f>
        <v>391352.386766667</v>
      </c>
      <c r="E21" s="31" t="n">
        <f aca="false">SUM(E16:E20)</f>
        <v>417291.931159636</v>
      </c>
      <c r="F21" s="31" t="n">
        <f aca="false">SUM(F16:F20)</f>
        <v>420459.495055246</v>
      </c>
      <c r="G21" s="31" t="n">
        <f aca="false">SUM(G16:G20)</f>
        <v>426763.760393442</v>
      </c>
      <c r="H21" s="31" t="n">
        <f aca="false">SUM(H16:H20)</f>
        <v>455343.748623084</v>
      </c>
      <c r="I21" s="31" t="n">
        <f aca="false">SUM(I16:I20)</f>
        <v>456418.981813201</v>
      </c>
      <c r="J21" s="31" t="n">
        <f aca="false">SUM(J16:J20)</f>
        <v>418057.887003598</v>
      </c>
      <c r="K21" s="31" t="n">
        <f aca="false">SUM(K16:K20)</f>
        <v>424868.168888729</v>
      </c>
      <c r="L21" s="31" t="n">
        <f aca="false">SUM(L16:L20)</f>
        <v>441185.211404047</v>
      </c>
      <c r="M21" s="31" t="n">
        <f aca="false">SUM(M16:M20)</f>
        <v>498845.704457735</v>
      </c>
      <c r="N21" s="31" t="n">
        <f aca="false">SUM(N16:N20)</f>
        <v>516765.265282149</v>
      </c>
      <c r="O21" s="31" t="n">
        <f aca="false">SUM(O16:O20)</f>
        <v>453871.479766667</v>
      </c>
      <c r="P21" s="31" t="n">
        <f aca="false">SUM(P16:P20)</f>
        <v>400901.820333333</v>
      </c>
      <c r="Q21" s="31" t="n">
        <f aca="false">SUM(Q16:Q20)</f>
        <v>476521.521869097</v>
      </c>
      <c r="R21" s="31" t="n">
        <f aca="false">SUM(R16:R20)</f>
        <v>441039.512866667</v>
      </c>
      <c r="S21" s="31" t="n">
        <f aca="false">SUM(S16:S20)</f>
        <v>518655.944018902</v>
      </c>
      <c r="T21" s="31" t="n">
        <f aca="false">SUM(T16:T20)</f>
        <v>501513.48633117</v>
      </c>
      <c r="U21" s="31" t="n">
        <f aca="false">SUM(U16:U20)</f>
        <v>611264.046478701</v>
      </c>
      <c r="V21" s="31" t="n">
        <f aca="false">SUM(V16:V20)</f>
        <v>583738.819883002</v>
      </c>
      <c r="W21" s="31" t="n">
        <f aca="false">SUM(W16:W20)</f>
        <v>585409.21185383</v>
      </c>
      <c r="X21" s="31" t="n">
        <f aca="false">SUM(X16:X20)</f>
        <v>550626.729191832</v>
      </c>
      <c r="Y21" s="31" t="n">
        <f aca="false">SUM(Y16:Y20)</f>
        <v>634540.579280485</v>
      </c>
      <c r="Z21" s="31" t="n">
        <f aca="false">SUM(Z16:Z20)</f>
        <v>663558.990703876</v>
      </c>
      <c r="AA21" s="31" t="n">
        <f aca="false">SUM(AA16:AA20)</f>
        <v>554733.966725162</v>
      </c>
      <c r="AB21" s="31" t="n">
        <f aca="false">SUM(AB16:AB20)</f>
        <v>488254.190320831</v>
      </c>
      <c r="AC21" s="31" t="n">
        <f aca="false">SUM(AC16:AC20)</f>
        <v>558612.349162621</v>
      </c>
      <c r="AD21" s="31" t="n">
        <f aca="false">SUM(AD16:AD20)</f>
        <v>511402.650192735</v>
      </c>
      <c r="AE21" s="31" t="n">
        <f aca="false">SUM(AE16:AE20)</f>
        <v>584361.136882282</v>
      </c>
      <c r="AF21" s="31" t="n">
        <f aca="false">SUM(AF16:AF20)</f>
        <v>556065.223393361</v>
      </c>
      <c r="AG21" s="31" t="n">
        <f aca="false">SUM(AG16:AG20)</f>
        <v>577367.442046444</v>
      </c>
      <c r="AH21" s="31" t="n">
        <f aca="false">SUM(AH16:AH20)</f>
        <v>548263.147810316</v>
      </c>
      <c r="AI21" s="31" t="n">
        <f aca="false">SUM(AI16:AI20)</f>
        <v>544491.448309038</v>
      </c>
      <c r="AJ21" s="31" t="n">
        <f aca="false">SUM(AJ16:AJ20)</f>
        <v>503281.352084959</v>
      </c>
      <c r="AK21" s="31" t="n">
        <f aca="false">SUM(AK16:AK20)</f>
        <v>587762.857648421</v>
      </c>
      <c r="AL21" s="31" t="n">
        <f aca="false">SUM(AL16:AL20)</f>
        <v>613570.239479074</v>
      </c>
      <c r="AM21" s="17"/>
      <c r="AN21" s="31" t="n">
        <f aca="false">SUMIF($C$3:$AL$3,2025,$C21:$AL21)</f>
        <v>5265796.9294655</v>
      </c>
      <c r="AO21" s="31" t="n">
        <f aca="false">SUMIF($C$3:$AL$3,2026,$C21:$AL21)</f>
        <v>6421642.14257756</v>
      </c>
      <c r="AP21" s="31" t="n">
        <f aca="false">SUMIF($C$3:$AL$3,2027,$C21:$AL21)</f>
        <v>6628166.00405525</v>
      </c>
    </row>
    <row r="22" customFormat="false" ht="15" hidden="false" customHeight="true" outlineLevel="0" collapsed="false">
      <c r="A22" s="32" t="s">
        <v>228</v>
      </c>
      <c r="C22" s="33" t="n">
        <f aca="false">Cronogramas!C20</f>
        <v>185000</v>
      </c>
      <c r="D22" s="33" t="n">
        <f aca="false">Cronogramas!D20</f>
        <v>180000</v>
      </c>
      <c r="E22" s="33" t="n">
        <f aca="false">Cronogramas!E20</f>
        <v>175000</v>
      </c>
      <c r="F22" s="33" t="n">
        <f aca="false">Cronogramas!F20</f>
        <v>170000</v>
      </c>
      <c r="G22" s="33" t="n">
        <f aca="false">Cronogramas!G20</f>
        <v>165000</v>
      </c>
      <c r="H22" s="33" t="n">
        <f aca="false">Cronogramas!H20</f>
        <v>160000</v>
      </c>
      <c r="I22" s="33" t="n">
        <f aca="false">Cronogramas!I20</f>
        <v>155000</v>
      </c>
      <c r="J22" s="33" t="n">
        <f aca="false">Cronogramas!J20</f>
        <v>150000</v>
      </c>
      <c r="K22" s="33" t="n">
        <f aca="false">Cronogramas!K20</f>
        <v>145000</v>
      </c>
      <c r="L22" s="33" t="n">
        <f aca="false">Cronogramas!L20</f>
        <v>140000</v>
      </c>
      <c r="M22" s="33" t="n">
        <f aca="false">Cronogramas!M20</f>
        <v>135000</v>
      </c>
      <c r="N22" s="33" t="n">
        <f aca="false">Cronogramas!N20</f>
        <v>130000</v>
      </c>
      <c r="O22" s="33" t="n">
        <f aca="false">Cronogramas!O20</f>
        <v>125000</v>
      </c>
      <c r="P22" s="33" t="n">
        <f aca="false">Cronogramas!P20</f>
        <v>120000</v>
      </c>
      <c r="Q22" s="33" t="n">
        <f aca="false">Cronogramas!Q20</f>
        <v>115000</v>
      </c>
      <c r="R22" s="33" t="n">
        <f aca="false">Cronogramas!R20</f>
        <v>110000</v>
      </c>
      <c r="S22" s="33" t="n">
        <f aca="false">Cronogramas!S20</f>
        <v>105000</v>
      </c>
      <c r="T22" s="33" t="n">
        <f aca="false">Cronogramas!T20</f>
        <v>100000</v>
      </c>
      <c r="U22" s="33" t="n">
        <f aca="false">Cronogramas!U20</f>
        <v>95000</v>
      </c>
      <c r="V22" s="33" t="n">
        <f aca="false">Cronogramas!V20</f>
        <v>90000</v>
      </c>
      <c r="W22" s="33" t="n">
        <f aca="false">Cronogramas!W20</f>
        <v>85000</v>
      </c>
      <c r="X22" s="33" t="n">
        <f aca="false">Cronogramas!X20</f>
        <v>80000</v>
      </c>
      <c r="Y22" s="33" t="n">
        <f aca="false">Cronogramas!Y20</f>
        <v>75000</v>
      </c>
      <c r="Z22" s="33" t="n">
        <f aca="false">Cronogramas!Z20</f>
        <v>70000</v>
      </c>
      <c r="AA22" s="33" t="n">
        <f aca="false">Cronogramas!AA20</f>
        <v>65000</v>
      </c>
      <c r="AB22" s="33" t="n">
        <f aca="false">Cronogramas!AB20</f>
        <v>60000</v>
      </c>
      <c r="AC22" s="33" t="n">
        <f aca="false">Cronogramas!AC20</f>
        <v>55000</v>
      </c>
      <c r="AD22" s="33" t="n">
        <f aca="false">Cronogramas!AD20</f>
        <v>50000</v>
      </c>
      <c r="AE22" s="33" t="n">
        <f aca="false">Cronogramas!AE20</f>
        <v>45000</v>
      </c>
      <c r="AF22" s="33" t="n">
        <f aca="false">Cronogramas!AF20</f>
        <v>40000</v>
      </c>
      <c r="AG22" s="33" t="n">
        <f aca="false">Cronogramas!AG20</f>
        <v>35000</v>
      </c>
      <c r="AH22" s="33" t="n">
        <f aca="false">Cronogramas!AH20</f>
        <v>30000</v>
      </c>
      <c r="AI22" s="33" t="n">
        <f aca="false">Cronogramas!AI20</f>
        <v>25000</v>
      </c>
      <c r="AJ22" s="33" t="n">
        <f aca="false">Cronogramas!AJ20</f>
        <v>20000</v>
      </c>
      <c r="AK22" s="33" t="n">
        <f aca="false">Cronogramas!AK20</f>
        <v>15000</v>
      </c>
      <c r="AL22" s="33" t="n">
        <f aca="false">Cronogramas!AL20</f>
        <v>10000</v>
      </c>
      <c r="AN22" s="33" t="n">
        <f aca="false">SUMIF($C$3:$AL$3,2025,$C22:$AL22)</f>
        <v>1890000</v>
      </c>
      <c r="AO22" s="33" t="n">
        <f aca="false">SUMIF($C$3:$AL$3,2026,$C22:$AL22)</f>
        <v>1170000</v>
      </c>
      <c r="AP22" s="33" t="n">
        <f aca="false">SUMIF($C$3:$AL$3,2027,$C22:$AL22)</f>
        <v>450000</v>
      </c>
    </row>
    <row r="23" customFormat="false" ht="15" hidden="false" customHeight="true" outlineLevel="0" collapsed="false">
      <c r="A23" s="16" t="s">
        <v>229</v>
      </c>
      <c r="B23" s="17"/>
      <c r="C23" s="31" t="n">
        <f aca="false">C22</f>
        <v>185000</v>
      </c>
      <c r="D23" s="31" t="n">
        <f aca="false">D22</f>
        <v>180000</v>
      </c>
      <c r="E23" s="31" t="n">
        <f aca="false">E22</f>
        <v>175000</v>
      </c>
      <c r="F23" s="31" t="n">
        <f aca="false">F22</f>
        <v>170000</v>
      </c>
      <c r="G23" s="31" t="n">
        <f aca="false">G22</f>
        <v>165000</v>
      </c>
      <c r="H23" s="31" t="n">
        <f aca="false">H22</f>
        <v>160000</v>
      </c>
      <c r="I23" s="31" t="n">
        <f aca="false">I22</f>
        <v>155000</v>
      </c>
      <c r="J23" s="31" t="n">
        <f aca="false">J22</f>
        <v>150000</v>
      </c>
      <c r="K23" s="31" t="n">
        <f aca="false">K22</f>
        <v>145000</v>
      </c>
      <c r="L23" s="31" t="n">
        <f aca="false">L22</f>
        <v>140000</v>
      </c>
      <c r="M23" s="31" t="n">
        <f aca="false">M22</f>
        <v>135000</v>
      </c>
      <c r="N23" s="31" t="n">
        <f aca="false">N22</f>
        <v>130000</v>
      </c>
      <c r="O23" s="31" t="n">
        <f aca="false">O22</f>
        <v>125000</v>
      </c>
      <c r="P23" s="31" t="n">
        <f aca="false">P22</f>
        <v>120000</v>
      </c>
      <c r="Q23" s="31" t="n">
        <f aca="false">Q22</f>
        <v>115000</v>
      </c>
      <c r="R23" s="31" t="n">
        <f aca="false">R22</f>
        <v>110000</v>
      </c>
      <c r="S23" s="31" t="n">
        <f aca="false">S22</f>
        <v>105000</v>
      </c>
      <c r="T23" s="31" t="n">
        <f aca="false">T22</f>
        <v>100000</v>
      </c>
      <c r="U23" s="31" t="n">
        <f aca="false">U22</f>
        <v>95000</v>
      </c>
      <c r="V23" s="31" t="n">
        <f aca="false">V22</f>
        <v>90000</v>
      </c>
      <c r="W23" s="31" t="n">
        <f aca="false">W22</f>
        <v>85000</v>
      </c>
      <c r="X23" s="31" t="n">
        <f aca="false">X22</f>
        <v>80000</v>
      </c>
      <c r="Y23" s="31" t="n">
        <f aca="false">Y22</f>
        <v>75000</v>
      </c>
      <c r="Z23" s="31" t="n">
        <f aca="false">Z22</f>
        <v>70000</v>
      </c>
      <c r="AA23" s="31" t="n">
        <f aca="false">AA22</f>
        <v>65000</v>
      </c>
      <c r="AB23" s="31" t="n">
        <f aca="false">AB22</f>
        <v>60000</v>
      </c>
      <c r="AC23" s="31" t="n">
        <f aca="false">AC22</f>
        <v>55000</v>
      </c>
      <c r="AD23" s="31" t="n">
        <f aca="false">AD22</f>
        <v>50000</v>
      </c>
      <c r="AE23" s="31" t="n">
        <f aca="false">AE22</f>
        <v>45000</v>
      </c>
      <c r="AF23" s="31" t="n">
        <f aca="false">AF22</f>
        <v>40000</v>
      </c>
      <c r="AG23" s="31" t="n">
        <f aca="false">AG22</f>
        <v>35000</v>
      </c>
      <c r="AH23" s="31" t="n">
        <f aca="false">AH22</f>
        <v>30000</v>
      </c>
      <c r="AI23" s="31" t="n">
        <f aca="false">AI22</f>
        <v>25000</v>
      </c>
      <c r="AJ23" s="31" t="n">
        <f aca="false">AJ22</f>
        <v>20000</v>
      </c>
      <c r="AK23" s="31" t="n">
        <f aca="false">AK22</f>
        <v>15000</v>
      </c>
      <c r="AL23" s="31" t="n">
        <f aca="false">AL22</f>
        <v>10000</v>
      </c>
      <c r="AM23" s="17"/>
      <c r="AN23" s="31" t="n">
        <f aca="false">SUMIF($C$3:$AL$3,2025,$C23:$AL23)</f>
        <v>1890000</v>
      </c>
      <c r="AO23" s="31" t="n">
        <f aca="false">SUMIF($C$3:$AL$3,2026,$C23:$AL23)</f>
        <v>1170000</v>
      </c>
      <c r="AP23" s="31" t="n">
        <f aca="false">SUMIF($C$3:$AL$3,2027,$C23:$AL23)</f>
        <v>450000</v>
      </c>
    </row>
    <row r="24" customFormat="false" ht="15" hidden="false" customHeight="true" outlineLevel="0" collapsed="false">
      <c r="A24" s="39" t="s">
        <v>230</v>
      </c>
      <c r="C24" s="33" t="n">
        <f aca="false">0</f>
        <v>0</v>
      </c>
      <c r="D24" s="33" t="n">
        <f aca="false">0</f>
        <v>0</v>
      </c>
      <c r="E24" s="33" t="n">
        <f aca="false">0</f>
        <v>0</v>
      </c>
      <c r="F24" s="33" t="n">
        <f aca="false">0</f>
        <v>0</v>
      </c>
      <c r="G24" s="33" t="n">
        <f aca="false">0</f>
        <v>0</v>
      </c>
      <c r="H24" s="33" t="n">
        <f aca="false">0</f>
        <v>0</v>
      </c>
      <c r="I24" s="33" t="n">
        <f aca="false">0</f>
        <v>0</v>
      </c>
      <c r="J24" s="33" t="n">
        <f aca="false">0</f>
        <v>0</v>
      </c>
      <c r="K24" s="33" t="n">
        <f aca="false">0</f>
        <v>0</v>
      </c>
      <c r="L24" s="33" t="n">
        <f aca="false">0</f>
        <v>0</v>
      </c>
      <c r="M24" s="33" t="n">
        <f aca="false">0</f>
        <v>0</v>
      </c>
      <c r="N24" s="33" t="n">
        <f aca="false">0</f>
        <v>0</v>
      </c>
      <c r="O24" s="33" t="n">
        <f aca="false">0</f>
        <v>0</v>
      </c>
      <c r="P24" s="33" t="n">
        <f aca="false">0</f>
        <v>0</v>
      </c>
      <c r="Q24" s="33" t="n">
        <f aca="false">0</f>
        <v>0</v>
      </c>
      <c r="R24" s="33" t="n">
        <f aca="false">DRE_Consolidado!AN24*Premissas!$B$12</f>
        <v>26008.7130493941</v>
      </c>
      <c r="S24" s="33" t="n">
        <f aca="false">0</f>
        <v>0</v>
      </c>
      <c r="T24" s="33" t="n">
        <f aca="false">0</f>
        <v>0</v>
      </c>
      <c r="U24" s="33" t="n">
        <f aca="false">0</f>
        <v>0</v>
      </c>
      <c r="V24" s="33" t="n">
        <f aca="false">0</f>
        <v>0</v>
      </c>
      <c r="W24" s="33" t="n">
        <f aca="false">0</f>
        <v>0</v>
      </c>
      <c r="X24" s="33" t="n">
        <f aca="false">0</f>
        <v>0</v>
      </c>
      <c r="Y24" s="33" t="n">
        <f aca="false">0</f>
        <v>0</v>
      </c>
      <c r="Z24" s="33" t="n">
        <f aca="false">0</f>
        <v>0</v>
      </c>
      <c r="AA24" s="33" t="n">
        <f aca="false">0</f>
        <v>0</v>
      </c>
      <c r="AB24" s="33" t="n">
        <f aca="false">0</f>
        <v>0</v>
      </c>
      <c r="AC24" s="33" t="n">
        <f aca="false">0</f>
        <v>0</v>
      </c>
      <c r="AD24" s="33" t="n">
        <f aca="false">DRE_Consolidado!AO24*Premissas!$B$12</f>
        <v>17294.450505527</v>
      </c>
      <c r="AE24" s="33" t="n">
        <f aca="false">0</f>
        <v>0</v>
      </c>
      <c r="AF24" s="33" t="n">
        <f aca="false">0</f>
        <v>0</v>
      </c>
      <c r="AG24" s="33" t="n">
        <f aca="false">0</f>
        <v>0</v>
      </c>
      <c r="AH24" s="33" t="n">
        <f aca="false">0</f>
        <v>0</v>
      </c>
      <c r="AI24" s="33" t="n">
        <f aca="false">0</f>
        <v>0</v>
      </c>
      <c r="AJ24" s="33" t="n">
        <f aca="false">0</f>
        <v>0</v>
      </c>
      <c r="AK24" s="33" t="n">
        <f aca="false">0</f>
        <v>0</v>
      </c>
      <c r="AL24" s="33" t="n">
        <f aca="false">0</f>
        <v>0</v>
      </c>
      <c r="AN24" s="33" t="n">
        <f aca="false">SUMIF($C$3:$AL$3,2025,$C24:$AL24)</f>
        <v>0</v>
      </c>
      <c r="AO24" s="33" t="n">
        <f aca="false">SUMIF($C$3:$AL$3,2026,$C24:$AL24)</f>
        <v>26008.7130493941</v>
      </c>
      <c r="AP24" s="33" t="n">
        <f aca="false">SUMIF($C$3:$AL$3,2027,$C24:$AL24)</f>
        <v>17294.450505527</v>
      </c>
    </row>
    <row r="25" customFormat="false" ht="15" hidden="false" customHeight="true" outlineLevel="0" collapsed="false">
      <c r="A25" s="32" t="s">
        <v>231</v>
      </c>
      <c r="C25" s="33" t="n">
        <f aca="false">Premissas!$B$32</f>
        <v>400000</v>
      </c>
      <c r="D25" s="33" t="n">
        <f aca="false">Premissas!$B$32</f>
        <v>400000</v>
      </c>
      <c r="E25" s="33" t="n">
        <f aca="false">Premissas!$B$32</f>
        <v>400000</v>
      </c>
      <c r="F25" s="33" t="n">
        <f aca="false">Premissas!$B$32</f>
        <v>400000</v>
      </c>
      <c r="G25" s="33" t="n">
        <f aca="false">Premissas!$B$32</f>
        <v>400000</v>
      </c>
      <c r="H25" s="33" t="n">
        <f aca="false">Premissas!$B$32</f>
        <v>400000</v>
      </c>
      <c r="I25" s="33" t="n">
        <f aca="false">Premissas!$B$32</f>
        <v>400000</v>
      </c>
      <c r="J25" s="33" t="n">
        <f aca="false">Premissas!$B$32</f>
        <v>400000</v>
      </c>
      <c r="K25" s="33" t="n">
        <f aca="false">Premissas!$B$32</f>
        <v>400000</v>
      </c>
      <c r="L25" s="33" t="n">
        <f aca="false">Premissas!$B$32</f>
        <v>400000</v>
      </c>
      <c r="M25" s="33" t="n">
        <f aca="false">Premissas!$B$32</f>
        <v>400000</v>
      </c>
      <c r="N25" s="33" t="n">
        <f aca="false">Premissas!$B$32</f>
        <v>400000</v>
      </c>
      <c r="O25" s="33" t="n">
        <f aca="false">Premissas!$B$32</f>
        <v>400000</v>
      </c>
      <c r="P25" s="33" t="n">
        <f aca="false">Premissas!$B$32</f>
        <v>400000</v>
      </c>
      <c r="Q25" s="33" t="n">
        <f aca="false">Premissas!$B$32</f>
        <v>400000</v>
      </c>
      <c r="R25" s="33" t="n">
        <f aca="false">Premissas!$B$32</f>
        <v>400000</v>
      </c>
      <c r="S25" s="33" t="n">
        <f aca="false">Premissas!$B$32</f>
        <v>400000</v>
      </c>
      <c r="T25" s="33" t="n">
        <f aca="false">Premissas!$B$32</f>
        <v>400000</v>
      </c>
      <c r="U25" s="33" t="n">
        <f aca="false">Premissas!$B$32</f>
        <v>400000</v>
      </c>
      <c r="V25" s="33" t="n">
        <f aca="false">Premissas!$B$32</f>
        <v>400000</v>
      </c>
      <c r="W25" s="33" t="n">
        <f aca="false">Premissas!$B$32</f>
        <v>400000</v>
      </c>
      <c r="X25" s="33" t="n">
        <f aca="false">Premissas!$B$32</f>
        <v>400000</v>
      </c>
      <c r="Y25" s="33" t="n">
        <f aca="false">Premissas!$B$32</f>
        <v>400000</v>
      </c>
      <c r="Z25" s="33" t="n">
        <f aca="false">Premissas!$B$32</f>
        <v>400000</v>
      </c>
      <c r="AA25" s="33" t="n">
        <f aca="false">Premissas!$B$32</f>
        <v>400000</v>
      </c>
      <c r="AB25" s="33" t="n">
        <f aca="false">Premissas!$B$32</f>
        <v>400000</v>
      </c>
      <c r="AC25" s="33" t="n">
        <f aca="false">Premissas!$B$32</f>
        <v>400000</v>
      </c>
      <c r="AD25" s="33" t="n">
        <f aca="false">Premissas!$B$32</f>
        <v>400000</v>
      </c>
      <c r="AE25" s="33" t="n">
        <f aca="false">Premissas!$B$32</f>
        <v>400000</v>
      </c>
      <c r="AF25" s="33" t="n">
        <f aca="false">Premissas!$B$32</f>
        <v>400000</v>
      </c>
      <c r="AG25" s="33" t="n">
        <f aca="false">Premissas!$B$32</f>
        <v>400000</v>
      </c>
      <c r="AH25" s="33" t="n">
        <f aca="false">Premissas!$B$32</f>
        <v>400000</v>
      </c>
      <c r="AI25" s="33" t="n">
        <f aca="false">Premissas!$B$32</f>
        <v>400000</v>
      </c>
      <c r="AJ25" s="33" t="n">
        <f aca="false">Premissas!$B$32</f>
        <v>400000</v>
      </c>
      <c r="AK25" s="33" t="n">
        <f aca="false">Premissas!$B$32</f>
        <v>400000</v>
      </c>
      <c r="AL25" s="33" t="n">
        <f aca="false">Premissas!$B$32</f>
        <v>400000</v>
      </c>
      <c r="AN25" s="33" t="n">
        <f aca="false">SUMIF($C$3:$AL$3,2025,$C25:$AL25)</f>
        <v>4800000</v>
      </c>
      <c r="AO25" s="33" t="n">
        <f aca="false">SUMIF($C$3:$AL$3,2026,$C25:$AL25)</f>
        <v>4800000</v>
      </c>
      <c r="AP25" s="33" t="n">
        <f aca="false">SUMIF($C$3:$AL$3,2027,$C25:$AL25)</f>
        <v>4800000</v>
      </c>
    </row>
    <row r="26" customFormat="false" ht="15" hidden="false" customHeight="true" outlineLevel="0" collapsed="false">
      <c r="A26" s="32" t="s">
        <v>232</v>
      </c>
      <c r="C26" s="33" t="n">
        <f aca="false">Premissas!$B$33+DRE_Consolidado!C24-C24</f>
        <v>201202.1979937</v>
      </c>
      <c r="D26" s="33" t="n">
        <f aca="false">C26+DRE_Consolidado!D24-D24</f>
        <v>200336.913825317</v>
      </c>
      <c r="E26" s="33" t="n">
        <f aca="false">D26+DRE_Consolidado!E24-E24</f>
        <v>204574.141052845</v>
      </c>
      <c r="F26" s="33" t="n">
        <f aca="false">E26+DRE_Consolidado!F24-F24</f>
        <v>210180.262624793</v>
      </c>
      <c r="G26" s="33" t="n">
        <f aca="false">F26+DRE_Consolidado!G24-G24</f>
        <v>215753.448135592</v>
      </c>
      <c r="H26" s="33" t="n">
        <f aca="false">G26+DRE_Consolidado!H24-H24</f>
        <v>224822.892209815</v>
      </c>
      <c r="I26" s="33" t="n">
        <f aca="false">H26+DRE_Consolidado!I24-I24</f>
        <v>234533.318558971</v>
      </c>
      <c r="J26" s="33" t="n">
        <f aca="false">I26+DRE_Consolidado!J24-J24</f>
        <v>238096.964236543</v>
      </c>
      <c r="K26" s="33" t="n">
        <f aca="false">J26+DRE_Consolidado!K24-K24</f>
        <v>242579.356285253</v>
      </c>
      <c r="L26" s="33" t="n">
        <f aca="false">K26+DRE_Consolidado!L24-L24</f>
        <v>249941.30959899</v>
      </c>
      <c r="M26" s="33" t="n">
        <f aca="false">L26+DRE_Consolidado!M24-M24</f>
        <v>266656.682269887</v>
      </c>
      <c r="N26" s="33" t="n">
        <f aca="false">M26+DRE_Consolidado!N24-N24</f>
        <v>286695.710164647</v>
      </c>
      <c r="O26" s="33" t="n">
        <f aca="false">N26+DRE_Consolidado!O24-O24</f>
        <v>284337.966114301</v>
      </c>
      <c r="P26" s="33" t="n">
        <f aca="false">O26+DRE_Consolidado!P24-P24</f>
        <v>269547.031316931</v>
      </c>
      <c r="Q26" s="33" t="n">
        <f aca="false">P26+DRE_Consolidado!Q24-Q24</f>
        <v>270861.018592237</v>
      </c>
      <c r="R26" s="33" t="n">
        <f aca="false">Q26+DRE_Consolidado!R24-R24</f>
        <v>242442.400150578</v>
      </c>
      <c r="S26" s="33" t="n">
        <f aca="false">R26+DRE_Consolidado!S24-S24</f>
        <v>252230.565904917</v>
      </c>
      <c r="T26" s="33" t="n">
        <f aca="false">S26+DRE_Consolidado!T24-T24</f>
        <v>260328.099236012</v>
      </c>
      <c r="U26" s="33" t="n">
        <f aca="false">T26+DRE_Consolidado!U24-U24</f>
        <v>271056.414982903</v>
      </c>
      <c r="V26" s="33" t="n">
        <f aca="false">U26+DRE_Consolidado!V24-V24</f>
        <v>277554.051926377</v>
      </c>
      <c r="W26" s="33" t="n">
        <f aca="false">V26+DRE_Consolidado!W24-W24</f>
        <v>282696.626507341</v>
      </c>
      <c r="X26" s="33" t="n">
        <f aca="false">W26+DRE_Consolidado!X24-X24</f>
        <v>284882.443415015</v>
      </c>
      <c r="Y26" s="33" t="n">
        <f aca="false">X26+DRE_Consolidado!Y24-Y24</f>
        <v>299342.706583015</v>
      </c>
      <c r="Z26" s="33" t="n">
        <f aca="false">Y26+DRE_Consolidado!Z24-Z24</f>
        <v>318335.16546701</v>
      </c>
      <c r="AA26" s="33" t="n">
        <f aca="false">Z26+DRE_Consolidado!AA24-AA24</f>
        <v>313663.213869909</v>
      </c>
      <c r="AB26" s="33" t="n">
        <f aca="false">AA26+DRE_Consolidado!AB24-AB24</f>
        <v>294823.997207113</v>
      </c>
      <c r="AC26" s="33" t="n">
        <f aca="false">AB26+DRE_Consolidado!AC24-AC24</f>
        <v>293653.172508772</v>
      </c>
      <c r="AD26" s="33" t="n">
        <f aca="false">AC26+DRE_Consolidado!AD24-AD24</f>
        <v>271179.694832225</v>
      </c>
      <c r="AE26" s="33" t="n">
        <f aca="false">AD26+DRE_Consolidado!AE24-AE24</f>
        <v>279195.043758094</v>
      </c>
      <c r="AF26" s="33" t="n">
        <f aca="false">AE26+DRE_Consolidado!AF24-AF24</f>
        <v>285170.937992629</v>
      </c>
      <c r="AG26" s="33" t="n">
        <f aca="false">AF26+DRE_Consolidado!AG24-AG24</f>
        <v>295025.272794954</v>
      </c>
      <c r="AH26" s="33" t="n">
        <f aca="false">AG26+DRE_Consolidado!AH24-AH24</f>
        <v>300768.485417515</v>
      </c>
      <c r="AI26" s="33" t="n">
        <f aca="false">AH26+DRE_Consolidado!AI24-AI24</f>
        <v>304845.782259489</v>
      </c>
      <c r="AJ26" s="33" t="n">
        <f aca="false">AI26+DRE_Consolidado!AJ24-AJ24</f>
        <v>305254.572182395</v>
      </c>
      <c r="AK26" s="33" t="n">
        <f aca="false">AJ26+DRE_Consolidado!AK24-AK24</f>
        <v>318770.504633419</v>
      </c>
      <c r="AL26" s="33" t="n">
        <f aca="false">AK26+DRE_Consolidado!AL24-AL24</f>
        <v>337302.735600044</v>
      </c>
      <c r="AN26" s="33" t="n">
        <f aca="false">N26</f>
        <v>286695.710164647</v>
      </c>
      <c r="AO26" s="33" t="n">
        <f aca="false">Z26</f>
        <v>318335.16546701</v>
      </c>
      <c r="AP26" s="33" t="n">
        <f aca="false">AL26</f>
        <v>337302.735600044</v>
      </c>
    </row>
    <row r="27" customFormat="false" ht="15" hidden="false" customHeight="true" outlineLevel="0" collapsed="false">
      <c r="A27" s="16" t="s">
        <v>233</v>
      </c>
      <c r="B27" s="17"/>
      <c r="C27" s="31" t="n">
        <f aca="false">C25+C26</f>
        <v>601202.1979937</v>
      </c>
      <c r="D27" s="31" t="n">
        <f aca="false">D25+D26</f>
        <v>600336.913825317</v>
      </c>
      <c r="E27" s="31" t="n">
        <f aca="false">E25+E26</f>
        <v>604574.141052845</v>
      </c>
      <c r="F27" s="31" t="n">
        <f aca="false">F25+F26</f>
        <v>610180.262624793</v>
      </c>
      <c r="G27" s="31" t="n">
        <f aca="false">G25+G26</f>
        <v>615753.448135592</v>
      </c>
      <c r="H27" s="31" t="n">
        <f aca="false">H25+H26</f>
        <v>624822.892209815</v>
      </c>
      <c r="I27" s="31" t="n">
        <f aca="false">I25+I26</f>
        <v>634533.318558971</v>
      </c>
      <c r="J27" s="31" t="n">
        <f aca="false">J25+J26</f>
        <v>638096.964236543</v>
      </c>
      <c r="K27" s="31" t="n">
        <f aca="false">K25+K26</f>
        <v>642579.356285253</v>
      </c>
      <c r="L27" s="31" t="n">
        <f aca="false">L25+L26</f>
        <v>649941.30959899</v>
      </c>
      <c r="M27" s="31" t="n">
        <f aca="false">M25+M26</f>
        <v>666656.682269887</v>
      </c>
      <c r="N27" s="31" t="n">
        <f aca="false">N25+N26</f>
        <v>686695.710164647</v>
      </c>
      <c r="O27" s="31" t="n">
        <f aca="false">O25+O26</f>
        <v>684337.966114301</v>
      </c>
      <c r="P27" s="31" t="n">
        <f aca="false">P25+P26</f>
        <v>669547.031316931</v>
      </c>
      <c r="Q27" s="31" t="n">
        <f aca="false">Q25+Q26</f>
        <v>670861.018592237</v>
      </c>
      <c r="R27" s="31" t="n">
        <f aca="false">R25+R26</f>
        <v>642442.400150578</v>
      </c>
      <c r="S27" s="31" t="n">
        <f aca="false">S25+S26</f>
        <v>652230.565904917</v>
      </c>
      <c r="T27" s="31" t="n">
        <f aca="false">T25+T26</f>
        <v>660328.099236012</v>
      </c>
      <c r="U27" s="31" t="n">
        <f aca="false">U25+U26</f>
        <v>671056.414982903</v>
      </c>
      <c r="V27" s="31" t="n">
        <f aca="false">V25+V26</f>
        <v>677554.051926378</v>
      </c>
      <c r="W27" s="31" t="n">
        <f aca="false">W25+W26</f>
        <v>682696.626507341</v>
      </c>
      <c r="X27" s="31" t="n">
        <f aca="false">X25+X26</f>
        <v>684882.443415015</v>
      </c>
      <c r="Y27" s="31" t="n">
        <f aca="false">Y25+Y26</f>
        <v>699342.706583015</v>
      </c>
      <c r="Z27" s="31" t="n">
        <f aca="false">Z25+Z26</f>
        <v>718335.165467009</v>
      </c>
      <c r="AA27" s="31" t="n">
        <f aca="false">AA25+AA26</f>
        <v>713663.213869909</v>
      </c>
      <c r="AB27" s="31" t="n">
        <f aca="false">AB25+AB26</f>
        <v>694823.997207113</v>
      </c>
      <c r="AC27" s="31" t="n">
        <f aca="false">AC25+AC26</f>
        <v>693653.172508772</v>
      </c>
      <c r="AD27" s="31" t="n">
        <f aca="false">AD25+AD26</f>
        <v>671179.694832225</v>
      </c>
      <c r="AE27" s="31" t="n">
        <f aca="false">AE25+AE26</f>
        <v>679195.043758094</v>
      </c>
      <c r="AF27" s="31" t="n">
        <f aca="false">AF25+AF26</f>
        <v>685170.937992629</v>
      </c>
      <c r="AG27" s="31" t="n">
        <f aca="false">AG25+AG26</f>
        <v>695025.272794954</v>
      </c>
      <c r="AH27" s="31" t="n">
        <f aca="false">AH25+AH26</f>
        <v>700768.485417515</v>
      </c>
      <c r="AI27" s="31" t="n">
        <f aca="false">AI25+AI26</f>
        <v>704845.782259489</v>
      </c>
      <c r="AJ27" s="31" t="n">
        <f aca="false">AJ25+AJ26</f>
        <v>705254.572182395</v>
      </c>
      <c r="AK27" s="31" t="n">
        <f aca="false">AK25+AK26</f>
        <v>718770.504633419</v>
      </c>
      <c r="AL27" s="31" t="n">
        <f aca="false">AL25+AL26</f>
        <v>737302.735600044</v>
      </c>
      <c r="AM27" s="17"/>
      <c r="AN27" s="31" t="n">
        <f aca="false">SUMIF($C$3:$AL$3,2025,$C27:$AL27)</f>
        <v>7575373.19695635</v>
      </c>
      <c r="AO27" s="31" t="n">
        <f aca="false">SUMIF($C$3:$AL$3,2026,$C27:$AL27)</f>
        <v>8113614.49019664</v>
      </c>
      <c r="AP27" s="31" t="n">
        <f aca="false">SUMIF($C$3:$AL$3,2027,$C27:$AL27)</f>
        <v>8399653.41305656</v>
      </c>
    </row>
    <row r="28" customFormat="false" ht="15" hidden="false" customHeight="true" outlineLevel="0" collapsed="false">
      <c r="A28" s="34" t="s">
        <v>234</v>
      </c>
      <c r="B28" s="35"/>
      <c r="C28" s="36" t="n">
        <f aca="false">C21+C23+C27</f>
        <v>1184646.58661167</v>
      </c>
      <c r="D28" s="36" t="n">
        <f aca="false">D21+D23+D27</f>
        <v>1171689.30059198</v>
      </c>
      <c r="E28" s="36" t="n">
        <f aca="false">E21+E23+E27</f>
        <v>1196866.07221248</v>
      </c>
      <c r="F28" s="36" t="n">
        <f aca="false">F21+F23+F27</f>
        <v>1200639.75768004</v>
      </c>
      <c r="G28" s="36" t="n">
        <f aca="false">G21+G23+G27</f>
        <v>1207517.20852903</v>
      </c>
      <c r="H28" s="36" t="n">
        <f aca="false">H21+H23+H27</f>
        <v>1240166.6408329</v>
      </c>
      <c r="I28" s="36" t="n">
        <f aca="false">I21+I23+I27</f>
        <v>1245952.30037217</v>
      </c>
      <c r="J28" s="36" t="n">
        <f aca="false">J21+J23+J27</f>
        <v>1206154.85124014</v>
      </c>
      <c r="K28" s="36" t="n">
        <f aca="false">K21+K23+K27</f>
        <v>1212447.52517398</v>
      </c>
      <c r="L28" s="36" t="n">
        <f aca="false">L21+L23+L27</f>
        <v>1231126.52100304</v>
      </c>
      <c r="M28" s="36" t="n">
        <f aca="false">M21+M23+M27</f>
        <v>1300502.38672762</v>
      </c>
      <c r="N28" s="36" t="n">
        <f aca="false">N21+N23+N27</f>
        <v>1333460.9754468</v>
      </c>
      <c r="O28" s="36" t="n">
        <f aca="false">O21+O23+O27</f>
        <v>1263209.44588097</v>
      </c>
      <c r="P28" s="36" t="n">
        <f aca="false">P21+P23+P27</f>
        <v>1190448.85165026</v>
      </c>
      <c r="Q28" s="36" t="n">
        <f aca="false">Q21+Q23+Q27</f>
        <v>1262382.54046133</v>
      </c>
      <c r="R28" s="36" t="n">
        <f aca="false">R21+R23+R27</f>
        <v>1193481.91301724</v>
      </c>
      <c r="S28" s="36" t="n">
        <f aca="false">S21+S23+S27</f>
        <v>1275886.50992382</v>
      </c>
      <c r="T28" s="36" t="n">
        <f aca="false">T21+T23+T27</f>
        <v>1261841.58556718</v>
      </c>
      <c r="U28" s="36" t="n">
        <f aca="false">U21+U23+U27</f>
        <v>1377320.4614616</v>
      </c>
      <c r="V28" s="36" t="n">
        <f aca="false">V21+V23+V27</f>
        <v>1351292.87180938</v>
      </c>
      <c r="W28" s="36" t="n">
        <f aca="false">W21+W23+W27</f>
        <v>1353105.83836117</v>
      </c>
      <c r="X28" s="36" t="n">
        <f aca="false">X21+X23+X27</f>
        <v>1315509.17260685</v>
      </c>
      <c r="Y28" s="36" t="n">
        <f aca="false">Y21+Y23+Y27</f>
        <v>1408883.2858635</v>
      </c>
      <c r="Z28" s="36" t="n">
        <f aca="false">Z21+Z23+Z27</f>
        <v>1451894.15617089</v>
      </c>
      <c r="AA28" s="36" t="n">
        <f aca="false">AA21+AA23+AA27</f>
        <v>1333397.18059507</v>
      </c>
      <c r="AB28" s="36" t="n">
        <f aca="false">AB21+AB23+AB27</f>
        <v>1243078.18752794</v>
      </c>
      <c r="AC28" s="36" t="n">
        <f aca="false">AC21+AC23+AC27</f>
        <v>1307265.52167139</v>
      </c>
      <c r="AD28" s="36" t="n">
        <f aca="false">AD21+AD23+AD27</f>
        <v>1232582.34502496</v>
      </c>
      <c r="AE28" s="36" t="n">
        <f aca="false">AE21+AE23+AE27</f>
        <v>1308556.18064038</v>
      </c>
      <c r="AF28" s="36" t="n">
        <f aca="false">AF21+AF23+AF27</f>
        <v>1281236.16138599</v>
      </c>
      <c r="AG28" s="36" t="n">
        <f aca="false">AG21+AG23+AG27</f>
        <v>1307392.7148414</v>
      </c>
      <c r="AH28" s="36" t="n">
        <f aca="false">AH21+AH23+AH27</f>
        <v>1279031.63322783</v>
      </c>
      <c r="AI28" s="36" t="n">
        <f aca="false">AI21+AI23+AI27</f>
        <v>1274337.23056853</v>
      </c>
      <c r="AJ28" s="36" t="n">
        <f aca="false">AJ21+AJ23+AJ27</f>
        <v>1228535.92426735</v>
      </c>
      <c r="AK28" s="36" t="n">
        <f aca="false">AK21+AK23+AK27</f>
        <v>1321533.36228184</v>
      </c>
      <c r="AL28" s="36" t="n">
        <f aca="false">AL21+AL23+AL27</f>
        <v>1360872.97507912</v>
      </c>
      <c r="AM28" s="35"/>
      <c r="AN28" s="36" t="n">
        <f aca="false">SUMIF($C$3:$AL$3,2025,$C28:$AL28)</f>
        <v>14731170.1264219</v>
      </c>
      <c r="AO28" s="36" t="n">
        <f aca="false">SUMIF($C$3:$AL$3,2026,$C28:$AL28)</f>
        <v>15705256.6327742</v>
      </c>
      <c r="AP28" s="36" t="n">
        <f aca="false">SUMIF($C$3:$AL$3,2027,$C28:$AL28)</f>
        <v>15477819.4171118</v>
      </c>
    </row>
    <row r="29" customFormat="false" ht="15" hidden="false" customHeight="true" outlineLevel="0" collapsed="false">
      <c r="A29" s="40" t="s">
        <v>235</v>
      </c>
      <c r="B29" s="41"/>
      <c r="C29" s="42" t="n">
        <f aca="false">C13-C28</f>
        <v>0</v>
      </c>
      <c r="D29" s="42" t="n">
        <f aca="false">D13-D28</f>
        <v>0</v>
      </c>
      <c r="E29" s="42" t="n">
        <f aca="false">E13-E28</f>
        <v>0</v>
      </c>
      <c r="F29" s="42" t="n">
        <f aca="false">F13-F28</f>
        <v>0</v>
      </c>
      <c r="G29" s="42" t="n">
        <f aca="false">G13-G28</f>
        <v>0</v>
      </c>
      <c r="H29" s="42" t="n">
        <f aca="false">H13-H28</f>
        <v>0</v>
      </c>
      <c r="I29" s="42" t="n">
        <f aca="false">I13-I28</f>
        <v>0</v>
      </c>
      <c r="J29" s="42" t="n">
        <f aca="false">J13-J28</f>
        <v>0</v>
      </c>
      <c r="K29" s="42" t="n">
        <f aca="false">K13-K28</f>
        <v>0</v>
      </c>
      <c r="L29" s="42" t="n">
        <f aca="false">L13-L28</f>
        <v>0</v>
      </c>
      <c r="M29" s="42" t="n">
        <f aca="false">M13-M28</f>
        <v>0</v>
      </c>
      <c r="N29" s="42" t="n">
        <f aca="false">N13-N28</f>
        <v>0</v>
      </c>
      <c r="O29" s="42" t="n">
        <f aca="false">O13-O28</f>
        <v>0</v>
      </c>
      <c r="P29" s="42" t="n">
        <f aca="false">P13-P28</f>
        <v>0</v>
      </c>
      <c r="Q29" s="42" t="n">
        <f aca="false">Q13-Q28</f>
        <v>0</v>
      </c>
      <c r="R29" s="42" t="n">
        <f aca="false">R13-R28</f>
        <v>0</v>
      </c>
      <c r="S29" s="42" t="n">
        <f aca="false">S13-S28</f>
        <v>0</v>
      </c>
      <c r="T29" s="42" t="n">
        <f aca="false">T13-T28</f>
        <v>0</v>
      </c>
      <c r="U29" s="42" t="n">
        <f aca="false">U13-U28</f>
        <v>0</v>
      </c>
      <c r="V29" s="42" t="n">
        <f aca="false">V13-V28</f>
        <v>0</v>
      </c>
      <c r="W29" s="42" t="n">
        <f aca="false">W13-W28</f>
        <v>0</v>
      </c>
      <c r="X29" s="42" t="n">
        <f aca="false">X13-X28</f>
        <v>0</v>
      </c>
      <c r="Y29" s="42" t="n">
        <f aca="false">Y13-Y28</f>
        <v>0</v>
      </c>
      <c r="Z29" s="42" t="n">
        <f aca="false">Z13-Z28</f>
        <v>0</v>
      </c>
      <c r="AA29" s="42" t="n">
        <f aca="false">AA13-AA28</f>
        <v>0</v>
      </c>
      <c r="AB29" s="42" t="n">
        <f aca="false">AB13-AB28</f>
        <v>0</v>
      </c>
      <c r="AC29" s="42" t="n">
        <f aca="false">AC13-AC28</f>
        <v>0</v>
      </c>
      <c r="AD29" s="42" t="n">
        <f aca="false">AD13-AD28</f>
        <v>0</v>
      </c>
      <c r="AE29" s="42" t="n">
        <f aca="false">AE13-AE28</f>
        <v>0</v>
      </c>
      <c r="AF29" s="42" t="n">
        <f aca="false">AF13-AF28</f>
        <v>0</v>
      </c>
      <c r="AG29" s="42" t="n">
        <f aca="false">AG13-AG28</f>
        <v>0</v>
      </c>
      <c r="AH29" s="42" t="n">
        <f aca="false">AH13-AH28</f>
        <v>0</v>
      </c>
      <c r="AI29" s="42" t="n">
        <f aca="false">AI13-AI28</f>
        <v>0</v>
      </c>
      <c r="AJ29" s="42" t="n">
        <f aca="false">AJ13-AJ28</f>
        <v>0</v>
      </c>
      <c r="AK29" s="42" t="n">
        <f aca="false">AK13-AK28</f>
        <v>0</v>
      </c>
      <c r="AL29" s="42" t="n">
        <f aca="false">AL13-AL28</f>
        <v>0</v>
      </c>
      <c r="AM29" s="41"/>
      <c r="AN29" s="42" t="n">
        <f aca="false">SUMIF($C$3:$AL$3,2025,$C29:$AL29)</f>
        <v>0</v>
      </c>
      <c r="AO29" s="42" t="n">
        <f aca="false">SUMIF($C$3:$AL$3,2026,$C29:$AL29)</f>
        <v>0</v>
      </c>
      <c r="AP29" s="42" t="n">
        <f aca="false">SUMIF($C$3:$AL$3,2027,$C29:$AL29)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8" min="3" style="1" width="11"/>
    <col collapsed="false" customWidth="true" hidden="false" outlineLevel="0" max="42" min="40" style="1" width="13"/>
  </cols>
  <sheetData>
    <row r="1" customFormat="false" ht="15.75" hidden="false" customHeight="true" outlineLevel="0" collapsed="false">
      <c r="A1" s="28" t="s">
        <v>236</v>
      </c>
    </row>
    <row r="2" customFormat="false" ht="15" hidden="false" customHeight="true" outlineLevel="0" collapsed="false">
      <c r="A2" s="23" t="s">
        <v>147</v>
      </c>
      <c r="C2" s="29" t="s">
        <v>148</v>
      </c>
      <c r="D2" s="29" t="s">
        <v>149</v>
      </c>
      <c r="E2" s="29" t="s">
        <v>150</v>
      </c>
      <c r="F2" s="29" t="s">
        <v>151</v>
      </c>
      <c r="G2" s="29" t="s">
        <v>152</v>
      </c>
      <c r="H2" s="29" t="s">
        <v>153</v>
      </c>
      <c r="I2" s="29" t="s">
        <v>154</v>
      </c>
      <c r="J2" s="29" t="s">
        <v>155</v>
      </c>
      <c r="K2" s="29" t="s">
        <v>156</v>
      </c>
      <c r="L2" s="29" t="s">
        <v>157</v>
      </c>
      <c r="M2" s="29" t="s">
        <v>158</v>
      </c>
      <c r="N2" s="29" t="s">
        <v>159</v>
      </c>
      <c r="O2" s="29" t="s">
        <v>160</v>
      </c>
      <c r="P2" s="29" t="s">
        <v>161</v>
      </c>
      <c r="Q2" s="29" t="s">
        <v>162</v>
      </c>
      <c r="R2" s="29" t="s">
        <v>163</v>
      </c>
      <c r="S2" s="29" t="s">
        <v>164</v>
      </c>
      <c r="T2" s="29" t="s">
        <v>165</v>
      </c>
      <c r="U2" s="29" t="s">
        <v>166</v>
      </c>
      <c r="V2" s="29" t="s">
        <v>167</v>
      </c>
      <c r="W2" s="29" t="s">
        <v>168</v>
      </c>
      <c r="X2" s="29" t="s">
        <v>169</v>
      </c>
      <c r="Y2" s="29" t="s">
        <v>170</v>
      </c>
      <c r="Z2" s="29" t="s">
        <v>171</v>
      </c>
      <c r="AA2" s="29" t="s">
        <v>172</v>
      </c>
      <c r="AB2" s="29" t="s">
        <v>173</v>
      </c>
      <c r="AC2" s="29" t="s">
        <v>174</v>
      </c>
      <c r="AD2" s="29" t="s">
        <v>175</v>
      </c>
      <c r="AE2" s="29" t="s">
        <v>176</v>
      </c>
      <c r="AF2" s="29" t="s">
        <v>177</v>
      </c>
      <c r="AG2" s="29" t="s">
        <v>178</v>
      </c>
      <c r="AH2" s="29" t="s">
        <v>179</v>
      </c>
      <c r="AI2" s="29" t="s">
        <v>180</v>
      </c>
      <c r="AJ2" s="29" t="s">
        <v>181</v>
      </c>
      <c r="AK2" s="29" t="s">
        <v>182</v>
      </c>
      <c r="AL2" s="29" t="s">
        <v>183</v>
      </c>
      <c r="AN2" s="30" t="s">
        <v>184</v>
      </c>
      <c r="AO2" s="30" t="s">
        <v>185</v>
      </c>
      <c r="AP2" s="30" t="s">
        <v>186</v>
      </c>
    </row>
    <row r="3" customFormat="false" ht="15" hidden="false" customHeight="true" outlineLevel="0" collapsed="false">
      <c r="A3" s="23"/>
      <c r="C3" s="29" t="n">
        <v>2025</v>
      </c>
      <c r="D3" s="29" t="n">
        <v>2025</v>
      </c>
      <c r="E3" s="29" t="n">
        <v>2025</v>
      </c>
      <c r="F3" s="29" t="n">
        <v>2025</v>
      </c>
      <c r="G3" s="29" t="n">
        <v>2025</v>
      </c>
      <c r="H3" s="29" t="n">
        <v>2025</v>
      </c>
      <c r="I3" s="29" t="n">
        <v>2025</v>
      </c>
      <c r="J3" s="29" t="n">
        <v>2025</v>
      </c>
      <c r="K3" s="29" t="n">
        <v>2025</v>
      </c>
      <c r="L3" s="29" t="n">
        <v>2025</v>
      </c>
      <c r="M3" s="29" t="n">
        <v>2025</v>
      </c>
      <c r="N3" s="29" t="n">
        <v>2025</v>
      </c>
      <c r="O3" s="29" t="n">
        <v>2026</v>
      </c>
      <c r="P3" s="29" t="n">
        <v>2026</v>
      </c>
      <c r="Q3" s="29" t="n">
        <v>2026</v>
      </c>
      <c r="R3" s="29" t="n">
        <v>2026</v>
      </c>
      <c r="S3" s="29" t="n">
        <v>2026</v>
      </c>
      <c r="T3" s="29" t="n">
        <v>2026</v>
      </c>
      <c r="U3" s="29" t="n">
        <v>2026</v>
      </c>
      <c r="V3" s="29" t="n">
        <v>2026</v>
      </c>
      <c r="W3" s="29" t="n">
        <v>2026</v>
      </c>
      <c r="X3" s="29" t="n">
        <v>2026</v>
      </c>
      <c r="Y3" s="29" t="n">
        <v>2026</v>
      </c>
      <c r="Z3" s="29" t="n">
        <v>2026</v>
      </c>
      <c r="AA3" s="29" t="n">
        <v>2027</v>
      </c>
      <c r="AB3" s="29" t="n">
        <v>2027</v>
      </c>
      <c r="AC3" s="29" t="n">
        <v>2027</v>
      </c>
      <c r="AD3" s="29" t="n">
        <v>2027</v>
      </c>
      <c r="AE3" s="29" t="n">
        <v>2027</v>
      </c>
      <c r="AF3" s="29" t="n">
        <v>2027</v>
      </c>
      <c r="AG3" s="29" t="n">
        <v>2027</v>
      </c>
      <c r="AH3" s="29" t="n">
        <v>2027</v>
      </c>
      <c r="AI3" s="29" t="n">
        <v>2027</v>
      </c>
      <c r="AJ3" s="29" t="n">
        <v>2027</v>
      </c>
      <c r="AK3" s="29" t="n">
        <v>2027</v>
      </c>
      <c r="AL3" s="29" t="n">
        <v>2027</v>
      </c>
      <c r="AN3" s="23" t="s">
        <v>187</v>
      </c>
      <c r="AO3" s="23" t="s">
        <v>187</v>
      </c>
      <c r="AP3" s="23" t="s">
        <v>187</v>
      </c>
    </row>
    <row r="4" customFormat="false" ht="15" hidden="false" customHeight="true" outlineLevel="0" collapsed="false">
      <c r="A4" s="16" t="s">
        <v>208</v>
      </c>
      <c r="B4" s="17"/>
      <c r="C4" s="31" t="n">
        <f aca="false">DRE_Consolidado!C24</f>
        <v>1202.19799370001</v>
      </c>
      <c r="D4" s="31" t="n">
        <f aca="false">DRE_Consolidado!D24</f>
        <v>-865.284168383349</v>
      </c>
      <c r="E4" s="31" t="n">
        <f aca="false">DRE_Consolidado!E24</f>
        <v>4237.22722752831</v>
      </c>
      <c r="F4" s="31" t="n">
        <f aca="false">DRE_Consolidado!F24</f>
        <v>5606.12157194775</v>
      </c>
      <c r="G4" s="31" t="n">
        <f aca="false">DRE_Consolidado!G24</f>
        <v>5573.18551079949</v>
      </c>
      <c r="H4" s="31" t="n">
        <f aca="false">DRE_Consolidado!H24</f>
        <v>9069.44407422268</v>
      </c>
      <c r="I4" s="31" t="n">
        <f aca="false">DRE_Consolidado!I24</f>
        <v>9710.42634915558</v>
      </c>
      <c r="J4" s="31" t="n">
        <f aca="false">DRE_Consolidado!J24</f>
        <v>3563.64567757272</v>
      </c>
      <c r="K4" s="31" t="n">
        <f aca="false">DRE_Consolidado!K24</f>
        <v>4482.39204870961</v>
      </c>
      <c r="L4" s="31" t="n">
        <f aca="false">DRE_Consolidado!L24</f>
        <v>7361.95331373731</v>
      </c>
      <c r="M4" s="31" t="n">
        <f aca="false">DRE_Consolidado!M24</f>
        <v>16715.3726708968</v>
      </c>
      <c r="N4" s="31" t="n">
        <f aca="false">DRE_Consolidado!N24</f>
        <v>20039.0278947599</v>
      </c>
      <c r="O4" s="31" t="n">
        <f aca="false">DRE_Consolidado!O24</f>
        <v>-2357.74405034594</v>
      </c>
      <c r="P4" s="31" t="n">
        <f aca="false">DRE_Consolidado!P24</f>
        <v>-14790.9347973696</v>
      </c>
      <c r="Q4" s="31" t="n">
        <f aca="false">DRE_Consolidado!Q24</f>
        <v>1313.98727530559</v>
      </c>
      <c r="R4" s="31" t="n">
        <f aca="false">DRE_Consolidado!R24</f>
        <v>-2409.90539226512</v>
      </c>
      <c r="S4" s="31" t="n">
        <f aca="false">DRE_Consolidado!S24</f>
        <v>9788.1657543396</v>
      </c>
      <c r="T4" s="31" t="n">
        <f aca="false">DRE_Consolidado!T24</f>
        <v>8097.53333109505</v>
      </c>
      <c r="U4" s="31" t="n">
        <f aca="false">DRE_Consolidado!U24</f>
        <v>10728.3157468905</v>
      </c>
      <c r="V4" s="31" t="n">
        <f aca="false">DRE_Consolidado!V24</f>
        <v>6497.63694347447</v>
      </c>
      <c r="W4" s="31" t="n">
        <f aca="false">DRE_Consolidado!W24</f>
        <v>5142.5745809632</v>
      </c>
      <c r="X4" s="31" t="n">
        <f aca="false">DRE_Consolidado!X24</f>
        <v>2185.81690767391</v>
      </c>
      <c r="Y4" s="31" t="n">
        <f aca="false">DRE_Consolidado!Y24</f>
        <v>14460.2631680006</v>
      </c>
      <c r="Z4" s="31" t="n">
        <f aca="false">DRE_Consolidado!Z24</f>
        <v>18992.4588839944</v>
      </c>
      <c r="AA4" s="31" t="n">
        <f aca="false">DRE_Consolidado!AA24</f>
        <v>-4671.95159710069</v>
      </c>
      <c r="AB4" s="31" t="n">
        <f aca="false">DRE_Consolidado!AB24</f>
        <v>-18839.2166627955</v>
      </c>
      <c r="AC4" s="31" t="n">
        <f aca="false">DRE_Consolidado!AC24</f>
        <v>-1170.82469834115</v>
      </c>
      <c r="AD4" s="31" t="n">
        <f aca="false">DRE_Consolidado!AD24</f>
        <v>-5179.02717102058</v>
      </c>
      <c r="AE4" s="31" t="n">
        <f aca="false">DRE_Consolidado!AE24</f>
        <v>8015.34892586892</v>
      </c>
      <c r="AF4" s="31" t="n">
        <f aca="false">DRE_Consolidado!AF24</f>
        <v>5975.89423453591</v>
      </c>
      <c r="AG4" s="31" t="n">
        <f aca="false">DRE_Consolidado!AG24</f>
        <v>9854.33480232495</v>
      </c>
      <c r="AH4" s="31" t="n">
        <f aca="false">DRE_Consolidado!AH24</f>
        <v>5743.2126225605</v>
      </c>
      <c r="AI4" s="31" t="n">
        <f aca="false">DRE_Consolidado!AI24</f>
        <v>4077.29684197398</v>
      </c>
      <c r="AJ4" s="31" t="n">
        <f aca="false">DRE_Consolidado!AJ24</f>
        <v>408.789922905774</v>
      </c>
      <c r="AK4" s="31" t="n">
        <f aca="false">DRE_Consolidado!AK24</f>
        <v>13515.9324510242</v>
      </c>
      <c r="AL4" s="31" t="n">
        <f aca="false">DRE_Consolidado!AL24</f>
        <v>18532.2309666251</v>
      </c>
      <c r="AM4" s="17"/>
      <c r="AN4" s="31" t="n">
        <f aca="false">SUMIF($C$3:$AL$3,2025,$C4:$AL4)</f>
        <v>86695.7101646468</v>
      </c>
      <c r="AO4" s="31" t="n">
        <f aca="false">SUMIF($C$3:$AL$3,2026,$C4:$AL4)</f>
        <v>57648.1683517567</v>
      </c>
      <c r="AP4" s="31" t="n">
        <f aca="false">SUMIF($C$3:$AL$3,2027,$C4:$AL4)</f>
        <v>36262.0206385614</v>
      </c>
    </row>
    <row r="5" customFormat="false" ht="15" hidden="false" customHeight="true" outlineLevel="0" collapsed="false">
      <c r="A5" s="32" t="s">
        <v>237</v>
      </c>
      <c r="C5" s="33" t="n">
        <f aca="false">Cronogramas!C7+Cronogramas!C11</f>
        <v>4855.19778833333</v>
      </c>
      <c r="D5" s="33" t="n">
        <f aca="false">Cronogramas!D7+Cronogramas!D11</f>
        <v>4876.50515458333</v>
      </c>
      <c r="E5" s="33" t="n">
        <f aca="false">Cronogramas!E7+Cronogramas!E11</f>
        <v>4899.83328833333</v>
      </c>
      <c r="F5" s="33" t="n">
        <f aca="false">Cronogramas!F7+Cronogramas!F11</f>
        <v>4923.75884333333</v>
      </c>
      <c r="G5" s="33" t="n">
        <f aca="false">Cronogramas!G7+Cronogramas!G11</f>
        <v>4947.98315458333</v>
      </c>
      <c r="H5" s="33" t="n">
        <f aca="false">Cronogramas!H7+Cronogramas!H11</f>
        <v>5224.30296833333</v>
      </c>
      <c r="I5" s="33" t="n">
        <f aca="false">Cronogramas!I7+Cronogramas!I11</f>
        <v>5500.95152708333</v>
      </c>
      <c r="J5" s="33" t="n">
        <f aca="false">Cronogramas!J7+Cronogramas!J11</f>
        <v>5774.43533958333</v>
      </c>
      <c r="K5" s="33" t="n">
        <f aca="false">Cronogramas!K7+Cronogramas!K11</f>
        <v>5798.22459708333</v>
      </c>
      <c r="L5" s="33" t="n">
        <f aca="false">Cronogramas!L7+Cronogramas!L11</f>
        <v>5823.97760958333</v>
      </c>
      <c r="M5" s="33" t="n">
        <f aca="false">Cronogramas!M7+Cronogramas!M11</f>
        <v>5853.96378958333</v>
      </c>
      <c r="N5" s="33" t="n">
        <f aca="false">Cronogramas!N7+Cronogramas!N11</f>
        <v>5885.63058583333</v>
      </c>
      <c r="O5" s="33" t="n">
        <f aca="false">Cronogramas!O7+Cronogramas!O11</f>
        <v>5908.38425208333</v>
      </c>
      <c r="P5" s="33" t="n">
        <f aca="false">Cronogramas!P7+Cronogramas!P11</f>
        <v>5926.69666833333</v>
      </c>
      <c r="Q5" s="33" t="n">
        <f aca="false">Cronogramas!Q7+Cronogramas!Q11</f>
        <v>5951.44667958333</v>
      </c>
      <c r="R5" s="33" t="n">
        <f aca="false">Cronogramas!R7+Cronogramas!R11</f>
        <v>5973.80721708333</v>
      </c>
      <c r="S5" s="33" t="n">
        <f aca="false">Cronogramas!S7+Cronogramas!S11</f>
        <v>6002.85261083333</v>
      </c>
      <c r="T5" s="33" t="n">
        <f aca="false">Cronogramas!T7+Cronogramas!T11</f>
        <v>6030.75795958333</v>
      </c>
      <c r="U5" s="33" t="n">
        <f aca="false">Cronogramas!U7+Cronogramas!U11</f>
        <v>6060.33934833333</v>
      </c>
      <c r="V5" s="33" t="n">
        <f aca="false">Cronogramas!V7+Cronogramas!V11</f>
        <v>6087.67285958334</v>
      </c>
      <c r="W5" s="33" t="n">
        <f aca="false">Cronogramas!W7+Cronogramas!W11</f>
        <v>6114.85585708334</v>
      </c>
      <c r="X5" s="33" t="n">
        <f aca="false">Cronogramas!X7+Cronogramas!X11</f>
        <v>6139.74025208334</v>
      </c>
      <c r="Y5" s="33" t="n">
        <f aca="false">Cronogramas!Y7+Cronogramas!Y11</f>
        <v>6171.35075458333</v>
      </c>
      <c r="Z5" s="33" t="n">
        <f aca="false">Cronogramas!Z7+Cronogramas!Z11</f>
        <v>6205.19902333333</v>
      </c>
      <c r="AA5" s="33" t="n">
        <f aca="false">Cronogramas!AA7+Cronogramas!AA11</f>
        <v>6229.91624539445</v>
      </c>
      <c r="AB5" s="33" t="n">
        <f aca="false">Cronogramas!AB7+Cronogramas!AB11</f>
        <v>6249.46796251902</v>
      </c>
      <c r="AC5" s="33" t="n">
        <f aca="false">Cronogramas!AC7+Cronogramas!AC11</f>
        <v>6275.82712659232</v>
      </c>
      <c r="AD5" s="33" t="n">
        <f aca="false">Cronogramas!AD7+Cronogramas!AD11</f>
        <v>6299.72044571995</v>
      </c>
      <c r="AE5" s="33" t="n">
        <f aca="false">Cronogramas!AE7+Cronogramas!AE11</f>
        <v>6330.35591584889</v>
      </c>
      <c r="AF5" s="33" t="n">
        <f aca="false">Cronogramas!AF7+Cronogramas!AF11</f>
        <v>6359.62008152619</v>
      </c>
      <c r="AG5" s="33" t="n">
        <f aca="false">Cronogramas!AG7+Cronogramas!AG11</f>
        <v>6391.29362799723</v>
      </c>
      <c r="AH5" s="33" t="n">
        <f aca="false">Cronogramas!AH7+Cronogramas!AH11</f>
        <v>6420.5992001606</v>
      </c>
      <c r="AI5" s="33" t="n">
        <f aca="false">Cronogramas!AI7+Cronogramas!AI11</f>
        <v>6449.66358299514</v>
      </c>
      <c r="AJ5" s="33" t="n">
        <f aca="false">Cronogramas!AJ7+Cronogramas!AJ11</f>
        <v>6475.91215959038</v>
      </c>
      <c r="AK5" s="33" t="n">
        <f aca="false">Cronogramas!AK7+Cronogramas!AK11</f>
        <v>6509.3289225125</v>
      </c>
      <c r="AL5" s="33" t="n">
        <f aca="false">Cronogramas!AL7+Cronogramas!AL11</f>
        <v>6545.35406018254</v>
      </c>
      <c r="AN5" s="33" t="n">
        <f aca="false">SUMIF($C$3:$AL$3,2025,$C5:$AL5)</f>
        <v>64364.76464625</v>
      </c>
      <c r="AO5" s="33" t="n">
        <f aca="false">SUMIF($C$3:$AL$3,2026,$C5:$AL5)</f>
        <v>72573.1034825</v>
      </c>
      <c r="AP5" s="33" t="n">
        <f aca="false">SUMIF($C$3:$AL$3,2027,$C5:$AL5)</f>
        <v>76537.0593310392</v>
      </c>
    </row>
    <row r="6" customFormat="false" ht="15" hidden="false" customHeight="true" outlineLevel="0" collapsed="false">
      <c r="A6" s="32" t="s">
        <v>238</v>
      </c>
      <c r="C6" s="33" t="n">
        <f aca="false">-(Balanco_Consolidado!C6-Premissas!$B$18)</f>
        <v>-4689.72166666668</v>
      </c>
      <c r="D6" s="33" t="n">
        <f aca="false">-(Balanco_Consolidado!D6-Balanco_Consolidado!C6)</f>
        <v>13938.3926666667</v>
      </c>
      <c r="E6" s="33" t="n">
        <f aca="false">-(Balanco_Consolidado!E6-Balanco_Consolidado!D6)</f>
        <v>-16537.316</v>
      </c>
      <c r="F6" s="33" t="n">
        <f aca="false">-(Balanco_Consolidado!F6-Balanco_Consolidado!E6)</f>
        <v>2661.06733333334</v>
      </c>
      <c r="G6" s="33" t="n">
        <f aca="false">-(Balanco_Consolidado!G6-Balanco_Consolidado!F6)</f>
        <v>-5901.85666666666</v>
      </c>
      <c r="H6" s="33" t="n">
        <f aca="false">-(Balanco_Consolidado!H6-Balanco_Consolidado!G6)</f>
        <v>-4853.14933333334</v>
      </c>
      <c r="I6" s="33" t="n">
        <f aca="false">-(Balanco_Consolidado!I6-Balanco_Consolidado!H6)</f>
        <v>-2659.10566666667</v>
      </c>
      <c r="J6" s="33" t="n">
        <f aca="false">-(Balanco_Consolidado!J6-Balanco_Consolidado!I6)</f>
        <v>13990.7873333333</v>
      </c>
      <c r="K6" s="33" t="n">
        <f aca="false">-(Balanco_Consolidado!K6-Balanco_Consolidado!J6)</f>
        <v>-10965.034</v>
      </c>
      <c r="L6" s="33" t="n">
        <f aca="false">-(Balanco_Consolidado!L6-Balanco_Consolidado!K6)</f>
        <v>-2963.08266666665</v>
      </c>
      <c r="M6" s="33" t="n">
        <f aca="false">-(Balanco_Consolidado!M6-Balanco_Consolidado!L6)</f>
        <v>-21733.089</v>
      </c>
      <c r="N6" s="33" t="n">
        <f aca="false">-(Balanco_Consolidado!N6-Balanco_Consolidado!M6)</f>
        <v>-12229.13</v>
      </c>
      <c r="O6" s="33" t="n">
        <f aca="false">-(Balanco_Consolidado!O6-Balanco_Consolidado!N6)</f>
        <v>30235.219</v>
      </c>
      <c r="P6" s="33" t="n">
        <f aca="false">-(Balanco_Consolidado!P6-Balanco_Consolidado!O6)</f>
        <v>33570.5866666667</v>
      </c>
      <c r="Q6" s="33" t="n">
        <f aca="false">-(Balanco_Consolidado!Q6-Balanco_Consolidado!P6)</f>
        <v>-35362.9603333334</v>
      </c>
      <c r="R6" s="33" t="n">
        <f aca="false">-(Balanco_Consolidado!R6-Balanco_Consolidado!Q6)</f>
        <v>11878.374</v>
      </c>
      <c r="S6" s="33" t="n">
        <f aca="false">-(Balanco_Consolidado!S6-Balanco_Consolidado!R6)</f>
        <v>-54932.9086666667</v>
      </c>
      <c r="T6" s="33" t="n">
        <f aca="false">-(Balanco_Consolidado!T6-Balanco_Consolidado!S6)</f>
        <v>10124.613</v>
      </c>
      <c r="U6" s="33" t="n">
        <f aca="false">-(Balanco_Consolidado!U6-Balanco_Consolidado!T6)</f>
        <v>3876.70233333329</v>
      </c>
      <c r="V6" s="33" t="n">
        <f aca="false">-(Balanco_Consolidado!V6-Balanco_Consolidado!U6)</f>
        <v>9342.38700000002</v>
      </c>
      <c r="W6" s="33" t="n">
        <f aca="false">-(Balanco_Consolidado!W6-Balanco_Consolidado!V6)</f>
        <v>5784.74866666668</v>
      </c>
      <c r="X6" s="33" t="n">
        <f aca="false">-(Balanco_Consolidado!X6-Balanco_Consolidado!W6)</f>
        <v>-1752.73966666669</v>
      </c>
      <c r="Y6" s="33" t="n">
        <f aca="false">-(Balanco_Consolidado!Y6-Balanco_Consolidado!X6)</f>
        <v>-35353.985</v>
      </c>
      <c r="Z6" s="33" t="n">
        <f aca="false">-(Balanco_Consolidado!Z6-Balanco_Consolidado!Y6)</f>
        <v>-5262.82066666664</v>
      </c>
      <c r="AA6" s="33" t="n">
        <f aca="false">-(Balanco_Consolidado!AA6-Balanco_Consolidado!Z6)</f>
        <v>22879.8617890766</v>
      </c>
      <c r="AB6" s="33" t="n">
        <f aca="false">-(Balanco_Consolidado!AB6-Balanco_Consolidado!AA6)</f>
        <v>45620.6000004466</v>
      </c>
      <c r="AC6" s="33" t="n">
        <f aca="false">-(Balanco_Consolidado!AC6-Balanco_Consolidado!AB6)</f>
        <v>-43277.0015474433</v>
      </c>
      <c r="AD6" s="33" t="n">
        <f aca="false">-(Balanco_Consolidado!AD6-Balanco_Consolidado!AC6)</f>
        <v>16342.7132441733</v>
      </c>
      <c r="AE6" s="33" t="n">
        <f aca="false">-(Balanco_Consolidado!AE6-Balanco_Consolidado!AD6)</f>
        <v>-63375.1456312033</v>
      </c>
      <c r="AF6" s="33" t="n">
        <f aca="false">-(Balanco_Consolidado!AF6-Balanco_Consolidado!AE6)</f>
        <v>15214.6365208634</v>
      </c>
      <c r="AG6" s="33" t="n">
        <f aca="false">-(Balanco_Consolidado!AG6-Balanco_Consolidado!AF6)</f>
        <v>-2248.56421331002</v>
      </c>
      <c r="AH6" s="33" t="n">
        <f aca="false">-(Balanco_Consolidado!AH6-Balanco_Consolidado!AG6)</f>
        <v>9527.50837077329</v>
      </c>
      <c r="AI6" s="33" t="n">
        <f aca="false">-(Balanco_Consolidado!AI6-Balanco_Consolidado!AH6)</f>
        <v>5917.89019041337</v>
      </c>
      <c r="AJ6" s="33" t="n">
        <f aca="false">-(Balanco_Consolidado!AJ6-Balanco_Consolidado!AI6)</f>
        <v>7498.98807280001</v>
      </c>
      <c r="AK6" s="33" t="n">
        <f aca="false">-(Balanco_Consolidado!AK6-Balanco_Consolidado!AJ6)</f>
        <v>-44191.1590442167</v>
      </c>
      <c r="AL6" s="33" t="n">
        <f aca="false">-(Balanco_Consolidado!AL6-Balanco_Consolidado!AK6)</f>
        <v>-11187.8869993333</v>
      </c>
      <c r="AN6" s="33" t="n">
        <f aca="false">SUMIF($C$3:$AL$3,2025,$C6:$AL6)</f>
        <v>-51941.2376666667</v>
      </c>
      <c r="AO6" s="33" t="n">
        <f aca="false">SUMIF($C$3:$AL$3,2026,$C6:$AL6)</f>
        <v>-27852.7836666666</v>
      </c>
      <c r="AP6" s="33" t="n">
        <f aca="false">SUMIF($C$3:$AL$3,2027,$C6:$AL6)</f>
        <v>-41277.55924696</v>
      </c>
    </row>
    <row r="7" customFormat="false" ht="15" hidden="false" customHeight="true" outlineLevel="0" collapsed="false">
      <c r="A7" s="32" t="s">
        <v>239</v>
      </c>
      <c r="C7" s="33" t="n">
        <f aca="false">-(Balanco_Consolidado!C7-Premissas!$B$19)</f>
        <v>10200.6215333333</v>
      </c>
      <c r="D7" s="33" t="n">
        <f aca="false">-(Balanco_Consolidado!D7-Balanco_Consolidado!C7)</f>
        <v>2065.17490000001</v>
      </c>
      <c r="E7" s="33" t="n">
        <f aca="false">-(Balanco_Consolidado!E7-Balanco_Consolidado!D7)</f>
        <v>-14593.2777666666</v>
      </c>
      <c r="F7" s="33" t="n">
        <f aca="false">-(Balanco_Consolidado!F7-Balanco_Consolidado!E7)</f>
        <v>-3324.41896666671</v>
      </c>
      <c r="G7" s="33" t="n">
        <f aca="false">-(Balanco_Consolidado!G7-Balanco_Consolidado!F7)</f>
        <v>-4786.09226666667</v>
      </c>
      <c r="H7" s="33" t="n">
        <f aca="false">-(Balanco_Consolidado!H7-Balanco_Consolidado!G7)</f>
        <v>-19532.7062666666</v>
      </c>
      <c r="I7" s="33" t="n">
        <f aca="false">-(Balanco_Consolidado!I7-Balanco_Consolidado!H7)</f>
        <v>-246.924366666673</v>
      </c>
      <c r="J7" s="33" t="n">
        <f aca="false">-(Balanco_Consolidado!J7-Balanco_Consolidado!I7)</f>
        <v>24013.6256666667</v>
      </c>
      <c r="K7" s="33" t="n">
        <f aca="false">-(Balanco_Consolidado!K7-Balanco_Consolidado!J7)</f>
        <v>-53.143699999986</v>
      </c>
      <c r="L7" s="33" t="n">
        <f aca="false">-(Balanco_Consolidado!L7-Balanco_Consolidado!K7)</f>
        <v>-16654.7215333333</v>
      </c>
      <c r="M7" s="33" t="n">
        <f aca="false">-(Balanco_Consolidado!M7-Balanco_Consolidado!L7)</f>
        <v>-32148.6501</v>
      </c>
      <c r="N7" s="33" t="n">
        <f aca="false">-(Balanco_Consolidado!N7-Balanco_Consolidado!M7)</f>
        <v>-13495.9028</v>
      </c>
      <c r="O7" s="33" t="n">
        <f aca="false">-(Balanco_Consolidado!O7-Balanco_Consolidado!N7)</f>
        <v>69789.2652</v>
      </c>
      <c r="P7" s="33" t="n">
        <f aca="false">-(Balanco_Consolidado!P7-Balanco_Consolidado!O7)</f>
        <v>33930.2697</v>
      </c>
      <c r="Q7" s="33" t="n">
        <f aca="false">-(Balanco_Consolidado!Q7-Balanco_Consolidado!P7)</f>
        <v>-54422.4147666667</v>
      </c>
      <c r="R7" s="33" t="n">
        <f aca="false">-(Balanco_Consolidado!R7-Balanco_Consolidado!Q7)</f>
        <v>26151.8096666666</v>
      </c>
      <c r="S7" s="33" t="n">
        <f aca="false">-(Balanco_Consolidado!S7-Balanco_Consolidado!R7)</f>
        <v>-54614.9943666667</v>
      </c>
      <c r="T7" s="33" t="n">
        <f aca="false">-(Balanco_Consolidado!T7-Balanco_Consolidado!S7)</f>
        <v>9984.60556666669</v>
      </c>
      <c r="U7" s="33" t="n">
        <f aca="false">-(Balanco_Consolidado!U7-Balanco_Consolidado!T7)</f>
        <v>-15370.6228666667</v>
      </c>
      <c r="V7" s="33" t="n">
        <f aca="false">-(Balanco_Consolidado!V7-Balanco_Consolidado!U7)</f>
        <v>18811.7379666667</v>
      </c>
      <c r="W7" s="33" t="n">
        <f aca="false">-(Balanco_Consolidado!W7-Balanco_Consolidado!V7)</f>
        <v>-3154.67613333333</v>
      </c>
      <c r="X7" s="33" t="n">
        <f aca="false">-(Balanco_Consolidado!X7-Balanco_Consolidado!W7)</f>
        <v>21725.8038</v>
      </c>
      <c r="Y7" s="33" t="n">
        <f aca="false">-(Balanco_Consolidado!Y7-Balanco_Consolidado!X7)</f>
        <v>-56162.9182666667</v>
      </c>
      <c r="Z7" s="33" t="n">
        <f aca="false">-(Balanco_Consolidado!Z7-Balanco_Consolidado!Y7)</f>
        <v>-17191.6338333334</v>
      </c>
      <c r="AA7" s="33" t="n">
        <f aca="false">-(Balanco_Consolidado!AA7-Balanco_Consolidado!Z7)</f>
        <v>74508.8423362418</v>
      </c>
      <c r="AB7" s="33" t="n">
        <f aca="false">-(Balanco_Consolidado!AB7-Balanco_Consolidado!AA7)</f>
        <v>39272.489859831</v>
      </c>
      <c r="AC7" s="33" t="n">
        <f aca="false">-(Balanco_Consolidado!AC7-Balanco_Consolidado!AB7)</f>
        <v>-57939.0277092184</v>
      </c>
      <c r="AD7" s="33" t="n">
        <f aca="false">-(Balanco_Consolidado!AD7-Balanco_Consolidado!AC7)</f>
        <v>27933.5358368269</v>
      </c>
      <c r="AE7" s="33" t="n">
        <f aca="false">-(Balanco_Consolidado!AE7-Balanco_Consolidado!AD7)</f>
        <v>-55396.7907090111</v>
      </c>
      <c r="AF7" s="33" t="n">
        <f aca="false">-(Balanco_Consolidado!AF7-Balanco_Consolidado!AE7)</f>
        <v>11874.8284022811</v>
      </c>
      <c r="AG7" s="33" t="n">
        <f aca="false">-(Balanco_Consolidado!AG7-Balanco_Consolidado!AF7)</f>
        <v>-21508.6371727239</v>
      </c>
      <c r="AH7" s="33" t="n">
        <f aca="false">-(Balanco_Consolidado!AH7-Balanco_Consolidado!AG7)</f>
        <v>19641.4941571821</v>
      </c>
      <c r="AI7" s="33" t="n">
        <f aca="false">-(Balanco_Consolidado!AI7-Balanco_Consolidado!AH7)</f>
        <v>-2647.48457181916</v>
      </c>
      <c r="AJ7" s="33" t="n">
        <f aca="false">-(Balanco_Consolidado!AJ7-Balanco_Consolidado!AI7)</f>
        <v>26105.2984373676</v>
      </c>
      <c r="AK7" s="33" t="n">
        <f aca="false">-(Balanco_Consolidado!AK7-Balanco_Consolidado!AJ7)</f>
        <v>-59930.8854581311</v>
      </c>
      <c r="AL7" s="33" t="n">
        <f aca="false">-(Balanco_Consolidado!AL7-Balanco_Consolidado!AK7)</f>
        <v>-20592.9841714276</v>
      </c>
      <c r="AN7" s="33" t="n">
        <f aca="false">SUMIF($C$3:$AL$3,2025,$C7:$AL7)</f>
        <v>-68556.4156666667</v>
      </c>
      <c r="AO7" s="33" t="n">
        <f aca="false">SUMIF($C$3:$AL$3,2026,$C7:$AL7)</f>
        <v>-20523.7683333333</v>
      </c>
      <c r="AP7" s="33" t="n">
        <f aca="false">SUMIF($C$3:$AL$3,2027,$C7:$AL7)</f>
        <v>-18679.3207626008</v>
      </c>
    </row>
    <row r="8" customFormat="false" ht="15" hidden="false" customHeight="true" outlineLevel="0" collapsed="false">
      <c r="A8" s="32" t="s">
        <v>240</v>
      </c>
      <c r="C8" s="33" t="n">
        <f aca="false">-(Balanco_Consolidado!C8-Premissas!$B$20)</f>
        <v>2006.7488</v>
      </c>
      <c r="D8" s="33" t="n">
        <f aca="false">-(Balanco_Consolidado!D8-Balanco_Consolidado!C8)</f>
        <v>356.536800000002</v>
      </c>
      <c r="E8" s="33" t="n">
        <f aca="false">-(Balanco_Consolidado!E8-Balanco_Consolidado!D8)</f>
        <v>-1293.2912</v>
      </c>
      <c r="F8" s="33" t="n">
        <f aca="false">-(Balanco_Consolidado!F8-Balanco_Consolidado!E8)</f>
        <v>-382.3496</v>
      </c>
      <c r="G8" s="33" t="n">
        <f aca="false">-(Balanco_Consolidado!G8-Balanco_Consolidado!F8)</f>
        <v>-191.204000000003</v>
      </c>
      <c r="H8" s="33" t="n">
        <f aca="false">-(Balanco_Consolidado!H8-Balanco_Consolidado!G8)</f>
        <v>-1341.12159999999</v>
      </c>
      <c r="I8" s="33" t="n">
        <f aca="false">-(Balanco_Consolidado!I8-Balanco_Consolidado!H8)</f>
        <v>-210.39680000001</v>
      </c>
      <c r="J8" s="33" t="n">
        <f aca="false">-(Balanco_Consolidado!J8-Balanco_Consolidado!I8)</f>
        <v>2025.4376</v>
      </c>
      <c r="K8" s="33" t="n">
        <f aca="false">-(Balanco_Consolidado!K8-Balanco_Consolidado!J8)</f>
        <v>-195.484800000004</v>
      </c>
      <c r="L8" s="33" t="n">
        <f aca="false">-(Balanco_Consolidado!L8-Balanco_Consolidado!K8)</f>
        <v>-1256.8032</v>
      </c>
      <c r="M8" s="33" t="n">
        <f aca="false">-(Balanco_Consolidado!M8-Balanco_Consolidado!L8)</f>
        <v>-2709.2272</v>
      </c>
      <c r="N8" s="33" t="n">
        <f aca="false">-(Balanco_Consolidado!N8-Balanco_Consolidado!M8)</f>
        <v>-1075.5944</v>
      </c>
      <c r="O8" s="33" t="n">
        <f aca="false">-(Balanco_Consolidado!O8-Balanco_Consolidado!N8)</f>
        <v>5704.4032</v>
      </c>
      <c r="P8" s="33" t="n">
        <f aca="false">-(Balanco_Consolidado!P8-Balanco_Consolidado!O8)</f>
        <v>2842.4</v>
      </c>
      <c r="Q8" s="33" t="n">
        <f aca="false">-(Balanco_Consolidado!Q8-Balanco_Consolidado!P8)</f>
        <v>-4120.0608</v>
      </c>
      <c r="R8" s="33" t="n">
        <f aca="false">-(Balanco_Consolidado!R8-Balanco_Consolidado!Q8)</f>
        <v>1529.2632</v>
      </c>
      <c r="S8" s="33" t="n">
        <f aca="false">-(Balanco_Consolidado!S8-Balanco_Consolidado!R8)</f>
        <v>-4278.308</v>
      </c>
      <c r="T8" s="33" t="n">
        <f aca="false">-(Balanco_Consolidado!T8-Balanco_Consolidado!S8)</f>
        <v>729.628799999995</v>
      </c>
      <c r="U8" s="33" t="n">
        <f aca="false">-(Balanco_Consolidado!U8-Balanco_Consolidado!T8)</f>
        <v>-1072.6656</v>
      </c>
      <c r="V8" s="33" t="n">
        <f aca="false">-(Balanco_Consolidado!V8-Balanco_Consolidado!U8)</f>
        <v>1438.6416</v>
      </c>
      <c r="W8" s="33" t="n">
        <f aca="false">-(Balanco_Consolidado!W8-Balanco_Consolidado!V8)</f>
        <v>96.3287999999993</v>
      </c>
      <c r="X8" s="33" t="n">
        <f aca="false">-(Balanco_Consolidado!X8-Balanco_Consolidado!W8)</f>
        <v>1471.1056</v>
      </c>
      <c r="Y8" s="33" t="n">
        <f aca="false">-(Balanco_Consolidado!Y8-Balanco_Consolidado!X8)</f>
        <v>-4304.7088</v>
      </c>
      <c r="Z8" s="33" t="n">
        <f aca="false">-(Balanco_Consolidado!Z8-Balanco_Consolidado!Y8)</f>
        <v>-1432.1704</v>
      </c>
      <c r="AA8" s="33" t="n">
        <f aca="false">-(Balanco_Consolidado!AA8-Balanco_Consolidado!Z8)</f>
        <v>5843.869880888</v>
      </c>
      <c r="AB8" s="33" t="n">
        <f aca="false">-(Balanco_Consolidado!AB8-Balanco_Consolidado!AA8)</f>
        <v>3305.9231593848</v>
      </c>
      <c r="AC8" s="33" t="n">
        <f aca="false">-(Balanco_Consolidado!AC8-Balanco_Consolidado!AB8)</f>
        <v>-4356.7660471816</v>
      </c>
      <c r="AD8" s="33" t="n">
        <f aca="false">-(Balanco_Consolidado!AD8-Balanco_Consolidado!AC8)</f>
        <v>1578.1407652224</v>
      </c>
      <c r="AE8" s="33" t="n">
        <f aca="false">-(Balanco_Consolidado!AE8-Balanco_Consolidado!AD8)</f>
        <v>-4314.976640832</v>
      </c>
      <c r="AF8" s="33" t="n">
        <f aca="false">-(Balanco_Consolidado!AF8-Balanco_Consolidado!AE8)</f>
        <v>877.634849044804</v>
      </c>
      <c r="AG8" s="33" t="n">
        <f aca="false">-(Balanco_Consolidado!AG8-Balanco_Consolidado!AF8)</f>
        <v>-1542.0037079896</v>
      </c>
      <c r="AH8" s="33" t="n">
        <f aca="false">-(Balanco_Consolidado!AH8-Balanco_Consolidado!AG8)</f>
        <v>1515.50355690479</v>
      </c>
      <c r="AI8" s="33" t="n">
        <f aca="false">-(Balanco_Consolidado!AI8-Balanco_Consolidado!AH8)</f>
        <v>154.361170455206</v>
      </c>
      <c r="AJ8" s="33" t="n">
        <f aca="false">-(Balanco_Consolidado!AJ8-Balanco_Consolidado!AI8)</f>
        <v>1802.1159931464</v>
      </c>
      <c r="AK8" s="33" t="n">
        <f aca="false">-(Balanco_Consolidado!AK8-Balanco_Consolidado!AJ8)</f>
        <v>-4587.6392491976</v>
      </c>
      <c r="AL8" s="33" t="n">
        <f aca="false">-(Balanco_Consolidado!AL8-Balanco_Consolidado!AK8)</f>
        <v>-1669.3598386736</v>
      </c>
      <c r="AN8" s="33" t="n">
        <f aca="false">SUMIF($C$3:$AL$3,2025,$C8:$AL8)</f>
        <v>-4266.7496</v>
      </c>
      <c r="AO8" s="33" t="n">
        <f aca="false">SUMIF($C$3:$AL$3,2026,$C8:$AL8)</f>
        <v>-1396.1424</v>
      </c>
      <c r="AP8" s="33" t="n">
        <f aca="false">SUMIF($C$3:$AL$3,2027,$C8:$AL8)</f>
        <v>-1393.196108828</v>
      </c>
    </row>
    <row r="9" customFormat="false" ht="15" hidden="false" customHeight="true" outlineLevel="0" collapsed="false">
      <c r="A9" s="32" t="s">
        <v>241</v>
      </c>
      <c r="C9" s="33" t="n">
        <f aca="false">(Balanco_Consolidado!C16-Premissas!$B$24)</f>
        <v>-11387.3495</v>
      </c>
      <c r="D9" s="33" t="n">
        <f aca="false">(Balanco_Consolidado!D16-Balanco_Consolidado!C16)</f>
        <v>-6.13673333334737</v>
      </c>
      <c r="E9" s="33" t="n">
        <f aca="false">(Balanco_Consolidado!E16-Balanco_Consolidado!D16)</f>
        <v>11976.5663666667</v>
      </c>
      <c r="F9" s="33" t="n">
        <f aca="false">(Balanco_Consolidado!F16-Balanco_Consolidado!E16)</f>
        <v>3054.25890000002</v>
      </c>
      <c r="G9" s="33" t="n">
        <f aca="false">(Balanco_Consolidado!G16-Balanco_Consolidado!F16)</f>
        <v>3557.55739999999</v>
      </c>
      <c r="H9" s="33" t="n">
        <f aca="false">(Balanco_Consolidado!H16-Balanco_Consolidado!G16)</f>
        <v>16098.5733333333</v>
      </c>
      <c r="I9" s="33" t="n">
        <f aca="false">(Balanco_Consolidado!I16-Balanco_Consolidado!H16)</f>
        <v>552.814199999993</v>
      </c>
      <c r="J9" s="33" t="n">
        <f aca="false">(Balanco_Consolidado!J16-Balanco_Consolidado!I16)</f>
        <v>-20054.9244333333</v>
      </c>
      <c r="K9" s="33" t="n">
        <f aca="false">(Balanco_Consolidado!K16-Balanco_Consolidado!J16)</f>
        <v>-1166.50770000002</v>
      </c>
      <c r="L9" s="33" t="n">
        <f aca="false">(Balanco_Consolidado!L16-Balanco_Consolidado!K16)</f>
        <v>14988.3481666667</v>
      </c>
      <c r="M9" s="33" t="n">
        <f aca="false">(Balanco_Consolidado!M16-Balanco_Consolidado!L16)</f>
        <v>27059.5109</v>
      </c>
      <c r="N9" s="33" t="n">
        <f aca="false">(Balanco_Consolidado!N16-Balanco_Consolidado!M16)</f>
        <v>10265.4118</v>
      </c>
      <c r="O9" s="33" t="n">
        <f aca="false">(Balanco_Consolidado!O16-Balanco_Consolidado!N16)</f>
        <v>-58546.0759333333</v>
      </c>
      <c r="P9" s="33" t="n">
        <f aca="false">(Balanco_Consolidado!P16-Balanco_Consolidado!O16)</f>
        <v>-26548.2294333333</v>
      </c>
      <c r="Q9" s="33" t="n">
        <f aca="false">(Balanco_Consolidado!Q16-Balanco_Consolidado!P16)</f>
        <v>44555.253</v>
      </c>
      <c r="R9" s="33" t="n">
        <f aca="false">(Balanco_Consolidado!R16-Balanco_Consolidado!Q16)</f>
        <v>-20930.4774666667</v>
      </c>
      <c r="S9" s="33" t="n">
        <f aca="false">(Balanco_Consolidado!S16-Balanco_Consolidado!R16)</f>
        <v>42125.0277333333</v>
      </c>
      <c r="T9" s="33" t="n">
        <f aca="false">(Balanco_Consolidado!T16-Balanco_Consolidado!S16)</f>
        <v>-7508.18983333337</v>
      </c>
      <c r="U9" s="33" t="n">
        <f aca="false">(Balanco_Consolidado!U16-Balanco_Consolidado!T16)</f>
        <v>14465.6666</v>
      </c>
      <c r="V9" s="33" t="n">
        <f aca="false">(Balanco_Consolidado!V16-Balanco_Consolidado!U16)</f>
        <v>-16011.224</v>
      </c>
      <c r="W9" s="33" t="n">
        <f aca="false">(Balanco_Consolidado!W16-Balanco_Consolidado!V16)</f>
        <v>2491.5154</v>
      </c>
      <c r="X9" s="33" t="n">
        <f aca="false">(Balanco_Consolidado!X16-Balanco_Consolidado!W16)</f>
        <v>-18731.4424666667</v>
      </c>
      <c r="Y9" s="33" t="n">
        <f aca="false">(Balanco_Consolidado!Y16-Balanco_Consolidado!X16)</f>
        <v>46641.2245</v>
      </c>
      <c r="Z9" s="33" t="n">
        <f aca="false">(Balanco_Consolidado!Z16-Balanco_Consolidado!Y16)</f>
        <v>15276.6109333333</v>
      </c>
      <c r="AA9" s="33" t="n">
        <f aca="false">(Balanco_Consolidado!AA16-Balanco_Consolidado!Z16)</f>
        <v>-63251.4910681617</v>
      </c>
      <c r="AB9" s="33" t="n">
        <f aca="false">(Balanco_Consolidado!AB16-Balanco_Consolidado!AA16)</f>
        <v>-30511.6993474095</v>
      </c>
      <c r="AC9" s="33" t="n">
        <f aca="false">(Balanco_Consolidado!AC16-Balanco_Consolidado!AB16)</f>
        <v>47479.1025725831</v>
      </c>
      <c r="AD9" s="33" t="n">
        <f aca="false">(Balanco_Consolidado!AD16-Balanco_Consolidado!AC16)</f>
        <v>-22380.4613786379</v>
      </c>
      <c r="AE9" s="33" t="n">
        <f aca="false">(Balanco_Consolidado!AE16-Balanco_Consolidado!AD16)</f>
        <v>42725.1287552767</v>
      </c>
      <c r="AF9" s="33" t="n">
        <f aca="false">(Balanco_Consolidado!AF16-Balanco_Consolidado!AE16)</f>
        <v>-8712.99236635151</v>
      </c>
      <c r="AG9" s="33" t="n">
        <f aca="false">(Balanco_Consolidado!AG16-Balanco_Consolidado!AF16)</f>
        <v>19167.4484330449</v>
      </c>
      <c r="AH9" s="33" t="n">
        <f aca="false">(Balanco_Consolidado!AH16-Balanco_Consolidado!AG16)</f>
        <v>-16923.7117314292</v>
      </c>
      <c r="AI9" s="33" t="n">
        <f aca="false">(Balanco_Consolidado!AI16-Balanco_Consolidado!AH16)</f>
        <v>2143.86386958577</v>
      </c>
      <c r="AJ9" s="33" t="n">
        <f aca="false">(Balanco_Consolidado!AJ16-Balanco_Consolidado!AI16)</f>
        <v>-21899.2910492742</v>
      </c>
      <c r="AK9" s="33" t="n">
        <f aca="false">(Balanco_Consolidado!AK16-Balanco_Consolidado!AJ16)</f>
        <v>49831.1616842677</v>
      </c>
      <c r="AL9" s="33" t="n">
        <f aca="false">(Balanco_Consolidado!AL16-Balanco_Consolidado!AK16)</f>
        <v>17746.3293349672</v>
      </c>
      <c r="AN9" s="33" t="n">
        <f aca="false">SUMIF($C$3:$AL$3,2025,$C9:$AL9)</f>
        <v>54938.1227</v>
      </c>
      <c r="AO9" s="33" t="n">
        <f aca="false">SUMIF($C$3:$AL$3,2026,$C9:$AL9)</f>
        <v>17279.6590333333</v>
      </c>
      <c r="AP9" s="33" t="n">
        <f aca="false">SUMIF($C$3:$AL$3,2027,$C9:$AL9)</f>
        <v>15413.3877084613</v>
      </c>
    </row>
    <row r="10" customFormat="false" ht="15" hidden="false" customHeight="true" outlineLevel="0" collapsed="false">
      <c r="A10" s="32" t="s">
        <v>242</v>
      </c>
      <c r="C10" s="33" t="n">
        <f aca="false">(Balanco_Consolidado!C18-Premissas!$B$25)</f>
        <v>-7914.22588203332</v>
      </c>
      <c r="D10" s="33" t="n">
        <f aca="false">(Balanco_Consolidado!D18-Balanco_Consolidado!C18)</f>
        <v>-6640.19411796668</v>
      </c>
      <c r="E10" s="33" t="n">
        <f aca="false">(Balanco_Consolidado!E18-Balanco_Consolidado!D18)</f>
        <v>12346.3640263025</v>
      </c>
      <c r="F10" s="33" t="n">
        <f aca="false">(Balanco_Consolidado!F18-Balanco_Consolidado!E18)</f>
        <v>-364.63200438999</v>
      </c>
      <c r="G10" s="33" t="n">
        <f aca="false">(Balanco_Consolidado!G18-Balanco_Consolidado!F18)</f>
        <v>2507.70293819634</v>
      </c>
      <c r="H10" s="33" t="n">
        <f aca="false">(Balanco_Consolidado!H18-Balanco_Consolidado!G18)</f>
        <v>10805.0128963089</v>
      </c>
      <c r="I10" s="33" t="n">
        <f aca="false">(Balanco_Consolidado!I18-Balanco_Consolidado!H18)</f>
        <v>259.422990116946</v>
      </c>
      <c r="J10" s="33" t="n">
        <f aca="false">(Balanco_Consolidado!J18-Balanco_Consolidado!I18)</f>
        <v>-15774.37337627</v>
      </c>
      <c r="K10" s="33" t="n">
        <f aca="false">(Balanco_Consolidado!K18-Balanco_Consolidado!J18)</f>
        <v>7732.43358513112</v>
      </c>
      <c r="L10" s="33" t="n">
        <f aca="false">(Balanco_Consolidado!L18-Balanco_Consolidado!K18)</f>
        <v>-242.309651349351</v>
      </c>
      <c r="M10" s="33" t="n">
        <f aca="false">(Balanco_Consolidado!M18-Balanco_Consolidado!L18)</f>
        <v>27214.4481536882</v>
      </c>
      <c r="N10" s="33" t="n">
        <f aca="false">(Balanco_Consolidado!N18-Balanco_Consolidado!M18)</f>
        <v>6309.65602441436</v>
      </c>
      <c r="O10" s="33" t="n">
        <f aca="false">(Balanco_Consolidado!O18-Balanco_Consolidado!N18)</f>
        <v>-38964.4055821491</v>
      </c>
      <c r="P10" s="33" t="n">
        <f aca="false">(Balanco_Consolidado!P18-Balanco_Consolidado!O18)</f>
        <v>-22868.43</v>
      </c>
      <c r="Q10" s="33" t="n">
        <f aca="false">(Balanco_Consolidado!Q18-Balanco_Consolidado!P18)</f>
        <v>25914.3725357635</v>
      </c>
      <c r="R10" s="33" t="n">
        <f aca="false">(Balanco_Consolidado!R18-Balanco_Consolidado!Q18)</f>
        <v>-12639.9525357635</v>
      </c>
      <c r="S10" s="33" t="n">
        <f aca="false">(Balanco_Consolidado!S18-Balanco_Consolidado!R18)</f>
        <v>30143.5184189022</v>
      </c>
      <c r="T10" s="33" t="n">
        <f aca="false">(Balanco_Consolidado!T18-Balanco_Consolidado!S18)</f>
        <v>-8722.23185439872</v>
      </c>
      <c r="U10" s="33" t="n">
        <f aca="false">(Balanco_Consolidado!U18-Balanco_Consolidado!T18)</f>
        <v>13944.061547531</v>
      </c>
      <c r="V10" s="33" t="n">
        <f aca="false">(Balanco_Consolidado!V18-Balanco_Consolidado!U18)</f>
        <v>-9715.70059569918</v>
      </c>
      <c r="W10" s="33" t="n">
        <f aca="false">(Balanco_Consolidado!W18-Balanco_Consolidado!V18)</f>
        <v>-700.71242917249</v>
      </c>
      <c r="X10" s="33" t="n">
        <f aca="false">(Balanco_Consolidado!X18-Balanco_Consolidado!W18)</f>
        <v>-14212.1581953308</v>
      </c>
      <c r="Y10" s="33" t="n">
        <f aca="false">(Balanco_Consolidado!Y18-Balanco_Consolidado!X18)</f>
        <v>31891.7395886532</v>
      </c>
      <c r="Z10" s="33" t="n">
        <f aca="false">(Balanco_Consolidado!Z18-Balanco_Consolidado!Y18)</f>
        <v>11951.5874900574</v>
      </c>
      <c r="AA10" s="33" t="n">
        <f aca="false">(Balanco_Consolidado!AA18-Balanco_Consolidado!Z18)</f>
        <v>-40755.0955594426</v>
      </c>
      <c r="AB10" s="33" t="n">
        <f aca="false">(Balanco_Consolidado!AB18-Balanco_Consolidado!AA18)</f>
        <v>-21835.67310769</v>
      </c>
      <c r="AC10" s="33" t="n">
        <f aca="false">(Balanco_Consolidado!AC18-Balanco_Consolidado!AB18)</f>
        <v>27433.09871023</v>
      </c>
      <c r="AD10" s="33" t="n">
        <f aca="false">(Balanco_Consolidado!AD18-Balanco_Consolidado!AC18)</f>
        <v>-12856.56163472</v>
      </c>
      <c r="AE10" s="33" t="n">
        <f aca="false">(Balanco_Consolidado!AE18-Balanco_Consolidado!AD18)</f>
        <v>34839.6371332295</v>
      </c>
      <c r="AF10" s="33" t="n">
        <f aca="false">(Balanco_Consolidado!AF18-Balanco_Consolidado!AE18)</f>
        <v>-8485.87756126307</v>
      </c>
      <c r="AG10" s="33" t="n">
        <f aca="false">(Balanco_Consolidado!AG18-Balanco_Consolidado!AF18)</f>
        <v>10207.2655850516</v>
      </c>
      <c r="AH10" s="33" t="n">
        <f aca="false">(Balanco_Consolidado!AH18-Balanco_Consolidado!AG18)</f>
        <v>-10286.2030585687</v>
      </c>
      <c r="AI10" s="33" t="n">
        <f aca="false">(Balanco_Consolidado!AI18-Balanco_Consolidado!AH18)</f>
        <v>-722.611907793951</v>
      </c>
      <c r="AJ10" s="33" t="n">
        <f aca="false">(Balanco_Consolidado!AJ18-Balanco_Consolidado!AI18)</f>
        <v>-12058.1601833718</v>
      </c>
      <c r="AK10" s="33" t="n">
        <f aca="false">(Balanco_Consolidado!AK18-Balanco_Consolidado!AJ18)</f>
        <v>33915.794817697</v>
      </c>
      <c r="AL10" s="33" t="n">
        <f aca="false">(Balanco_Consolidado!AL18-Balanco_Consolidado!AK18)</f>
        <v>10974.3526973441</v>
      </c>
      <c r="AN10" s="33" t="n">
        <f aca="false">SUMIF($C$3:$AL$3,2025,$C10:$AL10)</f>
        <v>36239.3055821491</v>
      </c>
      <c r="AO10" s="33" t="n">
        <f aca="false">SUMIF($C$3:$AL$3,2026,$C10:$AL10)</f>
        <v>6021.68838839349</v>
      </c>
      <c r="AP10" s="33" t="n">
        <f aca="false">SUMIF($C$3:$AL$3,2027,$C10:$AL10)</f>
        <v>10369.9659307022</v>
      </c>
    </row>
    <row r="11" customFormat="false" ht="15" hidden="false" customHeight="true" outlineLevel="0" collapsed="false">
      <c r="A11" s="32" t="s">
        <v>243</v>
      </c>
      <c r="C11" s="33" t="n">
        <f aca="false">(Balanco_Consolidado!C19-Premissas!$B$26)</f>
        <v>254.400000000001</v>
      </c>
      <c r="D11" s="33" t="n">
        <f aca="false">(Balanco_Consolidado!D19-Balanco_Consolidado!C19)</f>
        <v>0</v>
      </c>
      <c r="E11" s="33" t="n">
        <f aca="false">(Balanco_Consolidado!E19-Balanco_Consolidado!D19)</f>
        <v>0</v>
      </c>
      <c r="F11" s="33" t="n">
        <f aca="false">(Balanco_Consolidado!F19-Balanco_Consolidado!E19)</f>
        <v>0</v>
      </c>
      <c r="G11" s="33" t="n">
        <f aca="false">(Balanco_Consolidado!G19-Balanco_Consolidado!F19)</f>
        <v>0</v>
      </c>
      <c r="H11" s="33" t="n">
        <f aca="false">(Balanco_Consolidado!H19-Balanco_Consolidado!G19)</f>
        <v>0</v>
      </c>
      <c r="I11" s="33" t="n">
        <f aca="false">(Balanco_Consolidado!I19-Balanco_Consolidado!H19)</f>
        <v>0</v>
      </c>
      <c r="J11" s="33" t="n">
        <f aca="false">(Balanco_Consolidado!J19-Balanco_Consolidado!I19)</f>
        <v>0</v>
      </c>
      <c r="K11" s="33" t="n">
        <f aca="false">(Balanco_Consolidado!K19-Balanco_Consolidado!J19)</f>
        <v>0</v>
      </c>
      <c r="L11" s="33" t="n">
        <f aca="false">(Balanco_Consolidado!L19-Balanco_Consolidado!K19)</f>
        <v>0</v>
      </c>
      <c r="M11" s="33" t="n">
        <f aca="false">(Balanco_Consolidado!M19-Balanco_Consolidado!L19)</f>
        <v>0</v>
      </c>
      <c r="N11" s="33" t="n">
        <f aca="false">(Balanco_Consolidado!N19-Balanco_Consolidado!M19)</f>
        <v>0</v>
      </c>
      <c r="O11" s="33" t="n">
        <f aca="false">(Balanco_Consolidado!O19-Balanco_Consolidado!N19)</f>
        <v>1747.2</v>
      </c>
      <c r="P11" s="33" t="n">
        <f aca="false">(Balanco_Consolidado!P19-Balanco_Consolidado!O19)</f>
        <v>0</v>
      </c>
      <c r="Q11" s="33" t="n">
        <f aca="false">(Balanco_Consolidado!Q19-Balanco_Consolidado!P19)</f>
        <v>0</v>
      </c>
      <c r="R11" s="33" t="n">
        <f aca="false">(Balanco_Consolidado!R19-Balanco_Consolidado!Q19)</f>
        <v>0</v>
      </c>
      <c r="S11" s="33" t="n">
        <f aca="false">(Balanco_Consolidado!S19-Balanco_Consolidado!R19)</f>
        <v>0</v>
      </c>
      <c r="T11" s="33" t="n">
        <f aca="false">(Balanco_Consolidado!T19-Balanco_Consolidado!S19)</f>
        <v>0</v>
      </c>
      <c r="U11" s="33" t="n">
        <f aca="false">(Balanco_Consolidado!U19-Balanco_Consolidado!T19)</f>
        <v>0</v>
      </c>
      <c r="V11" s="33" t="n">
        <f aca="false">(Balanco_Consolidado!V19-Balanco_Consolidado!U19)</f>
        <v>0</v>
      </c>
      <c r="W11" s="33" t="n">
        <f aca="false">(Balanco_Consolidado!W19-Balanco_Consolidado!V19)</f>
        <v>0</v>
      </c>
      <c r="X11" s="33" t="n">
        <f aca="false">(Balanco_Consolidado!X19-Balanco_Consolidado!W19)</f>
        <v>0</v>
      </c>
      <c r="Y11" s="33" t="n">
        <f aca="false">(Balanco_Consolidado!Y19-Balanco_Consolidado!X19)</f>
        <v>0</v>
      </c>
      <c r="Z11" s="33" t="n">
        <f aca="false">(Balanco_Consolidado!Z19-Balanco_Consolidado!Y19)</f>
        <v>0</v>
      </c>
      <c r="AA11" s="33" t="n">
        <f aca="false">(Balanco_Consolidado!AA19-Balanco_Consolidado!Z19)</f>
        <v>2486.4</v>
      </c>
      <c r="AB11" s="33" t="n">
        <f aca="false">(Balanco_Consolidado!AB19-Balanco_Consolidado!AA19)</f>
        <v>0</v>
      </c>
      <c r="AC11" s="33" t="n">
        <f aca="false">(Balanco_Consolidado!AC19-Balanco_Consolidado!AB19)</f>
        <v>0</v>
      </c>
      <c r="AD11" s="33" t="n">
        <f aca="false">(Balanco_Consolidado!AD19-Balanco_Consolidado!AC19)</f>
        <v>0</v>
      </c>
      <c r="AE11" s="33" t="n">
        <f aca="false">(Balanco_Consolidado!AE19-Balanco_Consolidado!AD19)</f>
        <v>0</v>
      </c>
      <c r="AF11" s="33" t="n">
        <f aca="false">(Balanco_Consolidado!AF19-Balanco_Consolidado!AE19)</f>
        <v>0</v>
      </c>
      <c r="AG11" s="33" t="n">
        <f aca="false">(Balanco_Consolidado!AG19-Balanco_Consolidado!AF19)</f>
        <v>0</v>
      </c>
      <c r="AH11" s="33" t="n">
        <f aca="false">(Balanco_Consolidado!AH19-Balanco_Consolidado!AG19)</f>
        <v>0</v>
      </c>
      <c r="AI11" s="33" t="n">
        <f aca="false">(Balanco_Consolidado!AI19-Balanco_Consolidado!AH19)</f>
        <v>0</v>
      </c>
      <c r="AJ11" s="33" t="n">
        <f aca="false">(Balanco_Consolidado!AJ19-Balanco_Consolidado!AI19)</f>
        <v>0</v>
      </c>
      <c r="AK11" s="33" t="n">
        <f aca="false">(Balanco_Consolidado!AK19-Balanco_Consolidado!AJ19)</f>
        <v>0</v>
      </c>
      <c r="AL11" s="33" t="n">
        <f aca="false">(Balanco_Consolidado!AL19-Balanco_Consolidado!AK19)</f>
        <v>0</v>
      </c>
      <c r="AN11" s="33" t="n">
        <f aca="false">SUMIF($C$3:$AL$3,2025,$C11:$AL11)</f>
        <v>254.400000000001</v>
      </c>
      <c r="AO11" s="33" t="n">
        <f aca="false">SUMIF($C$3:$AL$3,2026,$C11:$AL11)</f>
        <v>1747.2</v>
      </c>
      <c r="AP11" s="33" t="n">
        <f aca="false">SUMIF($C$3:$AL$3,2027,$C11:$AL11)</f>
        <v>2486.4</v>
      </c>
    </row>
    <row r="12" customFormat="false" ht="15" hidden="false" customHeight="true" outlineLevel="0" collapsed="false">
      <c r="A12" s="32" t="s">
        <v>244</v>
      </c>
      <c r="C12" s="33" t="n">
        <f aca="false">(Balanco_Consolidado!C20-Premissas!$B$27)</f>
        <v>-2508.436</v>
      </c>
      <c r="D12" s="33" t="n">
        <f aca="false">(Balanco_Consolidado!D20-Balanco_Consolidado!C20)</f>
        <v>-445.671000000002</v>
      </c>
      <c r="E12" s="33" t="n">
        <f aca="false">(Balanco_Consolidado!E20-Balanco_Consolidado!D20)</f>
        <v>1616.614</v>
      </c>
      <c r="F12" s="33" t="n">
        <f aca="false">(Balanco_Consolidado!F20-Balanco_Consolidado!E20)</f>
        <v>477.936999999998</v>
      </c>
      <c r="G12" s="33" t="n">
        <f aca="false">(Balanco_Consolidado!G20-Balanco_Consolidado!F20)</f>
        <v>239.005000000005</v>
      </c>
      <c r="H12" s="33" t="n">
        <f aca="false">(Balanco_Consolidado!H20-Balanco_Consolidado!G20)</f>
        <v>1676.40199999999</v>
      </c>
      <c r="I12" s="33" t="n">
        <f aca="false">(Balanco_Consolidado!I20-Balanco_Consolidado!H20)</f>
        <v>262.99600000001</v>
      </c>
      <c r="J12" s="33" t="n">
        <f aca="false">(Balanco_Consolidado!J20-Balanco_Consolidado!I20)</f>
        <v>-2531.79700000001</v>
      </c>
      <c r="K12" s="33" t="n">
        <f aca="false">(Balanco_Consolidado!K20-Balanco_Consolidado!J20)</f>
        <v>244.356000000003</v>
      </c>
      <c r="L12" s="33" t="n">
        <f aca="false">(Balanco_Consolidado!L20-Balanco_Consolidado!K20)</f>
        <v>1571.004</v>
      </c>
      <c r="M12" s="33" t="n">
        <f aca="false">(Balanco_Consolidado!M20-Balanco_Consolidado!L20)</f>
        <v>3386.534</v>
      </c>
      <c r="N12" s="33" t="n">
        <f aca="false">(Balanco_Consolidado!N20-Balanco_Consolidado!M20)</f>
        <v>1344.493</v>
      </c>
      <c r="O12" s="33" t="n">
        <f aca="false">(Balanco_Consolidado!O20-Balanco_Consolidado!N20)</f>
        <v>-7130.504</v>
      </c>
      <c r="P12" s="33" t="n">
        <f aca="false">(Balanco_Consolidado!P20-Balanco_Consolidado!O20)</f>
        <v>-3553</v>
      </c>
      <c r="Q12" s="33" t="n">
        <f aca="false">(Balanco_Consolidado!Q20-Balanco_Consolidado!P20)</f>
        <v>5150.07600000001</v>
      </c>
      <c r="R12" s="33" t="n">
        <f aca="false">(Balanco_Consolidado!R20-Balanco_Consolidado!Q20)</f>
        <v>-1911.57900000001</v>
      </c>
      <c r="S12" s="33" t="n">
        <f aca="false">(Balanco_Consolidado!S20-Balanco_Consolidado!R20)</f>
        <v>5347.885</v>
      </c>
      <c r="T12" s="33" t="n">
        <f aca="false">(Balanco_Consolidado!T20-Balanco_Consolidado!S20)</f>
        <v>-912.035999999996</v>
      </c>
      <c r="U12" s="33" t="n">
        <f aca="false">(Balanco_Consolidado!U20-Balanco_Consolidado!T20)</f>
        <v>1340.832</v>
      </c>
      <c r="V12" s="33" t="n">
        <f aca="false">(Balanco_Consolidado!V20-Balanco_Consolidado!U20)</f>
        <v>-1798.30200000001</v>
      </c>
      <c r="W12" s="33" t="n">
        <f aca="false">(Balanco_Consolidado!W20-Balanco_Consolidado!V20)</f>
        <v>-120.410999999996</v>
      </c>
      <c r="X12" s="33" t="n">
        <f aca="false">(Balanco_Consolidado!X20-Balanco_Consolidado!W20)</f>
        <v>-1838.882</v>
      </c>
      <c r="Y12" s="33" t="n">
        <f aca="false">(Balanco_Consolidado!Y20-Balanco_Consolidado!X20)</f>
        <v>5380.886</v>
      </c>
      <c r="Z12" s="33" t="n">
        <f aca="false">(Balanco_Consolidado!Z20-Balanco_Consolidado!Y20)</f>
        <v>1790.213</v>
      </c>
      <c r="AA12" s="33" t="n">
        <f aca="false">(Balanco_Consolidado!AA20-Balanco_Consolidado!Z20)</f>
        <v>-7304.83735111</v>
      </c>
      <c r="AB12" s="33" t="n">
        <f aca="false">(Balanco_Consolidado!AB20-Balanco_Consolidado!AA20)</f>
        <v>-4132.403949231</v>
      </c>
      <c r="AC12" s="33" t="n">
        <f aca="false">(Balanco_Consolidado!AC20-Balanco_Consolidado!AB20)</f>
        <v>5445.957558977</v>
      </c>
      <c r="AD12" s="33" t="n">
        <f aca="false">(Balanco_Consolidado!AD20-Balanco_Consolidado!AC20)</f>
        <v>-1972.675956528</v>
      </c>
      <c r="AE12" s="33" t="n">
        <f aca="false">(Balanco_Consolidado!AE20-Balanco_Consolidado!AD20)</f>
        <v>5393.72080104001</v>
      </c>
      <c r="AF12" s="33" t="n">
        <f aca="false">(Balanco_Consolidado!AF20-Balanco_Consolidado!AE20)</f>
        <v>-1097.04356130601</v>
      </c>
      <c r="AG12" s="33" t="n">
        <f aca="false">(Balanco_Consolidado!AG20-Balanco_Consolidado!AF20)</f>
        <v>1927.50463498701</v>
      </c>
      <c r="AH12" s="33" t="n">
        <f aca="false">(Balanco_Consolidado!AH20-Balanco_Consolidado!AG20)</f>
        <v>-1894.379446131</v>
      </c>
      <c r="AI12" s="33" t="n">
        <f aca="false">(Balanco_Consolidado!AI20-Balanco_Consolidado!AH20)</f>
        <v>-192.951463069006</v>
      </c>
      <c r="AJ12" s="33" t="n">
        <f aca="false">(Balanco_Consolidado!AJ20-Balanco_Consolidado!AI20)</f>
        <v>-2252.644991433</v>
      </c>
      <c r="AK12" s="33" t="n">
        <f aca="false">(Balanco_Consolidado!AK20-Balanco_Consolidado!AJ20)</f>
        <v>5734.549061497</v>
      </c>
      <c r="AL12" s="33" t="n">
        <f aca="false">(Balanco_Consolidado!AL20-Balanco_Consolidado!AK20)</f>
        <v>2086.699798342</v>
      </c>
      <c r="AN12" s="33" t="n">
        <f aca="false">SUMIF($C$3:$AL$3,2025,$C12:$AL12)</f>
        <v>5333.437</v>
      </c>
      <c r="AO12" s="33" t="n">
        <f aca="false">SUMIF($C$3:$AL$3,2026,$C12:$AL12)</f>
        <v>1745.178</v>
      </c>
      <c r="AP12" s="33" t="n">
        <f aca="false">SUMIF($C$3:$AL$3,2027,$C12:$AL12)</f>
        <v>1741.495136035</v>
      </c>
    </row>
    <row r="13" customFormat="false" ht="15" hidden="false" customHeight="true" outlineLevel="0" collapsed="false">
      <c r="A13" s="34" t="s">
        <v>245</v>
      </c>
      <c r="B13" s="35"/>
      <c r="C13" s="36" t="n">
        <f aca="false">SUM(C4:C12)</f>
        <v>-7980.56693333332</v>
      </c>
      <c r="D13" s="36" t="n">
        <f aca="false">SUM(D4:D12)</f>
        <v>13279.3235015666</v>
      </c>
      <c r="E13" s="36" t="n">
        <f aca="false">SUM(E4:E12)</f>
        <v>2652.71994216414</v>
      </c>
      <c r="F13" s="36" t="n">
        <f aca="false">SUM(F4:F12)</f>
        <v>12651.7430775577</v>
      </c>
      <c r="G13" s="36" t="n">
        <f aca="false">SUM(G4:G12)</f>
        <v>5946.28107024582</v>
      </c>
      <c r="H13" s="36" t="n">
        <f aca="false">SUM(H4:H12)</f>
        <v>17146.7580721983</v>
      </c>
      <c r="I13" s="36" t="n">
        <f aca="false">SUM(I4:I12)</f>
        <v>13170.1842330225</v>
      </c>
      <c r="J13" s="36" t="n">
        <f aca="false">SUM(J4:J12)</f>
        <v>11006.8368075528</v>
      </c>
      <c r="K13" s="36" t="n">
        <f aca="false">SUM(K4:K12)</f>
        <v>5877.23603092404</v>
      </c>
      <c r="L13" s="36" t="n">
        <f aca="false">SUM(L4:L12)</f>
        <v>8628.36603863797</v>
      </c>
      <c r="M13" s="36" t="n">
        <f aca="false">SUM(M4:M12)</f>
        <v>23638.8632141684</v>
      </c>
      <c r="N13" s="36" t="n">
        <f aca="false">SUM(N4:N12)</f>
        <v>17043.5921050076</v>
      </c>
      <c r="O13" s="36" t="n">
        <f aca="false">SUM(O4:O12)</f>
        <v>6385.74208625499</v>
      </c>
      <c r="P13" s="36" t="n">
        <f aca="false">SUM(P4:P12)</f>
        <v>8509.35880429703</v>
      </c>
      <c r="Q13" s="36" t="n">
        <f aca="false">SUM(Q4:Q12)</f>
        <v>-11020.3004093476</v>
      </c>
      <c r="R13" s="36" t="n">
        <f aca="false">SUM(R4:R12)</f>
        <v>7641.33968905472</v>
      </c>
      <c r="S13" s="36" t="n">
        <f aca="false">SUM(S4:S12)</f>
        <v>-20418.7615159248</v>
      </c>
      <c r="T13" s="36" t="n">
        <f aca="false">SUM(T4:T12)</f>
        <v>17824.680969613</v>
      </c>
      <c r="U13" s="36" t="n">
        <f aca="false">SUM(U4:U12)</f>
        <v>33972.6291094215</v>
      </c>
      <c r="V13" s="36" t="n">
        <f aca="false">SUM(V4:V12)</f>
        <v>14652.8497740253</v>
      </c>
      <c r="W13" s="36" t="n">
        <f aca="false">SUM(W4:W12)</f>
        <v>15654.2237422074</v>
      </c>
      <c r="X13" s="36" t="n">
        <f aca="false">SUM(X4:X12)</f>
        <v>-5012.75576890696</v>
      </c>
      <c r="Y13" s="36" t="n">
        <f aca="false">SUM(Y4:Y12)</f>
        <v>8723.85194457049</v>
      </c>
      <c r="Z13" s="36" t="n">
        <f aca="false">SUM(Z4:Z12)</f>
        <v>30329.4444307184</v>
      </c>
      <c r="AA13" s="36" t="n">
        <f aca="false">SUM(AA4:AA12)</f>
        <v>-4034.48532421404</v>
      </c>
      <c r="AB13" s="36" t="n">
        <f aca="false">SUM(AB4:AB12)</f>
        <v>19129.4879150555</v>
      </c>
      <c r="AC13" s="36" t="n">
        <f aca="false">SUM(AC4:AC12)</f>
        <v>-20109.634033802</v>
      </c>
      <c r="AD13" s="36" t="n">
        <f aca="false">SUM(AD4:AD12)</f>
        <v>9765.38415103611</v>
      </c>
      <c r="AE13" s="36" t="n">
        <f aca="false">SUM(AE4:AE12)</f>
        <v>-25782.7214497825</v>
      </c>
      <c r="AF13" s="36" t="n">
        <f aca="false">SUM(AF4:AF12)</f>
        <v>22006.7005993308</v>
      </c>
      <c r="AG13" s="36" t="n">
        <f aca="false">SUM(AG4:AG12)</f>
        <v>22248.6419893821</v>
      </c>
      <c r="AH13" s="36" t="n">
        <f aca="false">SUM(AH4:AH12)</f>
        <v>13744.0236714524</v>
      </c>
      <c r="AI13" s="36" t="n">
        <f aca="false">SUM(AI4:AI12)</f>
        <v>15180.0277127413</v>
      </c>
      <c r="AJ13" s="36" t="n">
        <f aca="false">SUM(AJ4:AJ12)</f>
        <v>6081.00836173116</v>
      </c>
      <c r="AK13" s="36" t="n">
        <f aca="false">SUM(AK4:AK12)</f>
        <v>797.083185452965</v>
      </c>
      <c r="AL13" s="36" t="n">
        <f aca="false">SUM(AL4:AL12)</f>
        <v>22434.7358480265</v>
      </c>
      <c r="AM13" s="35"/>
      <c r="AN13" s="36" t="n">
        <f aca="false">SUMIF($C$3:$AL$3,2025,$C13:$AL13)</f>
        <v>123061.337159713</v>
      </c>
      <c r="AO13" s="36" t="n">
        <f aca="false">SUMIF($C$3:$AL$3,2026,$C13:$AL13)</f>
        <v>107242.302855984</v>
      </c>
      <c r="AP13" s="36" t="n">
        <f aca="false">SUMIF($C$3:$AL$3,2027,$C13:$AL13)</f>
        <v>81460.2526264103</v>
      </c>
    </row>
    <row r="14" customFormat="false" ht="15" hidden="false" customHeight="true" outlineLevel="0" collapsed="false">
      <c r="A14" s="32" t="s">
        <v>246</v>
      </c>
      <c r="C14" s="33" t="n">
        <f aca="false">-Cronogramas!C5</f>
        <v>-2623.7346</v>
      </c>
      <c r="D14" s="33" t="n">
        <f aca="false">-Cronogramas!D5</f>
        <v>-2556.88395</v>
      </c>
      <c r="E14" s="33" t="n">
        <f aca="false">-Cronogramas!E5</f>
        <v>-2799.37605</v>
      </c>
      <c r="F14" s="33" t="n">
        <f aca="false">-Cronogramas!F5</f>
        <v>-2871.0666</v>
      </c>
      <c r="G14" s="33" t="n">
        <f aca="false">-Cronogramas!G5</f>
        <v>-2906.91735</v>
      </c>
      <c r="H14" s="33" t="n">
        <f aca="false">-Cronogramas!H5</f>
        <v>-33158.37765</v>
      </c>
      <c r="I14" s="33" t="n">
        <f aca="false">-Cronogramas!I5</f>
        <v>-33197.82705</v>
      </c>
      <c r="J14" s="33" t="n">
        <f aca="false">-Cronogramas!J5</f>
        <v>-32818.0575</v>
      </c>
      <c r="K14" s="33" t="n">
        <f aca="false">-Cronogramas!K5</f>
        <v>-2854.7109</v>
      </c>
      <c r="L14" s="33" t="n">
        <f aca="false">-Cronogramas!L5</f>
        <v>-3090.3615</v>
      </c>
      <c r="M14" s="33" t="n">
        <f aca="false">-Cronogramas!M5</f>
        <v>-3598.3416</v>
      </c>
      <c r="N14" s="33" t="n">
        <f aca="false">-Cronogramas!N5</f>
        <v>-3800.01555</v>
      </c>
      <c r="O14" s="33" t="n">
        <f aca="false">-Cronogramas!O5</f>
        <v>-2730.43995</v>
      </c>
      <c r="P14" s="33" t="n">
        <f aca="false">-Cronogramas!P5</f>
        <v>-2197.48995</v>
      </c>
      <c r="Q14" s="33" t="n">
        <f aca="false">-Cronogramas!Q5</f>
        <v>-2970.00135</v>
      </c>
      <c r="R14" s="33" t="n">
        <f aca="false">-Cronogramas!R5</f>
        <v>-2683.2645</v>
      </c>
      <c r="S14" s="33" t="n">
        <f aca="false">-Cronogramas!S5</f>
        <v>-3485.44725</v>
      </c>
      <c r="T14" s="33" t="n">
        <f aca="false">-Cronogramas!T5</f>
        <v>-3348.64185</v>
      </c>
      <c r="U14" s="33" t="n">
        <f aca="false">-Cronogramas!U5</f>
        <v>-3549.76665</v>
      </c>
      <c r="V14" s="33" t="n">
        <f aca="false">-Cronogramas!V5</f>
        <v>-3280.02135</v>
      </c>
      <c r="W14" s="33" t="n">
        <f aca="false">-Cronogramas!W5</f>
        <v>-3261.9597</v>
      </c>
      <c r="X14" s="33" t="n">
        <f aca="false">-Cronogramas!X5</f>
        <v>-2986.1274</v>
      </c>
      <c r="Y14" s="33" t="n">
        <f aca="false">-Cronogramas!Y5</f>
        <v>-3793.2603</v>
      </c>
      <c r="Z14" s="33" t="n">
        <f aca="false">-Cronogramas!Z5</f>
        <v>-4061.79225</v>
      </c>
      <c r="AA14" s="33" t="n">
        <f aca="false">-Cronogramas!AA5</f>
        <v>-2966.0666473335</v>
      </c>
      <c r="AB14" s="33" t="n">
        <f aca="false">-Cronogramas!AB5</f>
        <v>-2346.20605494885</v>
      </c>
      <c r="AC14" s="33" t="n">
        <f aca="false">-Cronogramas!AC5</f>
        <v>-3163.0996887954</v>
      </c>
      <c r="AD14" s="33" t="n">
        <f aca="false">-Cronogramas!AD5</f>
        <v>-2867.1982953162</v>
      </c>
      <c r="AE14" s="33" t="n">
        <f aca="false">-Cronogramas!AE5</f>
        <v>-3676.2564154722</v>
      </c>
      <c r="AF14" s="33" t="n">
        <f aca="false">-Cronogramas!AF5</f>
        <v>-3511.6998812763</v>
      </c>
      <c r="AG14" s="33" t="n">
        <f aca="false">-Cronogramas!AG5</f>
        <v>-3800.82557652435</v>
      </c>
      <c r="AH14" s="33" t="n">
        <f aca="false">-Cronogramas!AH5</f>
        <v>-3516.6686596047</v>
      </c>
      <c r="AI14" s="33" t="n">
        <f aca="false">-Cronogramas!AI5</f>
        <v>-3487.72594014435</v>
      </c>
      <c r="AJ14" s="33" t="n">
        <f aca="false">-Cronogramas!AJ5</f>
        <v>-3149.8291914294</v>
      </c>
      <c r="AK14" s="33" t="n">
        <f aca="false">-Cronogramas!AK5</f>
        <v>-4010.01155065395</v>
      </c>
      <c r="AL14" s="33" t="n">
        <f aca="false">-Cronogramas!AL5</f>
        <v>-4323.01652040525</v>
      </c>
      <c r="AN14" s="33" t="n">
        <f aca="false">SUMIF($C$3:$AL$3,2025,$C14:$AL14)</f>
        <v>-126275.6703</v>
      </c>
      <c r="AO14" s="33" t="n">
        <f aca="false">SUMIF($C$3:$AL$3,2026,$C14:$AL14)</f>
        <v>-38348.2125</v>
      </c>
      <c r="AP14" s="33" t="n">
        <f aca="false">SUMIF($C$3:$AL$3,2027,$C14:$AL14)</f>
        <v>-40818.6044219045</v>
      </c>
    </row>
    <row r="15" customFormat="false" ht="15" hidden="false" customHeight="true" outlineLevel="0" collapsed="false">
      <c r="A15" s="34" t="s">
        <v>247</v>
      </c>
      <c r="B15" s="35"/>
      <c r="C15" s="36" t="n">
        <f aca="false">C14</f>
        <v>-2623.7346</v>
      </c>
      <c r="D15" s="36" t="n">
        <f aca="false">D14</f>
        <v>-2556.88395</v>
      </c>
      <c r="E15" s="36" t="n">
        <f aca="false">E14</f>
        <v>-2799.37605</v>
      </c>
      <c r="F15" s="36" t="n">
        <f aca="false">F14</f>
        <v>-2871.0666</v>
      </c>
      <c r="G15" s="36" t="n">
        <f aca="false">G14</f>
        <v>-2906.91735</v>
      </c>
      <c r="H15" s="36" t="n">
        <f aca="false">H14</f>
        <v>-33158.37765</v>
      </c>
      <c r="I15" s="36" t="n">
        <f aca="false">I14</f>
        <v>-33197.82705</v>
      </c>
      <c r="J15" s="36" t="n">
        <f aca="false">J14</f>
        <v>-32818.0575</v>
      </c>
      <c r="K15" s="36" t="n">
        <f aca="false">K14</f>
        <v>-2854.7109</v>
      </c>
      <c r="L15" s="36" t="n">
        <f aca="false">L14</f>
        <v>-3090.3615</v>
      </c>
      <c r="M15" s="36" t="n">
        <f aca="false">M14</f>
        <v>-3598.3416</v>
      </c>
      <c r="N15" s="36" t="n">
        <f aca="false">N14</f>
        <v>-3800.01555</v>
      </c>
      <c r="O15" s="36" t="n">
        <f aca="false">O14</f>
        <v>-2730.43995</v>
      </c>
      <c r="P15" s="36" t="n">
        <f aca="false">P14</f>
        <v>-2197.48995</v>
      </c>
      <c r="Q15" s="36" t="n">
        <f aca="false">Q14</f>
        <v>-2970.00135</v>
      </c>
      <c r="R15" s="36" t="n">
        <f aca="false">R14</f>
        <v>-2683.2645</v>
      </c>
      <c r="S15" s="36" t="n">
        <f aca="false">S14</f>
        <v>-3485.44725</v>
      </c>
      <c r="T15" s="36" t="n">
        <f aca="false">T14</f>
        <v>-3348.64185</v>
      </c>
      <c r="U15" s="36" t="n">
        <f aca="false">U14</f>
        <v>-3549.76665</v>
      </c>
      <c r="V15" s="36" t="n">
        <f aca="false">V14</f>
        <v>-3280.02135</v>
      </c>
      <c r="W15" s="36" t="n">
        <f aca="false">W14</f>
        <v>-3261.9597</v>
      </c>
      <c r="X15" s="36" t="n">
        <f aca="false">X14</f>
        <v>-2986.1274</v>
      </c>
      <c r="Y15" s="36" t="n">
        <f aca="false">Y14</f>
        <v>-3793.2603</v>
      </c>
      <c r="Z15" s="36" t="n">
        <f aca="false">Z14</f>
        <v>-4061.79225</v>
      </c>
      <c r="AA15" s="36" t="n">
        <f aca="false">AA14</f>
        <v>-2966.0666473335</v>
      </c>
      <c r="AB15" s="36" t="n">
        <f aca="false">AB14</f>
        <v>-2346.20605494885</v>
      </c>
      <c r="AC15" s="36" t="n">
        <f aca="false">AC14</f>
        <v>-3163.0996887954</v>
      </c>
      <c r="AD15" s="36" t="n">
        <f aca="false">AD14</f>
        <v>-2867.1982953162</v>
      </c>
      <c r="AE15" s="36" t="n">
        <f aca="false">AE14</f>
        <v>-3676.2564154722</v>
      </c>
      <c r="AF15" s="36" t="n">
        <f aca="false">AF14</f>
        <v>-3511.6998812763</v>
      </c>
      <c r="AG15" s="36" t="n">
        <f aca="false">AG14</f>
        <v>-3800.82557652435</v>
      </c>
      <c r="AH15" s="36" t="n">
        <f aca="false">AH14</f>
        <v>-3516.6686596047</v>
      </c>
      <c r="AI15" s="36" t="n">
        <f aca="false">AI14</f>
        <v>-3487.72594014435</v>
      </c>
      <c r="AJ15" s="36" t="n">
        <f aca="false">AJ14</f>
        <v>-3149.8291914294</v>
      </c>
      <c r="AK15" s="36" t="n">
        <f aca="false">AK14</f>
        <v>-4010.01155065395</v>
      </c>
      <c r="AL15" s="36" t="n">
        <f aca="false">AL14</f>
        <v>-4323.01652040525</v>
      </c>
      <c r="AM15" s="35"/>
      <c r="AN15" s="36" t="n">
        <f aca="false">SUMIF($C$3:$AL$3,2025,$C15:$AL15)</f>
        <v>-126275.6703</v>
      </c>
      <c r="AO15" s="36" t="n">
        <f aca="false">SUMIF($C$3:$AL$3,2026,$C15:$AL15)</f>
        <v>-38348.2125</v>
      </c>
      <c r="AP15" s="36" t="n">
        <f aca="false">SUMIF($C$3:$AL$3,2027,$C15:$AL15)</f>
        <v>-40818.6044219045</v>
      </c>
    </row>
    <row r="16" customFormat="false" ht="15" hidden="false" customHeight="true" outlineLevel="0" collapsed="false">
      <c r="A16" s="32" t="s">
        <v>248</v>
      </c>
      <c r="C16" s="33" t="n">
        <f aca="false">(Cronogramas!C18-(Premissas!$B$28+Premissas!$B$29))</f>
        <v>-5000</v>
      </c>
      <c r="D16" s="33" t="n">
        <f aca="false">(Cronogramas!D18-Cronogramas!C18)</f>
        <v>-5000</v>
      </c>
      <c r="E16" s="33" t="n">
        <f aca="false">(Cronogramas!E18-Cronogramas!D18)</f>
        <v>-5000</v>
      </c>
      <c r="F16" s="33" t="n">
        <f aca="false">(Cronogramas!F18-Cronogramas!E18)</f>
        <v>-5000</v>
      </c>
      <c r="G16" s="33" t="n">
        <f aca="false">(Cronogramas!G18-Cronogramas!F18)</f>
        <v>-5000</v>
      </c>
      <c r="H16" s="33" t="n">
        <f aca="false">(Cronogramas!H18-Cronogramas!G18)</f>
        <v>-5000</v>
      </c>
      <c r="I16" s="33" t="n">
        <f aca="false">(Cronogramas!I18-Cronogramas!H18)</f>
        <v>-5000</v>
      </c>
      <c r="J16" s="33" t="n">
        <f aca="false">(Cronogramas!J18-Cronogramas!I18)</f>
        <v>-5000</v>
      </c>
      <c r="K16" s="33" t="n">
        <f aca="false">(Cronogramas!K18-Cronogramas!J18)</f>
        <v>-5000</v>
      </c>
      <c r="L16" s="33" t="n">
        <f aca="false">(Cronogramas!L18-Cronogramas!K18)</f>
        <v>-5000</v>
      </c>
      <c r="M16" s="33" t="n">
        <f aca="false">(Cronogramas!M18-Cronogramas!L18)</f>
        <v>-5000</v>
      </c>
      <c r="N16" s="33" t="n">
        <f aca="false">(Cronogramas!N18-Cronogramas!M18)</f>
        <v>-5000</v>
      </c>
      <c r="O16" s="33" t="n">
        <f aca="false">(Cronogramas!O18-Cronogramas!N18)</f>
        <v>35000</v>
      </c>
      <c r="P16" s="33" t="n">
        <f aca="false">(Cronogramas!P18-Cronogramas!O18)</f>
        <v>-5000</v>
      </c>
      <c r="Q16" s="33" t="n">
        <f aca="false">(Cronogramas!Q18-Cronogramas!P18)</f>
        <v>-5000</v>
      </c>
      <c r="R16" s="33" t="n">
        <f aca="false">(Cronogramas!R18-Cronogramas!Q18)</f>
        <v>-5000</v>
      </c>
      <c r="S16" s="33" t="n">
        <f aca="false">(Cronogramas!S18-Cronogramas!R18)</f>
        <v>-5000</v>
      </c>
      <c r="T16" s="33" t="n">
        <f aca="false">(Cronogramas!T18-Cronogramas!S18)</f>
        <v>-5000</v>
      </c>
      <c r="U16" s="33" t="n">
        <f aca="false">(Cronogramas!U18-Cronogramas!T18)</f>
        <v>75000</v>
      </c>
      <c r="V16" s="33" t="n">
        <f aca="false">(Cronogramas!V18-Cronogramas!U18)</f>
        <v>-5000</v>
      </c>
      <c r="W16" s="33" t="n">
        <f aca="false">(Cronogramas!W18-Cronogramas!V18)</f>
        <v>-5000</v>
      </c>
      <c r="X16" s="33" t="n">
        <f aca="false">(Cronogramas!X18-Cronogramas!W18)</f>
        <v>-5000</v>
      </c>
      <c r="Y16" s="33" t="n">
        <f aca="false">(Cronogramas!Y18-Cronogramas!X18)</f>
        <v>-5000</v>
      </c>
      <c r="Z16" s="33" t="n">
        <f aca="false">(Cronogramas!Z18-Cronogramas!Y18)</f>
        <v>-5000</v>
      </c>
      <c r="AA16" s="33" t="n">
        <f aca="false">(Cronogramas!AA18-Cronogramas!Z18)</f>
        <v>-5000</v>
      </c>
      <c r="AB16" s="33" t="n">
        <f aca="false">(Cronogramas!AB18-Cronogramas!AA18)</f>
        <v>-15000</v>
      </c>
      <c r="AC16" s="33" t="n">
        <f aca="false">(Cronogramas!AC18-Cronogramas!AB18)</f>
        <v>-15000</v>
      </c>
      <c r="AD16" s="33" t="n">
        <f aca="false">(Cronogramas!AD18-Cronogramas!AC18)</f>
        <v>-15000</v>
      </c>
      <c r="AE16" s="33" t="n">
        <f aca="false">(Cronogramas!AE18-Cronogramas!AD18)</f>
        <v>-15000</v>
      </c>
      <c r="AF16" s="33" t="n">
        <f aca="false">(Cronogramas!AF18-Cronogramas!AE18)</f>
        <v>-15000</v>
      </c>
      <c r="AG16" s="33" t="n">
        <f aca="false">(Cronogramas!AG18-Cronogramas!AF18)</f>
        <v>-15000</v>
      </c>
      <c r="AH16" s="33" t="n">
        <f aca="false">(Cronogramas!AH18-Cronogramas!AG18)</f>
        <v>-5000</v>
      </c>
      <c r="AI16" s="33" t="n">
        <f aca="false">(Cronogramas!AI18-Cronogramas!AH18)</f>
        <v>-10000</v>
      </c>
      <c r="AJ16" s="33" t="n">
        <f aca="false">(Cronogramas!AJ18-Cronogramas!AI18)</f>
        <v>-10000</v>
      </c>
      <c r="AK16" s="33" t="n">
        <f aca="false">(Cronogramas!AK18-Cronogramas!AJ18)</f>
        <v>-10000</v>
      </c>
      <c r="AL16" s="33" t="n">
        <f aca="false">(Cronogramas!AL18-Cronogramas!AK18)</f>
        <v>-10000</v>
      </c>
      <c r="AN16" s="33" t="n">
        <f aca="false">SUMIF($C$3:$AL$3,2025,$C16:$AL16)</f>
        <v>-60000</v>
      </c>
      <c r="AO16" s="33" t="n">
        <f aca="false">SUMIF($C$3:$AL$3,2026,$C16:$AL16)</f>
        <v>60000</v>
      </c>
      <c r="AP16" s="33" t="n">
        <f aca="false">SUMIF($C$3:$AL$3,2027,$C16:$AL16)</f>
        <v>-140000</v>
      </c>
    </row>
    <row r="17" customFormat="false" ht="15" hidden="false" customHeight="true" outlineLevel="0" collapsed="false">
      <c r="A17" s="32" t="s">
        <v>249</v>
      </c>
      <c r="C17" s="33" t="n">
        <f aca="false">-Balanco_Consolidado!C24</f>
        <v>-0</v>
      </c>
      <c r="D17" s="33" t="n">
        <f aca="false">-Balanco_Consolidado!D24</f>
        <v>-0</v>
      </c>
      <c r="E17" s="33" t="n">
        <f aca="false">-Balanco_Consolidado!E24</f>
        <v>-0</v>
      </c>
      <c r="F17" s="33" t="n">
        <f aca="false">-Balanco_Consolidado!F24</f>
        <v>-0</v>
      </c>
      <c r="G17" s="33" t="n">
        <f aca="false">-Balanco_Consolidado!G24</f>
        <v>-0</v>
      </c>
      <c r="H17" s="33" t="n">
        <f aca="false">-Balanco_Consolidado!H24</f>
        <v>-0</v>
      </c>
      <c r="I17" s="33" t="n">
        <f aca="false">-Balanco_Consolidado!I24</f>
        <v>-0</v>
      </c>
      <c r="J17" s="33" t="n">
        <f aca="false">-Balanco_Consolidado!J24</f>
        <v>-0</v>
      </c>
      <c r="K17" s="33" t="n">
        <f aca="false">-Balanco_Consolidado!K24</f>
        <v>-0</v>
      </c>
      <c r="L17" s="33" t="n">
        <f aca="false">-Balanco_Consolidado!L24</f>
        <v>-0</v>
      </c>
      <c r="M17" s="33" t="n">
        <f aca="false">-Balanco_Consolidado!M24</f>
        <v>-0</v>
      </c>
      <c r="N17" s="33" t="n">
        <f aca="false">-Balanco_Consolidado!N24</f>
        <v>-0</v>
      </c>
      <c r="O17" s="33" t="n">
        <f aca="false">-Balanco_Consolidado!O24</f>
        <v>-0</v>
      </c>
      <c r="P17" s="33" t="n">
        <f aca="false">-Balanco_Consolidado!P24</f>
        <v>-0</v>
      </c>
      <c r="Q17" s="33" t="n">
        <f aca="false">-Balanco_Consolidado!Q24</f>
        <v>-0</v>
      </c>
      <c r="R17" s="33" t="n">
        <f aca="false">-Balanco_Consolidado!R24</f>
        <v>-26008.7130493941</v>
      </c>
      <c r="S17" s="33" t="n">
        <f aca="false">-Balanco_Consolidado!S24</f>
        <v>-0</v>
      </c>
      <c r="T17" s="33" t="n">
        <f aca="false">-Balanco_Consolidado!T24</f>
        <v>-0</v>
      </c>
      <c r="U17" s="33" t="n">
        <f aca="false">-Balanco_Consolidado!U24</f>
        <v>-0</v>
      </c>
      <c r="V17" s="33" t="n">
        <f aca="false">-Balanco_Consolidado!V24</f>
        <v>-0</v>
      </c>
      <c r="W17" s="33" t="n">
        <f aca="false">-Balanco_Consolidado!W24</f>
        <v>-0</v>
      </c>
      <c r="X17" s="33" t="n">
        <f aca="false">-Balanco_Consolidado!X24</f>
        <v>-0</v>
      </c>
      <c r="Y17" s="33" t="n">
        <f aca="false">-Balanco_Consolidado!Y24</f>
        <v>-0</v>
      </c>
      <c r="Z17" s="33" t="n">
        <f aca="false">-Balanco_Consolidado!Z24</f>
        <v>-0</v>
      </c>
      <c r="AA17" s="33" t="n">
        <f aca="false">-Balanco_Consolidado!AA24</f>
        <v>-0</v>
      </c>
      <c r="AB17" s="33" t="n">
        <f aca="false">-Balanco_Consolidado!AB24</f>
        <v>-0</v>
      </c>
      <c r="AC17" s="33" t="n">
        <f aca="false">-Balanco_Consolidado!AC24</f>
        <v>-0</v>
      </c>
      <c r="AD17" s="33" t="n">
        <f aca="false">-Balanco_Consolidado!AD24</f>
        <v>-17294.450505527</v>
      </c>
      <c r="AE17" s="33" t="n">
        <f aca="false">-Balanco_Consolidado!AE24</f>
        <v>-0</v>
      </c>
      <c r="AF17" s="33" t="n">
        <f aca="false">-Balanco_Consolidado!AF24</f>
        <v>-0</v>
      </c>
      <c r="AG17" s="33" t="n">
        <f aca="false">-Balanco_Consolidado!AG24</f>
        <v>-0</v>
      </c>
      <c r="AH17" s="33" t="n">
        <f aca="false">-Balanco_Consolidado!AH24</f>
        <v>-0</v>
      </c>
      <c r="AI17" s="33" t="n">
        <f aca="false">-Balanco_Consolidado!AI24</f>
        <v>-0</v>
      </c>
      <c r="AJ17" s="33" t="n">
        <f aca="false">-Balanco_Consolidado!AJ24</f>
        <v>-0</v>
      </c>
      <c r="AK17" s="33" t="n">
        <f aca="false">-Balanco_Consolidado!AK24</f>
        <v>-0</v>
      </c>
      <c r="AL17" s="33" t="n">
        <f aca="false">-Balanco_Consolidado!AL24</f>
        <v>-0</v>
      </c>
      <c r="AN17" s="33" t="n">
        <f aca="false">SUMIF($C$3:$AL$3,2025,$C17:$AL17)</f>
        <v>0</v>
      </c>
      <c r="AO17" s="33" t="n">
        <f aca="false">SUMIF($C$3:$AL$3,2026,$C17:$AL17)</f>
        <v>-26008.7130493941</v>
      </c>
      <c r="AP17" s="33" t="n">
        <f aca="false">SUMIF($C$3:$AL$3,2027,$C17:$AL17)</f>
        <v>-17294.450505527</v>
      </c>
    </row>
    <row r="18" customFormat="false" ht="15" hidden="false" customHeight="true" outlineLevel="0" collapsed="false">
      <c r="A18" s="34" t="s">
        <v>250</v>
      </c>
      <c r="B18" s="35"/>
      <c r="C18" s="36" t="n">
        <f aca="false">C16+C17</f>
        <v>-5000</v>
      </c>
      <c r="D18" s="36" t="n">
        <f aca="false">D16+D17</f>
        <v>-5000</v>
      </c>
      <c r="E18" s="36" t="n">
        <f aca="false">E16+E17</f>
        <v>-5000</v>
      </c>
      <c r="F18" s="36" t="n">
        <f aca="false">F16+F17</f>
        <v>-5000</v>
      </c>
      <c r="G18" s="36" t="n">
        <f aca="false">G16+G17</f>
        <v>-5000</v>
      </c>
      <c r="H18" s="36" t="n">
        <f aca="false">H16+H17</f>
        <v>-5000</v>
      </c>
      <c r="I18" s="36" t="n">
        <f aca="false">I16+I17</f>
        <v>-5000</v>
      </c>
      <c r="J18" s="36" t="n">
        <f aca="false">J16+J17</f>
        <v>-5000</v>
      </c>
      <c r="K18" s="36" t="n">
        <f aca="false">K16+K17</f>
        <v>-5000</v>
      </c>
      <c r="L18" s="36" t="n">
        <f aca="false">L16+L17</f>
        <v>-5000</v>
      </c>
      <c r="M18" s="36" t="n">
        <f aca="false">M16+M17</f>
        <v>-5000</v>
      </c>
      <c r="N18" s="36" t="n">
        <f aca="false">N16+N17</f>
        <v>-5000</v>
      </c>
      <c r="O18" s="36" t="n">
        <f aca="false">O16+O17</f>
        <v>35000</v>
      </c>
      <c r="P18" s="36" t="n">
        <f aca="false">P16+P17</f>
        <v>-5000</v>
      </c>
      <c r="Q18" s="36" t="n">
        <f aca="false">Q16+Q17</f>
        <v>-5000</v>
      </c>
      <c r="R18" s="36" t="n">
        <f aca="false">R16+R17</f>
        <v>-31008.7130493941</v>
      </c>
      <c r="S18" s="36" t="n">
        <f aca="false">S16+S17</f>
        <v>-5000</v>
      </c>
      <c r="T18" s="36" t="n">
        <f aca="false">T16+T17</f>
        <v>-5000</v>
      </c>
      <c r="U18" s="36" t="n">
        <f aca="false">U16+U17</f>
        <v>75000</v>
      </c>
      <c r="V18" s="36" t="n">
        <f aca="false">V16+V17</f>
        <v>-5000</v>
      </c>
      <c r="W18" s="36" t="n">
        <f aca="false">W16+W17</f>
        <v>-5000</v>
      </c>
      <c r="X18" s="36" t="n">
        <f aca="false">X16+X17</f>
        <v>-5000</v>
      </c>
      <c r="Y18" s="36" t="n">
        <f aca="false">Y16+Y17</f>
        <v>-5000</v>
      </c>
      <c r="Z18" s="36" t="n">
        <f aca="false">Z16+Z17</f>
        <v>-5000</v>
      </c>
      <c r="AA18" s="36" t="n">
        <f aca="false">AA16+AA17</f>
        <v>-5000</v>
      </c>
      <c r="AB18" s="36" t="n">
        <f aca="false">AB16+AB17</f>
        <v>-15000</v>
      </c>
      <c r="AC18" s="36" t="n">
        <f aca="false">AC16+AC17</f>
        <v>-15000</v>
      </c>
      <c r="AD18" s="36" t="n">
        <f aca="false">AD16+AD17</f>
        <v>-32294.450505527</v>
      </c>
      <c r="AE18" s="36" t="n">
        <f aca="false">AE16+AE17</f>
        <v>-15000</v>
      </c>
      <c r="AF18" s="36" t="n">
        <f aca="false">AF16+AF17</f>
        <v>-15000</v>
      </c>
      <c r="AG18" s="36" t="n">
        <f aca="false">AG16+AG17</f>
        <v>-15000</v>
      </c>
      <c r="AH18" s="36" t="n">
        <f aca="false">AH16+AH17</f>
        <v>-5000</v>
      </c>
      <c r="AI18" s="36" t="n">
        <f aca="false">AI16+AI17</f>
        <v>-10000</v>
      </c>
      <c r="AJ18" s="36" t="n">
        <f aca="false">AJ16+AJ17</f>
        <v>-10000</v>
      </c>
      <c r="AK18" s="36" t="n">
        <f aca="false">AK16+AK17</f>
        <v>-10000</v>
      </c>
      <c r="AL18" s="36" t="n">
        <f aca="false">AL16+AL17</f>
        <v>-10000</v>
      </c>
      <c r="AM18" s="35"/>
      <c r="AN18" s="36" t="n">
        <f aca="false">SUMIF($C$3:$AL$3,2025,$C18:$AL18)</f>
        <v>-60000</v>
      </c>
      <c r="AO18" s="36" t="n">
        <f aca="false">SUMIF($C$3:$AL$3,2026,$C18:$AL18)</f>
        <v>33991.286950606</v>
      </c>
      <c r="AP18" s="36" t="n">
        <f aca="false">SUMIF($C$3:$AL$3,2027,$C18:$AL18)</f>
        <v>-157294.450505527</v>
      </c>
    </row>
    <row r="19" customFormat="false" ht="15" hidden="false" customHeight="true" outlineLevel="0" collapsed="false">
      <c r="A19" s="16" t="s">
        <v>251</v>
      </c>
      <c r="B19" s="17"/>
      <c r="C19" s="31" t="n">
        <f aca="false">C13+C15+C18</f>
        <v>-15604.3015333333</v>
      </c>
      <c r="D19" s="31" t="n">
        <f aca="false">D13+D15+D18</f>
        <v>5722.43955156664</v>
      </c>
      <c r="E19" s="31" t="n">
        <f aca="false">E13+E15+E18</f>
        <v>-5146.65610783586</v>
      </c>
      <c r="F19" s="31" t="n">
        <f aca="false">F13+F15+F18</f>
        <v>4780.67647755774</v>
      </c>
      <c r="G19" s="31" t="n">
        <f aca="false">G13+G15+G18</f>
        <v>-1960.63627975419</v>
      </c>
      <c r="H19" s="31" t="n">
        <f aca="false">H13+H15+H18</f>
        <v>-21011.6195778017</v>
      </c>
      <c r="I19" s="31" t="n">
        <f aca="false">I13+I15+I18</f>
        <v>-25027.6428169775</v>
      </c>
      <c r="J19" s="31" t="n">
        <f aca="false">J13+J15+J18</f>
        <v>-26811.2206924472</v>
      </c>
      <c r="K19" s="31" t="n">
        <f aca="false">K13+K15+K18</f>
        <v>-1977.47486907596</v>
      </c>
      <c r="L19" s="31" t="n">
        <f aca="false">L13+L15+L18</f>
        <v>538.004538637971</v>
      </c>
      <c r="M19" s="31" t="n">
        <f aca="false">M13+M15+M18</f>
        <v>15040.5216141684</v>
      </c>
      <c r="N19" s="31" t="n">
        <f aca="false">N13+N15+N18</f>
        <v>8243.57655500759</v>
      </c>
      <c r="O19" s="31" t="n">
        <f aca="false">O13+O15+O18</f>
        <v>38655.302136255</v>
      </c>
      <c r="P19" s="31" t="n">
        <f aca="false">P13+P15+P18</f>
        <v>1311.86885429703</v>
      </c>
      <c r="Q19" s="31" t="n">
        <f aca="false">Q13+Q15+Q18</f>
        <v>-18990.3017593476</v>
      </c>
      <c r="R19" s="31" t="n">
        <f aca="false">R13+R15+R18</f>
        <v>-26050.6378603393</v>
      </c>
      <c r="S19" s="31" t="n">
        <f aca="false">S13+S15+S18</f>
        <v>-28904.2087659248</v>
      </c>
      <c r="T19" s="31" t="n">
        <f aca="false">T13+T15+T18</f>
        <v>9476.039119613</v>
      </c>
      <c r="U19" s="31" t="n">
        <f aca="false">U13+U15+U18</f>
        <v>105422.862459422</v>
      </c>
      <c r="V19" s="31" t="n">
        <f aca="false">V13+V15+V18</f>
        <v>6372.82842402532</v>
      </c>
      <c r="W19" s="31" t="n">
        <f aca="false">W13+W15+W18</f>
        <v>7392.2640422074</v>
      </c>
      <c r="X19" s="31" t="n">
        <f aca="false">X13+X15+X18</f>
        <v>-12998.883168907</v>
      </c>
      <c r="Y19" s="31" t="n">
        <f aca="false">Y13+Y15+Y18</f>
        <v>-69.4083554295085</v>
      </c>
      <c r="Z19" s="31" t="n">
        <f aca="false">Z13+Z15+Z18</f>
        <v>21267.6521807184</v>
      </c>
      <c r="AA19" s="31" t="n">
        <f aca="false">AA13+AA15+AA18</f>
        <v>-12000.5519715475</v>
      </c>
      <c r="AB19" s="31" t="n">
        <f aca="false">AB13+AB15+AB18</f>
        <v>1783.28186010661</v>
      </c>
      <c r="AC19" s="31" t="n">
        <f aca="false">AC13+AC15+AC18</f>
        <v>-38272.7337225974</v>
      </c>
      <c r="AD19" s="31" t="n">
        <f aca="false">AD13+AD15+AD18</f>
        <v>-25396.2646498071</v>
      </c>
      <c r="AE19" s="31" t="n">
        <f aca="false">AE13+AE15+AE18</f>
        <v>-44458.9778652547</v>
      </c>
      <c r="AF19" s="31" t="n">
        <f aca="false">AF13+AF15+AF18</f>
        <v>3495.0007180545</v>
      </c>
      <c r="AG19" s="31" t="n">
        <f aca="false">AG13+AG15+AG18</f>
        <v>3447.81641285776</v>
      </c>
      <c r="AH19" s="31" t="n">
        <f aca="false">AH13+AH15+AH18</f>
        <v>5227.3550118477</v>
      </c>
      <c r="AI19" s="31" t="n">
        <f aca="false">AI13+AI15+AI18</f>
        <v>1692.30177259698</v>
      </c>
      <c r="AJ19" s="31" t="n">
        <f aca="false">AJ13+AJ15+AJ18</f>
        <v>-7068.82082969824</v>
      </c>
      <c r="AK19" s="31" t="n">
        <f aca="false">AK13+AK15+AK18</f>
        <v>-13212.928365201</v>
      </c>
      <c r="AL19" s="31" t="n">
        <f aca="false">AL13+AL15+AL18</f>
        <v>8111.7193276212</v>
      </c>
      <c r="AM19" s="17"/>
      <c r="AN19" s="31" t="n">
        <f aca="false">SUMIF($C$3:$AL$3,2025,$C19:$AL19)</f>
        <v>-63214.3331402875</v>
      </c>
      <c r="AO19" s="31" t="n">
        <f aca="false">SUMIF($C$3:$AL$3,2026,$C19:$AL19)</f>
        <v>102885.377306589</v>
      </c>
      <c r="AP19" s="31" t="n">
        <f aca="false">SUMIF($C$3:$AL$3,2027,$C19:$AL19)</f>
        <v>-116652.802301021</v>
      </c>
    </row>
    <row r="20" customFormat="false" ht="15" hidden="false" customHeight="true" outlineLevel="0" collapsed="false">
      <c r="A20" s="32" t="s">
        <v>252</v>
      </c>
      <c r="C20" s="33" t="n">
        <f aca="false">Premissas!$B$35</f>
        <v>464000</v>
      </c>
      <c r="D20" s="33" t="n">
        <f aca="false">C21</f>
        <v>448395.698466667</v>
      </c>
      <c r="E20" s="33" t="n">
        <f aca="false">D21</f>
        <v>454118.138018233</v>
      </c>
      <c r="F20" s="33" t="n">
        <f aca="false">E21</f>
        <v>448971.481910398</v>
      </c>
      <c r="G20" s="33" t="n">
        <f aca="false">F21</f>
        <v>453752.158387955</v>
      </c>
      <c r="H20" s="33" t="n">
        <f aca="false">G21</f>
        <v>451791.522108201</v>
      </c>
      <c r="I20" s="33" t="n">
        <f aca="false">H21</f>
        <v>430779.902530399</v>
      </c>
      <c r="J20" s="33" t="n">
        <f aca="false">I21</f>
        <v>405752.259713422</v>
      </c>
      <c r="K20" s="33" t="n">
        <f aca="false">J21</f>
        <v>378941.039020975</v>
      </c>
      <c r="L20" s="33" t="n">
        <f aca="false">K21</f>
        <v>376963.564151899</v>
      </c>
      <c r="M20" s="33" t="n">
        <f aca="false">L21</f>
        <v>377501.568690537</v>
      </c>
      <c r="N20" s="33" t="n">
        <f aca="false">M21</f>
        <v>392542.090304705</v>
      </c>
      <c r="O20" s="33" t="n">
        <f aca="false">N21</f>
        <v>400785.666859713</v>
      </c>
      <c r="P20" s="33" t="n">
        <f aca="false">O21</f>
        <v>439440.968995968</v>
      </c>
      <c r="Q20" s="33" t="n">
        <f aca="false">P21</f>
        <v>440752.837850265</v>
      </c>
      <c r="R20" s="33" t="n">
        <f aca="false">Q21</f>
        <v>421762.536090917</v>
      </c>
      <c r="S20" s="33" t="n">
        <f aca="false">R21</f>
        <v>395711.898230578</v>
      </c>
      <c r="T20" s="33" t="n">
        <f aca="false">S21</f>
        <v>366807.689464653</v>
      </c>
      <c r="U20" s="33" t="n">
        <f aca="false">T21</f>
        <v>376283.728584266</v>
      </c>
      <c r="V20" s="33" t="n">
        <f aca="false">U21</f>
        <v>481706.591043687</v>
      </c>
      <c r="W20" s="33" t="n">
        <f aca="false">V21</f>
        <v>488079.419467713</v>
      </c>
      <c r="X20" s="33" t="n">
        <f aca="false">W21</f>
        <v>495471.68350992</v>
      </c>
      <c r="Y20" s="33" t="n">
        <f aca="false">X21</f>
        <v>482472.800341013</v>
      </c>
      <c r="Z20" s="33" t="n">
        <f aca="false">Y21</f>
        <v>482403.391985584</v>
      </c>
      <c r="AA20" s="33" t="n">
        <f aca="false">Z21</f>
        <v>503671.044166302</v>
      </c>
      <c r="AB20" s="33" t="n">
        <f aca="false">AA21</f>
        <v>491670.492194754</v>
      </c>
      <c r="AC20" s="33" t="n">
        <f aca="false">AB21</f>
        <v>493453.774054861</v>
      </c>
      <c r="AD20" s="33" t="n">
        <f aca="false">AC21</f>
        <v>455181.040332264</v>
      </c>
      <c r="AE20" s="33" t="n">
        <f aca="false">AD21</f>
        <v>429784.775682457</v>
      </c>
      <c r="AF20" s="33" t="n">
        <f aca="false">AE21</f>
        <v>385325.797817202</v>
      </c>
      <c r="AG20" s="33" t="n">
        <f aca="false">AF21</f>
        <v>388820.798535256</v>
      </c>
      <c r="AH20" s="33" t="n">
        <f aca="false">AG21</f>
        <v>392268.614948114</v>
      </c>
      <c r="AI20" s="33" t="n">
        <f aca="false">AH21</f>
        <v>397495.969959962</v>
      </c>
      <c r="AJ20" s="33" t="n">
        <f aca="false">AI21</f>
        <v>399188.271732559</v>
      </c>
      <c r="AK20" s="33" t="n">
        <f aca="false">AJ21</f>
        <v>392119.450902861</v>
      </c>
      <c r="AL20" s="33" t="n">
        <f aca="false">AK21</f>
        <v>378906.52253766</v>
      </c>
      <c r="AN20" s="33" t="n">
        <f aca="false">C20</f>
        <v>464000</v>
      </c>
      <c r="AO20" s="33" t="n">
        <f aca="false">O20</f>
        <v>400785.666859713</v>
      </c>
      <c r="AP20" s="33" t="n">
        <f aca="false">AA20</f>
        <v>503671.044166302</v>
      </c>
    </row>
    <row r="21" customFormat="false" ht="15" hidden="false" customHeight="true" outlineLevel="0" collapsed="false">
      <c r="A21" s="34" t="s">
        <v>253</v>
      </c>
      <c r="B21" s="35"/>
      <c r="C21" s="36" t="n">
        <f aca="false">C20+C19</f>
        <v>448395.698466667</v>
      </c>
      <c r="D21" s="36" t="n">
        <f aca="false">D20+D19</f>
        <v>454118.138018233</v>
      </c>
      <c r="E21" s="36" t="n">
        <f aca="false">E20+E19</f>
        <v>448971.481910398</v>
      </c>
      <c r="F21" s="36" t="n">
        <f aca="false">F20+F19</f>
        <v>453752.158387955</v>
      </c>
      <c r="G21" s="36" t="n">
        <f aca="false">G20+G19</f>
        <v>451791.522108201</v>
      </c>
      <c r="H21" s="36" t="n">
        <f aca="false">H20+H19</f>
        <v>430779.902530399</v>
      </c>
      <c r="I21" s="36" t="n">
        <f aca="false">I20+I19</f>
        <v>405752.259713422</v>
      </c>
      <c r="J21" s="36" t="n">
        <f aca="false">J20+J19</f>
        <v>378941.039020975</v>
      </c>
      <c r="K21" s="36" t="n">
        <f aca="false">K20+K19</f>
        <v>376963.564151899</v>
      </c>
      <c r="L21" s="36" t="n">
        <f aca="false">L20+L19</f>
        <v>377501.568690537</v>
      </c>
      <c r="M21" s="36" t="n">
        <f aca="false">M20+M19</f>
        <v>392542.090304705</v>
      </c>
      <c r="N21" s="36" t="n">
        <f aca="false">N20+N19</f>
        <v>400785.666859713</v>
      </c>
      <c r="O21" s="36" t="n">
        <f aca="false">O20+O19</f>
        <v>439440.968995968</v>
      </c>
      <c r="P21" s="36" t="n">
        <f aca="false">P20+P19</f>
        <v>440752.837850265</v>
      </c>
      <c r="Q21" s="36" t="n">
        <f aca="false">Q20+Q19</f>
        <v>421762.536090917</v>
      </c>
      <c r="R21" s="36" t="n">
        <f aca="false">R20+R19</f>
        <v>395711.898230578</v>
      </c>
      <c r="S21" s="36" t="n">
        <f aca="false">S20+S19</f>
        <v>366807.689464653</v>
      </c>
      <c r="T21" s="36" t="n">
        <f aca="false">T20+T19</f>
        <v>376283.728584266</v>
      </c>
      <c r="U21" s="36" t="n">
        <f aca="false">U20+U19</f>
        <v>481706.591043687</v>
      </c>
      <c r="V21" s="36" t="n">
        <f aca="false">V20+V19</f>
        <v>488079.419467713</v>
      </c>
      <c r="W21" s="36" t="n">
        <f aca="false">W20+W19</f>
        <v>495471.68350992</v>
      </c>
      <c r="X21" s="36" t="n">
        <f aca="false">X20+X19</f>
        <v>482472.800341013</v>
      </c>
      <c r="Y21" s="36" t="n">
        <f aca="false">Y20+Y19</f>
        <v>482403.391985584</v>
      </c>
      <c r="Z21" s="36" t="n">
        <f aca="false">Z20+Z19</f>
        <v>503671.044166302</v>
      </c>
      <c r="AA21" s="36" t="n">
        <f aca="false">AA20+AA19</f>
        <v>491670.492194754</v>
      </c>
      <c r="AB21" s="36" t="n">
        <f aca="false">AB20+AB19</f>
        <v>493453.774054861</v>
      </c>
      <c r="AC21" s="36" t="n">
        <f aca="false">AC20+AC19</f>
        <v>455181.040332264</v>
      </c>
      <c r="AD21" s="36" t="n">
        <f aca="false">AD20+AD19</f>
        <v>429784.775682457</v>
      </c>
      <c r="AE21" s="36" t="n">
        <f aca="false">AE20+AE19</f>
        <v>385325.797817202</v>
      </c>
      <c r="AF21" s="36" t="n">
        <f aca="false">AF20+AF19</f>
        <v>388820.798535256</v>
      </c>
      <c r="AG21" s="36" t="n">
        <f aca="false">AG20+AG19</f>
        <v>392268.614948114</v>
      </c>
      <c r="AH21" s="36" t="n">
        <f aca="false">AH20+AH19</f>
        <v>397495.969959962</v>
      </c>
      <c r="AI21" s="36" t="n">
        <f aca="false">AI20+AI19</f>
        <v>399188.271732559</v>
      </c>
      <c r="AJ21" s="36" t="n">
        <f aca="false">AJ20+AJ19</f>
        <v>392119.450902861</v>
      </c>
      <c r="AK21" s="36" t="n">
        <f aca="false">AK20+AK19</f>
        <v>378906.52253766</v>
      </c>
      <c r="AL21" s="36" t="n">
        <f aca="false">AL20+AL19</f>
        <v>387018.241865281</v>
      </c>
      <c r="AM21" s="35"/>
      <c r="AN21" s="36" t="n">
        <f aca="false">N21</f>
        <v>400785.666859713</v>
      </c>
      <c r="AO21" s="36" t="n">
        <f aca="false">Z21</f>
        <v>503671.044166302</v>
      </c>
      <c r="AP21" s="36" t="n">
        <f aca="false">AL21</f>
        <v>387018.241865281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"/>
    <col collapsed="false" customWidth="true" hidden="false" outlineLevel="0" max="3" min="3" style="1" width="9"/>
    <col collapsed="false" customWidth="true" hidden="false" outlineLevel="0" max="4" min="4" style="1" width="10"/>
    <col collapsed="false" customWidth="true" hidden="false" outlineLevel="0" max="24" min="5" style="1" width="13"/>
  </cols>
  <sheetData>
    <row r="1" customFormat="false" ht="23.25" hidden="false" customHeight="true" outlineLevel="0" collapsed="false">
      <c r="A1" s="25" t="s">
        <v>254</v>
      </c>
      <c r="B1" s="25" t="s">
        <v>255</v>
      </c>
      <c r="C1" s="25" t="s">
        <v>256</v>
      </c>
      <c r="D1" s="25" t="s">
        <v>257</v>
      </c>
      <c r="E1" s="25" t="s">
        <v>188</v>
      </c>
      <c r="F1" s="25" t="s">
        <v>190</v>
      </c>
      <c r="G1" s="25" t="s">
        <v>258</v>
      </c>
      <c r="H1" s="25" t="s">
        <v>259</v>
      </c>
      <c r="I1" s="25" t="s">
        <v>193</v>
      </c>
      <c r="J1" s="25" t="s">
        <v>202</v>
      </c>
      <c r="K1" s="25" t="s">
        <v>209</v>
      </c>
      <c r="L1" s="25" t="s">
        <v>260</v>
      </c>
      <c r="M1" s="25" t="s">
        <v>208</v>
      </c>
      <c r="N1" s="25" t="s">
        <v>261</v>
      </c>
      <c r="O1" s="25" t="s">
        <v>139</v>
      </c>
      <c r="P1" s="25" t="s">
        <v>140</v>
      </c>
      <c r="Q1" s="25" t="s">
        <v>262</v>
      </c>
      <c r="R1" s="25" t="s">
        <v>263</v>
      </c>
      <c r="S1" s="25" t="s">
        <v>264</v>
      </c>
      <c r="T1" s="25" t="s">
        <v>265</v>
      </c>
      <c r="U1" s="25" t="s">
        <v>266</v>
      </c>
      <c r="V1" s="25" t="s">
        <v>267</v>
      </c>
      <c r="W1" s="25" t="s">
        <v>268</v>
      </c>
      <c r="X1" s="25" t="s">
        <v>269</v>
      </c>
    </row>
    <row r="2" customFormat="false" ht="15" hidden="false" customHeight="true" outlineLevel="0" collapsed="false">
      <c r="A2" s="32" t="n">
        <v>2025</v>
      </c>
      <c r="B2" s="32" t="n">
        <v>1</v>
      </c>
      <c r="C2" s="32" t="s">
        <v>148</v>
      </c>
      <c r="D2" s="43" t="n">
        <v>45658</v>
      </c>
      <c r="E2" s="33" t="n">
        <f aca="false">DRE_Consolidado!C4</f>
        <v>261382.1</v>
      </c>
      <c r="F2" s="33" t="n">
        <f aca="false">DRE_Consolidado!C6</f>
        <v>174915.64</v>
      </c>
      <c r="G2" s="37"/>
      <c r="H2" s="37"/>
      <c r="I2" s="37" t="n">
        <f aca="false">DRE_Consolidado!C9</f>
        <v>0.444953081382545</v>
      </c>
      <c r="J2" s="37" t="n">
        <f aca="false">DRE_Consolidado!C18</f>
        <v>0.044482642604172</v>
      </c>
      <c r="K2" s="37" t="n">
        <f aca="false">DRE_Consolidado!C25</f>
        <v>0.00687301600760233</v>
      </c>
      <c r="L2" s="33" t="n">
        <f aca="false">DRE_Consolidado!C17</f>
        <v>7780.70990000001</v>
      </c>
      <c r="M2" s="33" t="n">
        <f aca="false">DRE_Consolidado!C24</f>
        <v>1202.19799370001</v>
      </c>
      <c r="N2" s="44" t="n">
        <f aca="false">IF(DRE_Consolidado!C6=0,0,Balanco_Consolidado!C6/DRE_Consolidado!C6*30)</f>
        <v>23.100802478269</v>
      </c>
      <c r="O2" s="44" t="n">
        <f aca="false">IF(DRE_Consolidado!C7=0,0,Balanco_Consolidado!C7/(-DRE_Consolidado!C7)*30)</f>
        <v>52.4685438546601</v>
      </c>
      <c r="P2" s="44" t="n">
        <f aca="false">IF(DRE_Consolidado!C7=0,0,Balanco_Consolidado!C16/(-DRE_Consolidado!C7)*30)</f>
        <v>42.8317464836754</v>
      </c>
      <c r="Q2" s="44" t="n">
        <f aca="false">N2+O2-P2</f>
        <v>32.7375998492536</v>
      </c>
      <c r="R2" s="45" t="n">
        <f aca="false">IF(Balanco_Consolidado!C21=0,0,Balanco_Consolidado!C9/Balanco_Consolidado!C21)</f>
        <v>1.92468026080119</v>
      </c>
      <c r="S2" s="33" t="n">
        <f aca="false">Cronogramas!C18-Balanco_Consolidado!C5</f>
        <v>-123395.698466667</v>
      </c>
      <c r="T2" s="45"/>
      <c r="U2" s="45" t="n">
        <f aca="false">IF(Cronogramas!C22=0,0,DRE_Consolidado!C20/Cronogramas!C22)</f>
        <v>0.554074263573234</v>
      </c>
      <c r="V2" s="37"/>
      <c r="W2" s="33" t="n">
        <f aca="false">DFC_Consolidado!C13</f>
        <v>-7980.56693333332</v>
      </c>
      <c r="X2" s="33" t="n">
        <f aca="false">Balanco_Consolidado!C9-Balanco_Consolidado!C21</f>
        <v>368433.661182033</v>
      </c>
    </row>
    <row r="3" customFormat="false" ht="15" hidden="false" customHeight="true" outlineLevel="0" collapsed="false">
      <c r="A3" s="32" t="n">
        <v>2025</v>
      </c>
      <c r="B3" s="32" t="n">
        <v>2</v>
      </c>
      <c r="C3" s="32" t="s">
        <v>149</v>
      </c>
      <c r="D3" s="43" t="n">
        <v>45689</v>
      </c>
      <c r="E3" s="33" t="n">
        <f aca="false">DRE_Consolidado!D4</f>
        <v>250904.51</v>
      </c>
      <c r="F3" s="33" t="n">
        <f aca="false">DRE_Consolidado!D6</f>
        <v>170458.93</v>
      </c>
      <c r="G3" s="37" t="n">
        <f aca="false">IF(DRE_Consolidado!C4=0,0,DRE_Consolidado!D4/DRE_Consolidado!C4-1)</f>
        <v>-0.0400853386670319</v>
      </c>
      <c r="H3" s="37"/>
      <c r="I3" s="37" t="n">
        <f aca="false">DRE_Consolidado!D9</f>
        <v>0.439407978215046</v>
      </c>
      <c r="J3" s="37" t="n">
        <f aca="false">DRE_Consolidado!D18</f>
        <v>0.0303630892203769</v>
      </c>
      <c r="K3" s="37" t="n">
        <f aca="false">DRE_Consolidado!D25</f>
        <v>-0.00507620321436576</v>
      </c>
      <c r="L3" s="33" t="n">
        <f aca="false">DRE_Consolidado!D17</f>
        <v>5175.65969999999</v>
      </c>
      <c r="M3" s="33" t="n">
        <f aca="false">DRE_Consolidado!D24</f>
        <v>-865.284168383349</v>
      </c>
      <c r="N3" s="44" t="n">
        <f aca="false">IF(DRE_Consolidado!D6=0,0,Balanco_Consolidado!D6/DRE_Consolidado!D6*30)</f>
        <v>21.2516872539327</v>
      </c>
      <c r="O3" s="44" t="n">
        <f aca="false">IF(DRE_Consolidado!D7=0,0,Balanco_Consolidado!D7/(-DRE_Consolidado!D7)*30)</f>
        <v>52.6594374082845</v>
      </c>
      <c r="P3" s="44" t="n">
        <f aca="false">IF(DRE_Consolidado!D7=0,0,Balanco_Consolidado!D16/(-DRE_Consolidado!D7)*30)</f>
        <v>43.5149234972539</v>
      </c>
      <c r="Q3" s="44" t="n">
        <f aca="false">N3+O3-P3</f>
        <v>30.3962011649633</v>
      </c>
      <c r="R3" s="45" t="n">
        <f aca="false">IF(Balanco_Consolidado!D21=0,0,Balanco_Consolidado!D9/Balanco_Consolidado!D21)</f>
        <v>1.93237708662753</v>
      </c>
      <c r="S3" s="33" t="n">
        <f aca="false">Cronogramas!D18-Balanco_Consolidado!D5</f>
        <v>-134118.138018233</v>
      </c>
      <c r="T3" s="45"/>
      <c r="U3" s="45" t="n">
        <f aca="false">IF(Cronogramas!D22=0,0,DRE_Consolidado!D20/Cronogramas!D22)</f>
        <v>0.057529720272433</v>
      </c>
      <c r="V3" s="37"/>
      <c r="W3" s="33" t="n">
        <f aca="false">DFC_Consolidado!D13</f>
        <v>13279.3235015666</v>
      </c>
      <c r="X3" s="33" t="n">
        <f aca="false">Balanco_Consolidado!D9-Balanco_Consolidado!D21</f>
        <v>364887.998218233</v>
      </c>
    </row>
    <row r="4" customFormat="false" ht="15" hidden="false" customHeight="true" outlineLevel="0" collapsed="false">
      <c r="A4" s="32" t="n">
        <v>2025</v>
      </c>
      <c r="B4" s="32" t="n">
        <v>3</v>
      </c>
      <c r="C4" s="32" t="s">
        <v>150</v>
      </c>
      <c r="D4" s="43" t="n">
        <v>45717</v>
      </c>
      <c r="E4" s="33" t="n">
        <f aca="false">DRE_Consolidado!E4</f>
        <v>277234.2</v>
      </c>
      <c r="F4" s="33" t="n">
        <f aca="false">DRE_Consolidado!E6</f>
        <v>186625.07</v>
      </c>
      <c r="G4" s="37" t="n">
        <f aca="false">IF(DRE_Consolidado!D4=0,0,DRE_Consolidado!E4/DRE_Consolidado!D4-1)</f>
        <v>0.104939086188606</v>
      </c>
      <c r="H4" s="37"/>
      <c r="I4" s="37" t="n">
        <f aca="false">DRE_Consolidado!E9</f>
        <v>0.446025801356699</v>
      </c>
      <c r="J4" s="37" t="n">
        <f aca="false">DRE_Consolidado!E18</f>
        <v>0.0661905246706673</v>
      </c>
      <c r="K4" s="37" t="n">
        <f aca="false">DRE_Consolidado!E25</f>
        <v>0.0227044910286079</v>
      </c>
      <c r="L4" s="33" t="n">
        <f aca="false">DRE_Consolidado!E17</f>
        <v>12352.8113</v>
      </c>
      <c r="M4" s="33" t="n">
        <f aca="false">DRE_Consolidado!E24</f>
        <v>4237.22722752831</v>
      </c>
      <c r="N4" s="44" t="n">
        <f aca="false">IF(DRE_Consolidado!E6=0,0,Balanco_Consolidado!E6/DRE_Consolidado!E6*30)</f>
        <v>22.0691643946872</v>
      </c>
      <c r="O4" s="44" t="n">
        <f aca="false">IF(DRE_Consolidado!E7=0,0,Balanco_Consolidado!E7/(-DRE_Consolidado!E7)*30)</f>
        <v>52.9070888736539</v>
      </c>
      <c r="P4" s="44" t="n">
        <f aca="false">IF(DRE_Consolidado!E7=0,0,Balanco_Consolidado!E16/(-DRE_Consolidado!E7)*30)</f>
        <v>43.6956203487373</v>
      </c>
      <c r="Q4" s="44" t="n">
        <f aca="false">N4+O4-P4</f>
        <v>31.2806329196038</v>
      </c>
      <c r="R4" s="45" t="n">
        <f aca="false">IF(Balanco_Consolidado!E21=0,0,Balanco_Consolidado!E9/Balanco_Consolidado!E21)</f>
        <v>1.87762464437395</v>
      </c>
      <c r="S4" s="33" t="n">
        <f aca="false">Cronogramas!E18-Balanco_Consolidado!E5</f>
        <v>-133971.481910397</v>
      </c>
      <c r="T4" s="45"/>
      <c r="U4" s="45" t="n">
        <f aca="false">IF(Cronogramas!E22=0,0,DRE_Consolidado!E20/Cronogramas!E22)</f>
        <v>1.45565976790365</v>
      </c>
      <c r="V4" s="37"/>
      <c r="W4" s="33" t="n">
        <f aca="false">DFC_Consolidado!E13</f>
        <v>2652.71994216414</v>
      </c>
      <c r="X4" s="33" t="n">
        <f aca="false">Balanco_Consolidado!E9-Balanco_Consolidado!E21</f>
        <v>366225.682684095</v>
      </c>
    </row>
    <row r="5" customFormat="false" ht="15" hidden="false" customHeight="true" outlineLevel="0" collapsed="false">
      <c r="A5" s="32" t="n">
        <v>2025</v>
      </c>
      <c r="B5" s="32" t="n">
        <v>4</v>
      </c>
      <c r="C5" s="32" t="s">
        <v>151</v>
      </c>
      <c r="D5" s="43" t="n">
        <v>45748</v>
      </c>
      <c r="E5" s="33" t="n">
        <f aca="false">DRE_Consolidado!F4</f>
        <v>280943.75</v>
      </c>
      <c r="F5" s="33" t="n">
        <f aca="false">DRE_Consolidado!F6</f>
        <v>191404.44</v>
      </c>
      <c r="G5" s="37" t="n">
        <f aca="false">IF(DRE_Consolidado!E4=0,0,DRE_Consolidado!F4/DRE_Consolidado!E4-1)</f>
        <v>0.0133805641583902</v>
      </c>
      <c r="H5" s="37"/>
      <c r="I5" s="37" t="n">
        <f aca="false">DRE_Consolidado!F9</f>
        <v>0.446921245923031</v>
      </c>
      <c r="J5" s="37" t="n">
        <f aca="false">DRE_Consolidado!F18</f>
        <v>0.0753229083923026</v>
      </c>
      <c r="K5" s="37" t="n">
        <f aca="false">DRE_Consolidado!F25</f>
        <v>0.0292894019174673</v>
      </c>
      <c r="L5" s="33" t="n">
        <f aca="false">DRE_Consolidado!F17</f>
        <v>14417.1391</v>
      </c>
      <c r="M5" s="33" t="n">
        <f aca="false">DRE_Consolidado!F24</f>
        <v>5606.12157194775</v>
      </c>
      <c r="N5" s="44" t="n">
        <f aca="false">IF(DRE_Consolidado!F6=0,0,Balanco_Consolidado!F6/DRE_Consolidado!F6*30)</f>
        <v>21.1010117111181</v>
      </c>
      <c r="O5" s="44" t="n">
        <f aca="false">IF(DRE_Consolidado!F7=0,0,Balanco_Consolidado!F7/(-DRE_Consolidado!F7)*30)</f>
        <v>52.611619431208</v>
      </c>
      <c r="P5" s="44" t="n">
        <f aca="false">IF(DRE_Consolidado!F7=0,0,Balanco_Consolidado!F16/(-DRE_Consolidado!F7)*30)</f>
        <v>43.5390599211939</v>
      </c>
      <c r="Q5" s="44" t="n">
        <f aca="false">N5+O5-P5</f>
        <v>30.1735712211322</v>
      </c>
      <c r="R5" s="45" t="n">
        <f aca="false">IF(Balanco_Consolidado!F21=0,0,Balanco_Consolidado!F9/Balanco_Consolidado!F21)</f>
        <v>1.87733658256643</v>
      </c>
      <c r="S5" s="33" t="n">
        <f aca="false">Cronogramas!F18-Balanco_Consolidado!F5</f>
        <v>-143752.158387955</v>
      </c>
      <c r="T5" s="45"/>
      <c r="U5" s="45" t="n">
        <f aca="false">IF(Cronogramas!F22=0,0,DRE_Consolidado!F20/Cronogramas!F22)</f>
        <v>1.88360719378307</v>
      </c>
      <c r="V5" s="37"/>
      <c r="W5" s="33" t="n">
        <f aca="false">DFC_Consolidado!F13</f>
        <v>12651.7430775577</v>
      </c>
      <c r="X5" s="33" t="n">
        <f aca="false">Balanco_Consolidado!F9-Balanco_Consolidado!F21</f>
        <v>368884.496499376</v>
      </c>
    </row>
    <row r="6" customFormat="false" ht="15" hidden="false" customHeight="true" outlineLevel="0" collapsed="false">
      <c r="A6" s="32" t="n">
        <v>2025</v>
      </c>
      <c r="B6" s="32" t="n">
        <v>5</v>
      </c>
      <c r="C6" s="32" t="s">
        <v>152</v>
      </c>
      <c r="D6" s="43" t="n">
        <v>45778</v>
      </c>
      <c r="E6" s="33" t="n">
        <f aca="false">DRE_Consolidado!G4</f>
        <v>285858.47</v>
      </c>
      <c r="F6" s="33" t="n">
        <f aca="false">DRE_Consolidado!G6</f>
        <v>193794.49</v>
      </c>
      <c r="G6" s="37" t="n">
        <f aca="false">IF(DRE_Consolidado!F4=0,0,DRE_Consolidado!G4/DRE_Consolidado!F4-1)</f>
        <v>0.0174936085960269</v>
      </c>
      <c r="H6" s="37"/>
      <c r="I6" s="37" t="n">
        <f aca="false">DRE_Consolidado!G9</f>
        <v>0.442120311057348</v>
      </c>
      <c r="J6" s="37" t="n">
        <f aca="false">DRE_Consolidado!G18</f>
        <v>0.0736266247817471</v>
      </c>
      <c r="K6" s="37" t="n">
        <f aca="false">DRE_Consolidado!G25</f>
        <v>0.0287582248122714</v>
      </c>
      <c r="L6" s="33" t="n">
        <f aca="false">DRE_Consolidado!G17</f>
        <v>14268.4342</v>
      </c>
      <c r="M6" s="33" t="n">
        <f aca="false">DRE_Consolidado!G24</f>
        <v>5573.18551079949</v>
      </c>
      <c r="N6" s="44" t="n">
        <f aca="false">IF(DRE_Consolidado!G6=0,0,Balanco_Consolidado!G6/DRE_Consolidado!G6*30)</f>
        <v>21.7544009120177</v>
      </c>
      <c r="O6" s="44" t="n">
        <f aca="false">IF(DRE_Consolidado!G7=0,0,Balanco_Consolidado!G7/(-DRE_Consolidado!G7)*30)</f>
        <v>52.8436581676023</v>
      </c>
      <c r="P6" s="44" t="n">
        <f aca="false">IF(DRE_Consolidado!G7=0,0,Balanco_Consolidado!G16/(-DRE_Consolidado!G7)*30)</f>
        <v>43.6192025596298</v>
      </c>
      <c r="Q6" s="44" t="n">
        <f aca="false">N6+O6-P6</f>
        <v>30.9788565199901</v>
      </c>
      <c r="R6" s="45" t="n">
        <f aca="false">IF(Balanco_Consolidado!G21=0,0,Balanco_Consolidado!G9/Balanco_Consolidado!G21)</f>
        <v>1.87050209575496</v>
      </c>
      <c r="S6" s="33" t="n">
        <f aca="false">Cronogramas!G18-Balanco_Consolidado!G5</f>
        <v>-146791.522108201</v>
      </c>
      <c r="T6" s="45"/>
      <c r="U6" s="45" t="n">
        <f aca="false">IF(Cronogramas!G22=0,0,DRE_Consolidado!G20/Cronogramas!G22)</f>
        <v>1.87912319464047</v>
      </c>
      <c r="V6" s="37"/>
      <c r="W6" s="33" t="n">
        <f aca="false">DFC_Consolidado!G13</f>
        <v>5946.28107024582</v>
      </c>
      <c r="X6" s="33" t="n">
        <f aca="false">Balanco_Consolidado!G9-Balanco_Consolidado!G21</f>
        <v>371498.747814759</v>
      </c>
    </row>
    <row r="7" customFormat="false" ht="15" hidden="false" customHeight="true" outlineLevel="0" collapsed="false">
      <c r="A7" s="32" t="n">
        <v>2025</v>
      </c>
      <c r="B7" s="32" t="n">
        <v>6</v>
      </c>
      <c r="C7" s="32" t="s">
        <v>153</v>
      </c>
      <c r="D7" s="43" t="n">
        <v>45809</v>
      </c>
      <c r="E7" s="33" t="n">
        <f aca="false">DRE_Consolidado!H4</f>
        <v>311626.4</v>
      </c>
      <c r="F7" s="33" t="n">
        <f aca="false">DRE_Consolidado!H6</f>
        <v>210558.51</v>
      </c>
      <c r="G7" s="37" t="n">
        <f aca="false">IF(DRE_Consolidado!G4=0,0,DRE_Consolidado!H4/DRE_Consolidado!G4-1)</f>
        <v>0.0901422651565997</v>
      </c>
      <c r="H7" s="37"/>
      <c r="I7" s="37" t="n">
        <f aca="false">DRE_Consolidado!H9</f>
        <v>0.439310455796823</v>
      </c>
      <c r="J7" s="37" t="n">
        <f aca="false">DRE_Consolidado!H18</f>
        <v>0.0939395002367748</v>
      </c>
      <c r="K7" s="37" t="n">
        <f aca="false">DRE_Consolidado!H25</f>
        <v>0.0430732724800469</v>
      </c>
      <c r="L7" s="33" t="n">
        <f aca="false">DRE_Consolidado!H17</f>
        <v>19779.7612</v>
      </c>
      <c r="M7" s="33" t="n">
        <f aca="false">DRE_Consolidado!H24</f>
        <v>9069.44407422268</v>
      </c>
      <c r="N7" s="44" t="n">
        <f aca="false">IF(DRE_Consolidado!H6=0,0,Balanco_Consolidado!H6/DRE_Consolidado!H6*30)</f>
        <v>20.7138505586879</v>
      </c>
      <c r="O7" s="44" t="n">
        <f aca="false">IF(DRE_Consolidado!H7=0,0,Balanco_Consolidado!H7/(-DRE_Consolidado!H7)*30)</f>
        <v>53.3561754902497</v>
      </c>
      <c r="P7" s="44" t="n">
        <f aca="false">IF(DRE_Consolidado!H7=0,0,Balanco_Consolidado!H16/(-DRE_Consolidado!H7)*30)</f>
        <v>44.0360337683301</v>
      </c>
      <c r="Q7" s="44" t="n">
        <f aca="false">N7+O7-P7</f>
        <v>30.0339922806075</v>
      </c>
      <c r="R7" s="45" t="n">
        <f aca="false">IF(Balanco_Consolidado!H21=0,0,Balanco_Consolidado!H9/Balanco_Consolidado!H21)</f>
        <v>1.76345424365334</v>
      </c>
      <c r="S7" s="33" t="n">
        <f aca="false">Cronogramas!H18-Balanco_Consolidado!H5</f>
        <v>-130779.902530399</v>
      </c>
      <c r="T7" s="45"/>
      <c r="U7" s="45" t="n">
        <f aca="false">IF(Cronogramas!H22=0,0,DRE_Consolidado!H20/Cronogramas!H22)</f>
        <v>2.9826758671448</v>
      </c>
      <c r="V7" s="37"/>
      <c r="W7" s="33" t="n">
        <f aca="false">DFC_Consolidado!H13</f>
        <v>17146.7580721983</v>
      </c>
      <c r="X7" s="33" t="n">
        <f aca="false">Balanco_Consolidado!H9-Balanco_Consolidado!H21</f>
        <v>347634.117207315</v>
      </c>
    </row>
    <row r="8" customFormat="false" ht="15" hidden="false" customHeight="true" outlineLevel="0" collapsed="false">
      <c r="A8" s="32" t="n">
        <v>2025</v>
      </c>
      <c r="B8" s="32" t="n">
        <v>7</v>
      </c>
      <c r="C8" s="32" t="s">
        <v>154</v>
      </c>
      <c r="D8" s="43" t="n">
        <v>45839</v>
      </c>
      <c r="E8" s="33" t="n">
        <f aca="false">DRE_Consolidado!I4</f>
        <v>314185.58</v>
      </c>
      <c r="F8" s="33" t="n">
        <f aca="false">DRE_Consolidado!I6</f>
        <v>213188.47</v>
      </c>
      <c r="G8" s="37" t="n">
        <f aca="false">IF(DRE_Consolidado!H4=0,0,DRE_Consolidado!I4/DRE_Consolidado!H4-1)</f>
        <v>0.00821233374322605</v>
      </c>
      <c r="H8" s="37"/>
      <c r="I8" s="37" t="n">
        <f aca="false">DRE_Consolidado!I9</f>
        <v>0.440531930268086</v>
      </c>
      <c r="J8" s="37" t="n">
        <f aca="false">DRE_Consolidado!I18</f>
        <v>0.0991456038874898</v>
      </c>
      <c r="K8" s="37" t="n">
        <f aca="false">DRE_Consolidado!I25</f>
        <v>0.0455485531143198</v>
      </c>
      <c r="L8" s="33" t="n">
        <f aca="false">DRE_Consolidado!I17</f>
        <v>21136.6996</v>
      </c>
      <c r="M8" s="33" t="n">
        <f aca="false">DRE_Consolidado!I24</f>
        <v>9710.42634915558</v>
      </c>
      <c r="N8" s="44" t="n">
        <f aca="false">IF(DRE_Consolidado!I6=0,0,Balanco_Consolidado!I6/DRE_Consolidado!I6*30)</f>
        <v>20.8325088125075</v>
      </c>
      <c r="O8" s="44" t="n">
        <f aca="false">IF(DRE_Consolidado!I7=0,0,Balanco_Consolidado!I7/(-DRE_Consolidado!I7)*30)</f>
        <v>52.8751190414189</v>
      </c>
      <c r="P8" s="44" t="n">
        <f aca="false">IF(DRE_Consolidado!I7=0,0,Balanco_Consolidado!I16/(-DRE_Consolidado!I7)*30)</f>
        <v>43.7267952121239</v>
      </c>
      <c r="Q8" s="44" t="n">
        <f aca="false">N8+O8-P8</f>
        <v>29.9808326418026</v>
      </c>
      <c r="R8" s="45" t="n">
        <f aca="false">IF(Balanco_Consolidado!I21=0,0,Balanco_Consolidado!I9/Balanco_Consolidado!I21)</f>
        <v>1.71129309027384</v>
      </c>
      <c r="S8" s="33" t="n">
        <f aca="false">Cronogramas!I18-Balanco_Consolidado!I5</f>
        <v>-110752.259713422</v>
      </c>
      <c r="T8" s="45"/>
      <c r="U8" s="45" t="n">
        <f aca="false">IF(Cronogramas!I22=0,0,DRE_Consolidado!I20/Cronogramas!I22)</f>
        <v>3.25744751519098</v>
      </c>
      <c r="V8" s="37"/>
      <c r="W8" s="33" t="n">
        <f aca="false">DFC_Consolidado!I13</f>
        <v>13170.1842330225</v>
      </c>
      <c r="X8" s="33" t="n">
        <f aca="false">Balanco_Consolidado!I9-Balanco_Consolidado!I21</f>
        <v>324647.668033554</v>
      </c>
    </row>
    <row r="9" customFormat="false" ht="15" hidden="false" customHeight="true" outlineLevel="0" collapsed="false">
      <c r="A9" s="32" t="n">
        <v>2025</v>
      </c>
      <c r="B9" s="32" t="n">
        <v>8</v>
      </c>
      <c r="C9" s="32" t="s">
        <v>155</v>
      </c>
      <c r="D9" s="43" t="n">
        <v>45870</v>
      </c>
      <c r="E9" s="33" t="n">
        <f aca="false">DRE_Consolidado!J4</f>
        <v>276259.76</v>
      </c>
      <c r="F9" s="33" t="n">
        <f aca="false">DRE_Consolidado!J6</f>
        <v>187870.5</v>
      </c>
      <c r="G9" s="37" t="n">
        <f aca="false">IF(DRE_Consolidado!I4=0,0,DRE_Consolidado!J4/DRE_Consolidado!I4-1)</f>
        <v>-0.120711523425104</v>
      </c>
      <c r="H9" s="37"/>
      <c r="I9" s="37" t="n">
        <f aca="false">DRE_Consolidado!J9</f>
        <v>0.443547687369757</v>
      </c>
      <c r="J9" s="37" t="n">
        <f aca="false">DRE_Consolidado!J18</f>
        <v>0.0651625888577504</v>
      </c>
      <c r="K9" s="37" t="n">
        <f aca="false">DRE_Consolidado!J25</f>
        <v>0.0189686282709245</v>
      </c>
      <c r="L9" s="33" t="n">
        <f aca="false">DRE_Consolidado!J17</f>
        <v>12242.12815</v>
      </c>
      <c r="M9" s="33" t="n">
        <f aca="false">DRE_Consolidado!J24</f>
        <v>3563.64567757272</v>
      </c>
      <c r="N9" s="44" t="n">
        <f aca="false">IF(DRE_Consolidado!J6=0,0,Balanco_Consolidado!J6/DRE_Consolidado!J6*30)</f>
        <v>21.4058463675777</v>
      </c>
      <c r="O9" s="44" t="n">
        <f aca="false">IF(DRE_Consolidado!J7=0,0,Balanco_Consolidado!J7/(-DRE_Consolidado!J7)*30)</f>
        <v>53.434741437487</v>
      </c>
      <c r="P9" s="44" t="n">
        <f aca="false">IF(DRE_Consolidado!J7=0,0,Balanco_Consolidado!J16/(-DRE_Consolidado!J7)*30)</f>
        <v>44.1333249599658</v>
      </c>
      <c r="Q9" s="44" t="n">
        <f aca="false">N9+O9-P9</f>
        <v>30.7072628450989</v>
      </c>
      <c r="R9" s="45" t="n">
        <f aca="false">IF(Balanco_Consolidado!J21=0,0,Balanco_Consolidado!J9/Balanco_Consolidado!J21)</f>
        <v>1.70843703888347</v>
      </c>
      <c r="S9" s="33" t="n">
        <f aca="false">Cronogramas!J18-Balanco_Consolidado!J5</f>
        <v>-88941.0390209745</v>
      </c>
      <c r="T9" s="45"/>
      <c r="U9" s="45" t="n">
        <f aca="false">IF(Cronogramas!J22=0,0,DRE_Consolidado!J20/Cronogramas!J22)</f>
        <v>1.370273900512</v>
      </c>
      <c r="V9" s="37"/>
      <c r="W9" s="33" t="n">
        <f aca="false">DFC_Consolidado!J13</f>
        <v>11006.8368075528</v>
      </c>
      <c r="X9" s="33" t="n">
        <f aca="false">Balanco_Consolidado!J9-Balanco_Consolidado!J21</f>
        <v>296167.69155071</v>
      </c>
    </row>
    <row r="10" customFormat="false" ht="15" hidden="false" customHeight="true" outlineLevel="0" collapsed="false">
      <c r="A10" s="32" t="n">
        <v>2025</v>
      </c>
      <c r="B10" s="32" t="n">
        <v>9</v>
      </c>
      <c r="C10" s="32" t="s">
        <v>156</v>
      </c>
      <c r="D10" s="43" t="n">
        <v>45901</v>
      </c>
      <c r="E10" s="33" t="n">
        <f aca="false">DRE_Consolidado!K4</f>
        <v>285962.46</v>
      </c>
      <c r="F10" s="33" t="n">
        <f aca="false">DRE_Consolidado!K6</f>
        <v>190314.06</v>
      </c>
      <c r="G10" s="37" t="n">
        <f aca="false">IF(DRE_Consolidado!J4=0,0,DRE_Consolidado!K4/DRE_Consolidado!J4-1)</f>
        <v>0.0351216550684037</v>
      </c>
      <c r="H10" s="37"/>
      <c r="I10" s="37" t="n">
        <f aca="false">DRE_Consolidado!K9</f>
        <v>0.44688129925871</v>
      </c>
      <c r="J10" s="37" t="n">
        <f aca="false">DRE_Consolidado!K18</f>
        <v>0.0726129133601586</v>
      </c>
      <c r="K10" s="37" t="n">
        <f aca="false">DRE_Consolidado!K25</f>
        <v>0.0235526058805619</v>
      </c>
      <c r="L10" s="33" t="n">
        <f aca="false">DRE_Consolidado!K17</f>
        <v>13819.25835</v>
      </c>
      <c r="M10" s="33" t="n">
        <f aca="false">DRE_Consolidado!K24</f>
        <v>4482.39204870961</v>
      </c>
      <c r="N10" s="44" t="n">
        <f aca="false">IF(DRE_Consolidado!K6=0,0,Balanco_Consolidado!K6/DRE_Consolidado!K6*30)</f>
        <v>22.8594675558916</v>
      </c>
      <c r="O10" s="44" t="n">
        <f aca="false">IF(DRE_Consolidado!K7=0,0,Balanco_Consolidado!K7/(-DRE_Consolidado!K7)*30)</f>
        <v>53.0817181093199</v>
      </c>
      <c r="P10" s="44" t="n">
        <f aca="false">IF(DRE_Consolidado!K7=0,0,Balanco_Consolidado!K16/(-DRE_Consolidado!K7)*30)</f>
        <v>43.4967986078153</v>
      </c>
      <c r="Q10" s="44" t="n">
        <f aca="false">N10+O10-P10</f>
        <v>32.4443870573961</v>
      </c>
      <c r="R10" s="45" t="n">
        <f aca="false">IF(Balanco_Consolidado!K21=0,0,Balanco_Consolidado!K9/Balanco_Consolidado!K21)</f>
        <v>1.70279116949969</v>
      </c>
      <c r="S10" s="33" t="n">
        <f aca="false">Cronogramas!K18-Balanco_Consolidado!K5</f>
        <v>-91963.5641518986</v>
      </c>
      <c r="T10" s="45"/>
      <c r="U10" s="45" t="n">
        <f aca="false">IF(Cronogramas!K22=0,0,DRE_Consolidado!K20/Cronogramas!K22)</f>
        <v>1.72867106743894</v>
      </c>
      <c r="V10" s="37"/>
      <c r="W10" s="33" t="n">
        <f aca="false">DFC_Consolidado!K13</f>
        <v>5877.23603092404</v>
      </c>
      <c r="X10" s="33" t="n">
        <f aca="false">Balanco_Consolidado!K9-Balanco_Consolidado!K21</f>
        <v>298593.597296503</v>
      </c>
    </row>
    <row r="11" customFormat="false" ht="15" hidden="false" customHeight="true" outlineLevel="0" collapsed="false">
      <c r="A11" s="32" t="n">
        <v>2025</v>
      </c>
      <c r="B11" s="32" t="n">
        <v>10</v>
      </c>
      <c r="C11" s="32" t="s">
        <v>157</v>
      </c>
      <c r="D11" s="43" t="n">
        <v>45931</v>
      </c>
      <c r="E11" s="33" t="n">
        <f aca="false">DRE_Consolidado!L4</f>
        <v>299946.78</v>
      </c>
      <c r="F11" s="33" t="n">
        <f aca="false">DRE_Consolidado!L6</f>
        <v>206024.1</v>
      </c>
      <c r="G11" s="37" t="n">
        <f aca="false">IF(DRE_Consolidado!K4=0,0,DRE_Consolidado!L4/DRE_Consolidado!K4-1)</f>
        <v>0.0489026426755457</v>
      </c>
      <c r="H11" s="37"/>
      <c r="I11" s="37" t="n">
        <f aca="false">DRE_Consolidado!L9</f>
        <v>0.438815886102645</v>
      </c>
      <c r="J11" s="37" t="n">
        <f aca="false">DRE_Consolidado!L18</f>
        <v>0.0880760078553919</v>
      </c>
      <c r="K11" s="37" t="n">
        <f aca="false">DRE_Consolidado!L25</f>
        <v>0.0357334569777871</v>
      </c>
      <c r="L11" s="33" t="n">
        <f aca="false">DRE_Consolidado!L17</f>
        <v>18145.78025</v>
      </c>
      <c r="M11" s="33" t="n">
        <f aca="false">DRE_Consolidado!L24</f>
        <v>7361.95331373731</v>
      </c>
      <c r="N11" s="44" t="n">
        <f aca="false">IF(DRE_Consolidado!L6=0,0,Balanco_Consolidado!L6/DRE_Consolidado!L6*30)</f>
        <v>21.5478216383423</v>
      </c>
      <c r="O11" s="44" t="n">
        <f aca="false">IF(DRE_Consolidado!L7=0,0,Balanco_Consolidado!L7/(-DRE_Consolidado!L7)*30)</f>
        <v>52.6508392781394</v>
      </c>
      <c r="P11" s="44" t="n">
        <f aca="false">IF(DRE_Consolidado!L7=0,0,Balanco_Consolidado!L16/(-DRE_Consolidado!L7)*30)</f>
        <v>43.4916694064491</v>
      </c>
      <c r="Q11" s="44" t="n">
        <f aca="false">N11+O11-P11</f>
        <v>30.7069915100326</v>
      </c>
      <c r="R11" s="45" t="n">
        <f aca="false">IF(Balanco_Consolidado!L21=0,0,Balanco_Consolidado!L9/Balanco_Consolidado!L21)</f>
        <v>1.68834847331657</v>
      </c>
      <c r="S11" s="33" t="n">
        <f aca="false">Cronogramas!L18-Balanco_Consolidado!L5</f>
        <v>-97501.5686905366</v>
      </c>
      <c r="T11" s="45"/>
      <c r="U11" s="45" t="n">
        <f aca="false">IF(Cronogramas!L22=0,0,DRE_Consolidado!L20/Cronogramas!L22)</f>
        <v>2.70214970184577</v>
      </c>
      <c r="V11" s="37"/>
      <c r="W11" s="33" t="n">
        <f aca="false">DFC_Consolidado!L13</f>
        <v>8628.36603863797</v>
      </c>
      <c r="X11" s="33" t="n">
        <f aca="false">Balanco_Consolidado!L9-Balanco_Consolidado!L21</f>
        <v>303689.166719823</v>
      </c>
    </row>
    <row r="12" customFormat="false" ht="15" hidden="false" customHeight="true" outlineLevel="0" collapsed="false">
      <c r="A12" s="32" t="n">
        <v>2025</v>
      </c>
      <c r="B12" s="32" t="n">
        <v>11</v>
      </c>
      <c r="C12" s="32" t="s">
        <v>158</v>
      </c>
      <c r="D12" s="43" t="n">
        <v>45962</v>
      </c>
      <c r="E12" s="33" t="n">
        <f aca="false">DRE_Consolidado!M4</f>
        <v>356208.14</v>
      </c>
      <c r="F12" s="33" t="n">
        <f aca="false">DRE_Consolidado!M6</f>
        <v>239889.44</v>
      </c>
      <c r="G12" s="37" t="n">
        <f aca="false">IF(DRE_Consolidado!L4=0,0,DRE_Consolidado!M4/DRE_Consolidado!L4-1)</f>
        <v>0.18757114178722</v>
      </c>
      <c r="H12" s="37"/>
      <c r="I12" s="37" t="n">
        <f aca="false">DRE_Consolidado!M9</f>
        <v>0.445736305024515</v>
      </c>
      <c r="J12" s="37" t="n">
        <f aca="false">DRE_Consolidado!M18</f>
        <v>0.134490171388953</v>
      </c>
      <c r="K12" s="37" t="n">
        <f aca="false">DRE_Consolidado!M25</f>
        <v>0.0696794851448934</v>
      </c>
      <c r="L12" s="33" t="n">
        <f aca="false">DRE_Consolidado!M17</f>
        <v>32262.7719</v>
      </c>
      <c r="M12" s="33" t="n">
        <f aca="false">DRE_Consolidado!M24</f>
        <v>16715.3726708968</v>
      </c>
      <c r="N12" s="44" t="n">
        <f aca="false">IF(DRE_Consolidado!M6=0,0,Balanco_Consolidado!M6/DRE_Consolidado!M6*30)</f>
        <v>21.2237905511806</v>
      </c>
      <c r="O12" s="44" t="n">
        <f aca="false">IF(DRE_Consolidado!M7=0,0,Balanco_Consolidado!M7/(-DRE_Consolidado!M7)*30)</f>
        <v>53.0363185987819</v>
      </c>
      <c r="P12" s="44" t="n">
        <f aca="false">IF(DRE_Consolidado!M7=0,0,Balanco_Consolidado!M16/(-DRE_Consolidado!M7)*30)</f>
        <v>43.9236849773975</v>
      </c>
      <c r="Q12" s="44" t="n">
        <f aca="false">N12+O12-P12</f>
        <v>30.336424172565</v>
      </c>
      <c r="R12" s="45" t="n">
        <f aca="false">IF(Balanco_Consolidado!M21=0,0,Balanco_Consolidado!M9/Balanco_Consolidado!M21)</f>
        <v>1.63679041182807</v>
      </c>
      <c r="S12" s="33" t="n">
        <f aca="false">Cronogramas!M18-Balanco_Consolidado!M5</f>
        <v>-117542.090304705</v>
      </c>
      <c r="T12" s="45"/>
      <c r="U12" s="45" t="n">
        <f aca="false">IF(Cronogramas!M22=0,0,DRE_Consolidado!M20/Cronogramas!M22)</f>
        <v>5.89482323893229</v>
      </c>
      <c r="V12" s="37"/>
      <c r="W12" s="33" t="n">
        <f aca="false">DFC_Consolidado!M13</f>
        <v>23638.8632141684</v>
      </c>
      <c r="X12" s="33" t="n">
        <f aca="false">Balanco_Consolidado!M9-Balanco_Consolidado!M21</f>
        <v>317660.161580304</v>
      </c>
    </row>
    <row r="13" customFormat="false" ht="15" hidden="false" customHeight="true" outlineLevel="0" collapsed="false">
      <c r="A13" s="32" t="n">
        <v>2025</v>
      </c>
      <c r="B13" s="32" t="n">
        <v>12</v>
      </c>
      <c r="C13" s="32" t="s">
        <v>159</v>
      </c>
      <c r="D13" s="43" t="n">
        <v>45992</v>
      </c>
      <c r="E13" s="33" t="n">
        <f aca="false">DRE_Consolidado!N4</f>
        <v>374250.54</v>
      </c>
      <c r="F13" s="33" t="n">
        <f aca="false">DRE_Consolidado!N6</f>
        <v>253334.37</v>
      </c>
      <c r="G13" s="37" t="n">
        <f aca="false">IF(DRE_Consolidado!M4=0,0,DRE_Consolidado!N4/DRE_Consolidado!M4-1)</f>
        <v>0.0506512849481766</v>
      </c>
      <c r="H13" s="37"/>
      <c r="I13" s="37" t="n">
        <f aca="false">DRE_Consolidado!N9</f>
        <v>0.445181497480977</v>
      </c>
      <c r="J13" s="37" t="n">
        <f aca="false">DRE_Consolidado!N18</f>
        <v>0.146505644891374</v>
      </c>
      <c r="K13" s="37" t="n">
        <f aca="false">DRE_Consolidado!N25</f>
        <v>0.0791011022103315</v>
      </c>
      <c r="L13" s="33" t="n">
        <f aca="false">DRE_Consolidado!N17</f>
        <v>37114.91525</v>
      </c>
      <c r="M13" s="33" t="n">
        <f aca="false">DRE_Consolidado!N24</f>
        <v>20039.0278947599</v>
      </c>
      <c r="N13" s="44" t="n">
        <f aca="false">IF(DRE_Consolidado!N6=0,0,Balanco_Consolidado!N6/DRE_Consolidado!N6*30)</f>
        <v>21.5455847147783</v>
      </c>
      <c r="O13" s="44" t="n">
        <f aca="false">IF(DRE_Consolidado!N7=0,0,Balanco_Consolidado!N7/(-DRE_Consolidado!N7)*30)</f>
        <v>53.0519292347465</v>
      </c>
      <c r="P13" s="44" t="n">
        <f aca="false">IF(DRE_Consolidado!N7=0,0,Balanco_Consolidado!N16/(-DRE_Consolidado!N7)*30)</f>
        <v>43.7420323825512</v>
      </c>
      <c r="Q13" s="44" t="n">
        <f aca="false">N13+O13-P13</f>
        <v>30.8554815669736</v>
      </c>
      <c r="R13" s="45" t="n">
        <f aca="false">IF(Balanco_Consolidado!N21=0,0,Balanco_Consolidado!N9/Balanco_Consolidado!N21)</f>
        <v>1.64784695683466</v>
      </c>
      <c r="S13" s="33" t="n">
        <f aca="false">Cronogramas!N18-Balanco_Consolidado!N5</f>
        <v>-130785.666859713</v>
      </c>
      <c r="T13" s="45" t="n">
        <f aca="false">IF((SUM(DRE_Consolidado!C17:DRE17))=0,0,S13/(SUM(DRE_Consolidado!C17:DRE17)))</f>
        <v>-0.120576038164395</v>
      </c>
      <c r="U13" s="45" t="n">
        <f aca="false">IF(Cronogramas!N22=0,0,DRE_Consolidado!N20/Cronogramas!N22)</f>
        <v>7.09756469640151</v>
      </c>
      <c r="V13" s="37" t="n">
        <f aca="false">IF((Balanco_Consolidado!N27+S13)=0,0,(SUM(DRE_Consolidado!C20:DRE20))*(1-Premissas!$B$5)/(Balanco_Consolidado!N27+S13))</f>
        <v>0.780877759815763</v>
      </c>
      <c r="W13" s="33" t="n">
        <f aca="false">DFC_Consolidado!N13</f>
        <v>17043.5921050076</v>
      </c>
      <c r="X13" s="33" t="n">
        <f aca="false">Balanco_Consolidado!N9-Balanco_Consolidado!N21</f>
        <v>334784.804510897</v>
      </c>
    </row>
    <row r="14" customFormat="false" ht="15" hidden="false" customHeight="true" outlineLevel="0" collapsed="false">
      <c r="A14" s="32" t="n">
        <v>2026</v>
      </c>
      <c r="B14" s="32" t="n">
        <v>1</v>
      </c>
      <c r="C14" s="32" t="s">
        <v>160</v>
      </c>
      <c r="D14" s="43" t="n">
        <v>46023</v>
      </c>
      <c r="E14" s="33" t="n">
        <f aca="false">DRE_Consolidado!O4</f>
        <v>274304.23</v>
      </c>
      <c r="F14" s="33" t="n">
        <f aca="false">DRE_Consolidado!O6</f>
        <v>182029.33</v>
      </c>
      <c r="G14" s="37" t="n">
        <f aca="false">IF(DRE_Consolidado!N4=0,0,DRE_Consolidado!O4/DRE_Consolidado!N4-1)</f>
        <v>-0.267057223217367</v>
      </c>
      <c r="H14" s="37" t="n">
        <f aca="false">IF(DRE_Consolidado!C4=0,0,DRE_Consolidado!O4/DRE_Consolidado!C4-1)</f>
        <v>0.0494377005923512</v>
      </c>
      <c r="I14" s="37" t="n">
        <f aca="false">DRE_Consolidado!O9</f>
        <v>0.440589547299877</v>
      </c>
      <c r="J14" s="37" t="n">
        <f aca="false">DRE_Consolidado!O18</f>
        <v>0.0234224297809588</v>
      </c>
      <c r="K14" s="37" t="n">
        <f aca="false">DRE_Consolidado!O25</f>
        <v>-0.0129525502859673</v>
      </c>
      <c r="L14" s="33" t="n">
        <f aca="false">DRE_Consolidado!O17</f>
        <v>4263.56919999998</v>
      </c>
      <c r="M14" s="33" t="n">
        <f aca="false">DRE_Consolidado!O24</f>
        <v>-2357.74405034594</v>
      </c>
      <c r="N14" s="44" t="n">
        <f aca="false">IF(DRE_Consolidado!O6=0,0,Balanco_Consolidado!O6/DRE_Consolidado!O6*30)</f>
        <v>25.0024573512411</v>
      </c>
      <c r="O14" s="44" t="n">
        <f aca="false">IF(DRE_Consolidado!O7=0,0,Balanco_Consolidado!O7/(-DRE_Consolidado!O7)*30)</f>
        <v>52.6668112808477</v>
      </c>
      <c r="P14" s="44" t="n">
        <f aca="false">IF(DRE_Consolidado!O7=0,0,Balanco_Consolidado!O16/(-DRE_Consolidado!O7)*30)</f>
        <v>43.1287419414043</v>
      </c>
      <c r="Q14" s="44" t="n">
        <f aca="false">N14+O14-P14</f>
        <v>34.5405266906845</v>
      </c>
      <c r="R14" s="45" t="n">
        <f aca="false">IF(Balanco_Consolidado!O21=0,0,Balanco_Consolidado!O9/Balanco_Consolidado!O21)</f>
        <v>1.72841105797746</v>
      </c>
      <c r="S14" s="33" t="n">
        <f aca="false">Cronogramas!O18-Balanco_Consolidado!O5</f>
        <v>-134440.968995968</v>
      </c>
      <c r="T14" s="45" t="n">
        <f aca="false">IF((SUM(DRE_Consolidado!D17:DRE17))=0,0,S14/(SUM(DRE_Consolidado!D17:DRE17)))</f>
        <v>-0.124841521382647</v>
      </c>
      <c r="U14" s="45" t="n">
        <f aca="false">IF(Cronogramas!O22=0,0,DRE_Consolidado!O20/Cronogramas!O22)</f>
        <v>-0.380744225019294</v>
      </c>
      <c r="V14" s="37" t="n">
        <f aca="false">IF((Balanco_Consolidado!O27+S14)=0,0,(SUM(DRE_Consolidado!D20:DRE20))*(1-Premissas!$B$5)/(Balanco_Consolidado!O27+S14))</f>
        <v>0.78590527598088</v>
      </c>
      <c r="W14" s="33" t="n">
        <f aca="false">DFC_Consolidado!O13</f>
        <v>6385.74208625499</v>
      </c>
      <c r="X14" s="33" t="n">
        <f aca="false">Balanco_Consolidado!O9-Balanco_Consolidado!O21</f>
        <v>330605.004762634</v>
      </c>
    </row>
    <row r="15" customFormat="false" ht="15" hidden="false" customHeight="true" outlineLevel="0" collapsed="false">
      <c r="A15" s="32" t="n">
        <v>2026</v>
      </c>
      <c r="B15" s="32" t="n">
        <v>2</v>
      </c>
      <c r="C15" s="32" t="s">
        <v>161</v>
      </c>
      <c r="D15" s="43" t="n">
        <v>46054</v>
      </c>
      <c r="E15" s="33" t="n">
        <f aca="false">DRE_Consolidado!P4</f>
        <v>215905.8</v>
      </c>
      <c r="F15" s="33" t="n">
        <f aca="false">DRE_Consolidado!P6</f>
        <v>146499.33</v>
      </c>
      <c r="G15" s="37" t="n">
        <f aca="false">IF(DRE_Consolidado!O4=0,0,DRE_Consolidado!P4/DRE_Consolidado!O4-1)</f>
        <v>-0.212896571080949</v>
      </c>
      <c r="H15" s="37" t="n">
        <f aca="false">IF(DRE_Consolidado!D4=0,0,DRE_Consolidado!P4/DRE_Consolidado!D4-1)</f>
        <v>-0.139490159025041</v>
      </c>
      <c r="I15" s="37" t="n">
        <f aca="false">DRE_Consolidado!P9</f>
        <v>0.447438074972766</v>
      </c>
      <c r="J15" s="37" t="n">
        <f aca="false">DRE_Consolidado!P18</f>
        <v>-0.0541927860693972</v>
      </c>
      <c r="K15" s="37" t="n">
        <f aca="false">DRE_Consolidado!P25</f>
        <v>-0.100962474008377</v>
      </c>
      <c r="L15" s="33" t="n">
        <f aca="false">DRE_Consolidado!P17</f>
        <v>-7939.20685000002</v>
      </c>
      <c r="M15" s="33" t="n">
        <f aca="false">DRE_Consolidado!P24</f>
        <v>-14790.9347973696</v>
      </c>
      <c r="N15" s="44" t="n">
        <f aca="false">IF(DRE_Consolidado!P6=0,0,Balanco_Consolidado!P6/DRE_Consolidado!P6*30)</f>
        <v>24.1916666786121</v>
      </c>
      <c r="O15" s="44" t="n">
        <f aca="false">IF(DRE_Consolidado!P7=0,0,Balanco_Consolidado!P7/(-DRE_Consolidado!P7)*30)</f>
        <v>53.6764547276729</v>
      </c>
      <c r="P15" s="44" t="n">
        <f aca="false">IF(DRE_Consolidado!P7=0,0,Balanco_Consolidado!P16/(-DRE_Consolidado!P7)*30)</f>
        <v>44.4140415164521</v>
      </c>
      <c r="Q15" s="44" t="n">
        <f aca="false">N15+O15-P15</f>
        <v>33.4540798898328</v>
      </c>
      <c r="R15" s="45" t="n">
        <f aca="false">IF(Balanco_Consolidado!P21=0,0,Balanco_Consolidado!P9/Balanco_Consolidado!P21)</f>
        <v>1.78458929525954</v>
      </c>
      <c r="S15" s="33" t="n">
        <f aca="false">Cronogramas!P18-Balanco_Consolidado!P5</f>
        <v>-140752.837850265</v>
      </c>
      <c r="T15" s="45" t="n">
        <f aca="false">IF((SUM(DRE_Consolidado!E17:DRE17))=0,0,S15/(SUM(DRE_Consolidado!E17:DRE17)))</f>
        <v>-0.131333910169518</v>
      </c>
      <c r="U15" s="45" t="n">
        <f aca="false">IF(Cronogramas!P22=0,0,DRE_Consolidado!P20/Cronogramas!P22)</f>
        <v>-2.84137367178962</v>
      </c>
      <c r="V15" s="37" t="n">
        <f aca="false">IF((Balanco_Consolidado!P27+S15)=0,0,(SUM(DRE_Consolidado!E20:DRE20))*(1-Premissas!$B$5)/(Balanco_Consolidado!P27+S15))</f>
        <v>0.816895333985159</v>
      </c>
      <c r="W15" s="33" t="n">
        <f aca="false">DFC_Consolidado!P13</f>
        <v>8509.35880429703</v>
      </c>
      <c r="X15" s="33" t="n">
        <f aca="false">Balanco_Consolidado!P9-Balanco_Consolidado!P21</f>
        <v>314543.276683598</v>
      </c>
    </row>
    <row r="16" customFormat="false" ht="15" hidden="false" customHeight="true" outlineLevel="0" collapsed="false">
      <c r="A16" s="32" t="n">
        <v>2026</v>
      </c>
      <c r="B16" s="32" t="n">
        <v>3</v>
      </c>
      <c r="C16" s="32" t="s">
        <v>162</v>
      </c>
      <c r="D16" s="43" t="n">
        <v>46082</v>
      </c>
      <c r="E16" s="33" t="n">
        <f aca="false">DRE_Consolidado!Q4</f>
        <v>292644.03</v>
      </c>
      <c r="F16" s="33" t="n">
        <f aca="false">DRE_Consolidado!Q6</f>
        <v>198000.09</v>
      </c>
      <c r="G16" s="37" t="n">
        <f aca="false">IF(DRE_Consolidado!P4=0,0,DRE_Consolidado!Q4/DRE_Consolidado!P4-1)</f>
        <v>0.355424587945299</v>
      </c>
      <c r="H16" s="37" t="n">
        <f aca="false">IF(DRE_Consolidado!E4=0,0,DRE_Consolidado!Q4/DRE_Consolidado!E4-1)</f>
        <v>0.0555841595301014</v>
      </c>
      <c r="I16" s="37" t="n">
        <f aca="false">DRE_Consolidado!Q9</f>
        <v>0.434163856188146</v>
      </c>
      <c r="J16" s="37" t="n">
        <f aca="false">DRE_Consolidado!Q18</f>
        <v>0.0443209947530833</v>
      </c>
      <c r="K16" s="37" t="n">
        <f aca="false">DRE_Consolidado!Q25</f>
        <v>0.00663629635373191</v>
      </c>
      <c r="L16" s="33" t="n">
        <f aca="false">DRE_Consolidado!Q17</f>
        <v>8775.56095000003</v>
      </c>
      <c r="M16" s="33" t="n">
        <f aca="false">DRE_Consolidado!Q24</f>
        <v>1313.98727530559</v>
      </c>
      <c r="N16" s="44" t="n">
        <f aca="false">IF(DRE_Consolidado!Q6=0,0,Balanco_Consolidado!Q6/DRE_Consolidado!Q6*30)</f>
        <v>23.2573216002074</v>
      </c>
      <c r="O16" s="44" t="n">
        <f aca="false">IF(DRE_Consolidado!Q7=0,0,Balanco_Consolidado!Q7/(-DRE_Consolidado!Q7)*30)</f>
        <v>53.3560624584073</v>
      </c>
      <c r="P16" s="44" t="n">
        <f aca="false">IF(DRE_Consolidado!Q7=0,0,Balanco_Consolidado!Q16/(-DRE_Consolidado!Q7)*30)</f>
        <v>44.0214698206742</v>
      </c>
      <c r="Q16" s="44" t="n">
        <f aca="false">N16+O16-P16</f>
        <v>32.5919142379405</v>
      </c>
      <c r="R16" s="45" t="n">
        <f aca="false">IF(Balanco_Consolidado!Q21=0,0,Balanco_Consolidado!Q9/Balanco_Consolidado!Q21)</f>
        <v>1.65860343108427</v>
      </c>
      <c r="S16" s="33" t="n">
        <f aca="false">Cronogramas!Q18-Balanco_Consolidado!Q5</f>
        <v>-126762.536090917</v>
      </c>
      <c r="T16" s="45" t="n">
        <f aca="false">IF((SUM(DRE_Consolidado!F17:DRE17))=0,0,S16/(SUM(DRE_Consolidado!F17:DRE17)))</f>
        <v>-0.119659026203368</v>
      </c>
      <c r="U16" s="45" t="n">
        <f aca="false">IF(Cronogramas!Q22=0,0,DRE_Consolidado!Q20/Cronogramas!Q22)</f>
        <v>0.588357139670145</v>
      </c>
      <c r="V16" s="37" t="n">
        <f aca="false">IF((Balanco_Consolidado!Q27+S16)=0,0,(SUM(DRE_Consolidado!F20:DRE20))*(1-Premissas!$B$5)/(Balanco_Consolidado!Q27+S16))</f>
        <v>0.784877292490206</v>
      </c>
      <c r="W16" s="33" t="n">
        <f aca="false">DFC_Consolidado!Q13</f>
        <v>-11020.3004093476</v>
      </c>
      <c r="X16" s="33" t="n">
        <f aca="false">Balanco_Consolidado!Q9-Balanco_Consolidado!Q21</f>
        <v>313838.709288487</v>
      </c>
    </row>
    <row r="17" customFormat="false" ht="15" hidden="false" customHeight="true" outlineLevel="0" collapsed="false">
      <c r="A17" s="32" t="n">
        <v>2026</v>
      </c>
      <c r="B17" s="32" t="n">
        <v>4</v>
      </c>
      <c r="C17" s="32" t="s">
        <v>163</v>
      </c>
      <c r="D17" s="43" t="n">
        <v>46113</v>
      </c>
      <c r="E17" s="33" t="n">
        <f aca="false">DRE_Consolidado!R4</f>
        <v>261565.19</v>
      </c>
      <c r="F17" s="33" t="n">
        <f aca="false">DRE_Consolidado!R6</f>
        <v>178884.3</v>
      </c>
      <c r="G17" s="37" t="n">
        <f aca="false">IF(DRE_Consolidado!Q4=0,0,DRE_Consolidado!R4/DRE_Consolidado!Q4-1)</f>
        <v>-0.106200150401155</v>
      </c>
      <c r="H17" s="37" t="n">
        <f aca="false">IF(DRE_Consolidado!F4=0,0,DRE_Consolidado!R4/DRE_Consolidado!F4-1)</f>
        <v>-0.0689766545794309</v>
      </c>
      <c r="I17" s="37" t="n">
        <f aca="false">DRE_Consolidado!R9</f>
        <v>0.447605508700316</v>
      </c>
      <c r="J17" s="37" t="n">
        <f aca="false">DRE_Consolidado!R18</f>
        <v>0.0250890603591258</v>
      </c>
      <c r="K17" s="37" t="n">
        <f aca="false">DRE_Consolidado!R25</f>
        <v>-0.0134718664089868</v>
      </c>
      <c r="L17" s="33" t="n">
        <f aca="false">DRE_Consolidado!R17</f>
        <v>4488.03899999996</v>
      </c>
      <c r="M17" s="33" t="n">
        <f aca="false">DRE_Consolidado!R24</f>
        <v>-2409.90539226512</v>
      </c>
      <c r="N17" s="44" t="n">
        <f aca="false">IF(DRE_Consolidado!R6=0,0,Balanco_Consolidado!R6/DRE_Consolidado!R6*30)</f>
        <v>23.7505502159776</v>
      </c>
      <c r="O17" s="44" t="n">
        <f aca="false">IF(DRE_Consolidado!R7=0,0,Balanco_Consolidado!R7/(-DRE_Consolidado!R7)*30)</f>
        <v>52.5551813257051</v>
      </c>
      <c r="P17" s="44" t="n">
        <f aca="false">IF(DRE_Consolidado!R7=0,0,Balanco_Consolidado!R16/(-DRE_Consolidado!R7)*30)</f>
        <v>43.5568564519446</v>
      </c>
      <c r="Q17" s="44" t="n">
        <f aca="false">N17+O17-P17</f>
        <v>32.7488750897381</v>
      </c>
      <c r="R17" s="45" t="n">
        <f aca="false">IF(Balanco_Consolidado!R21=0,0,Balanco_Consolidado!R9/Balanco_Consolidado!R21)</f>
        <v>1.64327713342474</v>
      </c>
      <c r="S17" s="33" t="n">
        <f aca="false">Cronogramas!R18-Balanco_Consolidado!R5</f>
        <v>-105711.898230578</v>
      </c>
      <c r="T17" s="45" t="n">
        <f aca="false">IF((SUM(DRE_Consolidado!G17:DRE17))=0,0,S17/(SUM(DRE_Consolidado!G17:DRE17)))</f>
        <v>-0.101164797727223</v>
      </c>
      <c r="U17" s="45" t="n">
        <f aca="false">IF(Cronogramas!R22=0,0,DRE_Consolidado!R20/Cronogramas!R22)</f>
        <v>-0.314781401924443</v>
      </c>
      <c r="V17" s="37" t="n">
        <f aca="false">IF((Balanco_Consolidado!R27+S17)=0,0,(SUM(DRE_Consolidado!G20:DRE20))*(1-Premissas!$B$5)/(Balanco_Consolidado!R27+S17))</f>
        <v>0.783978013768601</v>
      </c>
      <c r="W17" s="33" t="n">
        <f aca="false">DFC_Consolidado!R13</f>
        <v>7641.33968905472</v>
      </c>
      <c r="X17" s="33" t="n">
        <f aca="false">Balanco_Consolidado!R9-Balanco_Consolidado!R21</f>
        <v>283710.633563911</v>
      </c>
    </row>
    <row r="18" customFormat="false" ht="15" hidden="false" customHeight="true" outlineLevel="0" collapsed="false">
      <c r="A18" s="32" t="n">
        <v>2026</v>
      </c>
      <c r="B18" s="32" t="n">
        <v>5</v>
      </c>
      <c r="C18" s="32" t="s">
        <v>164</v>
      </c>
      <c r="D18" s="43" t="n">
        <v>46143</v>
      </c>
      <c r="E18" s="33" t="n">
        <f aca="false">DRE_Consolidado!S4</f>
        <v>340145.17</v>
      </c>
      <c r="F18" s="33" t="n">
        <f aca="false">DRE_Consolidado!S6</f>
        <v>232363.15</v>
      </c>
      <c r="G18" s="37" t="n">
        <f aca="false">IF(DRE_Consolidado!R4=0,0,DRE_Consolidado!S4/DRE_Consolidado!R4-1)</f>
        <v>0.300422162444475</v>
      </c>
      <c r="H18" s="37" t="n">
        <f aca="false">IF(DRE_Consolidado!G4=0,0,DRE_Consolidado!S4/DRE_Consolidado!G4-1)</f>
        <v>0.189907614072096</v>
      </c>
      <c r="I18" s="37" t="n">
        <f aca="false">DRE_Consolidado!S9</f>
        <v>0.436261374921109</v>
      </c>
      <c r="J18" s="37" t="n">
        <f aca="false">DRE_Consolidado!S18</f>
        <v>0.0943006655745542</v>
      </c>
      <c r="K18" s="37" t="n">
        <f aca="false">DRE_Consolidado!S25</f>
        <v>0.0421244321844475</v>
      </c>
      <c r="L18" s="33" t="n">
        <f aca="false">DRE_Consolidado!S17</f>
        <v>21911.9997</v>
      </c>
      <c r="M18" s="33" t="n">
        <f aca="false">DRE_Consolidado!S24</f>
        <v>9788.1657543396</v>
      </c>
      <c r="N18" s="44" t="n">
        <f aca="false">IF(DRE_Consolidado!S6=0,0,Balanco_Consolidado!S6/DRE_Consolidado!S6*30)</f>
        <v>25.376604724114</v>
      </c>
      <c r="O18" s="44" t="n">
        <f aca="false">IF(DRE_Consolidado!S7=0,0,Balanco_Consolidado!S7/(-DRE_Consolidado!S7)*30)</f>
        <v>52.1533383253857</v>
      </c>
      <c r="P18" s="44" t="n">
        <f aca="false">IF(DRE_Consolidado!S7=0,0,Balanco_Consolidado!S16/(-DRE_Consolidado!S7)*30)</f>
        <v>42.5049247499292</v>
      </c>
      <c r="Q18" s="44" t="n">
        <f aca="false">N18+O18-P18</f>
        <v>35.0250182995705</v>
      </c>
      <c r="R18" s="45" t="n">
        <f aca="false">IF(Balanco_Consolidado!S21=0,0,Balanco_Consolidado!S9/Balanco_Consolidado!S21)</f>
        <v>1.56109682735744</v>
      </c>
      <c r="S18" s="33" t="n">
        <f aca="false">Cronogramas!S18-Balanco_Consolidado!S5</f>
        <v>-81807.6894646528</v>
      </c>
      <c r="T18" s="45" t="n">
        <f aca="false">IF((SUM(DRE_Consolidado!H17:DRE17))=0,0,S18/(SUM(DRE_Consolidado!H17:DRE17)))</f>
        <v>-0.0793726151115314</v>
      </c>
      <c r="U18" s="45" t="n">
        <f aca="false">IF(Cronogramas!S22=0,0,DRE_Consolidado!S20/Cronogramas!S22)</f>
        <v>3.42869549335488</v>
      </c>
      <c r="V18" s="37" t="n">
        <f aca="false">IF((Balanco_Consolidado!S27+S18)=0,0,(SUM(DRE_Consolidado!H20:DRE20))*(1-Premissas!$B$5)/(Balanco_Consolidado!S27+S18))</f>
        <v>0.726887774420653</v>
      </c>
      <c r="W18" s="33" t="n">
        <f aca="false">DFC_Consolidado!S13</f>
        <v>-20418.7615159248</v>
      </c>
      <c r="X18" s="33" t="n">
        <f aca="false">Balanco_Consolidado!S9-Balanco_Consolidado!S21</f>
        <v>291016.204679084</v>
      </c>
    </row>
    <row r="19" customFormat="false" ht="15" hidden="false" customHeight="true" outlineLevel="0" collapsed="false">
      <c r="A19" s="32" t="n">
        <v>2026</v>
      </c>
      <c r="B19" s="32" t="n">
        <v>6</v>
      </c>
      <c r="C19" s="32" t="s">
        <v>165</v>
      </c>
      <c r="D19" s="43" t="n">
        <v>46174</v>
      </c>
      <c r="E19" s="33" t="n">
        <f aca="false">DRE_Consolidado!T4</f>
        <v>323173.51</v>
      </c>
      <c r="F19" s="33" t="n">
        <f aca="false">DRE_Consolidado!T6</f>
        <v>223242.79</v>
      </c>
      <c r="G19" s="37" t="n">
        <f aca="false">IF(DRE_Consolidado!S4=0,0,DRE_Consolidado!T4/DRE_Consolidado!S4-1)</f>
        <v>-0.0498953432147808</v>
      </c>
      <c r="H19" s="37" t="n">
        <f aca="false">IF(DRE_Consolidado!H4=0,0,DRE_Consolidado!T4/DRE_Consolidado!H4-1)</f>
        <v>0.0370543381433668</v>
      </c>
      <c r="I19" s="37" t="n">
        <f aca="false">DRE_Consolidado!T9</f>
        <v>0.440510611339341</v>
      </c>
      <c r="J19" s="37" t="n">
        <f aca="false">DRE_Consolidado!T18</f>
        <v>0.0876107965233727</v>
      </c>
      <c r="K19" s="37" t="n">
        <f aca="false">DRE_Consolidado!T25</f>
        <v>0.0362723173773946</v>
      </c>
      <c r="L19" s="33" t="n">
        <f aca="false">DRE_Consolidado!T17</f>
        <v>19558.47865</v>
      </c>
      <c r="M19" s="33" t="n">
        <f aca="false">DRE_Consolidado!T24</f>
        <v>8097.53333109505</v>
      </c>
      <c r="N19" s="44" t="n">
        <f aca="false">IF(DRE_Consolidado!T6=0,0,Balanco_Consolidado!T6/DRE_Consolidado!T6*30)</f>
        <v>25.0527661834006</v>
      </c>
      <c r="O19" s="44" t="n">
        <f aca="false">IF(DRE_Consolidado!T7=0,0,Balanco_Consolidado!T7/(-DRE_Consolidado!T7)*30)</f>
        <v>52.2981033059285</v>
      </c>
      <c r="P19" s="44" t="n">
        <f aca="false">IF(DRE_Consolidado!T7=0,0,Balanco_Consolidado!T16/(-DRE_Consolidado!T7)*30)</f>
        <v>42.7740477846306</v>
      </c>
      <c r="Q19" s="44" t="n">
        <f aca="false">N19+O19-P19</f>
        <v>34.5768217046985</v>
      </c>
      <c r="R19" s="45" t="n">
        <f aca="false">IF(Balanco_Consolidado!T21=0,0,Balanco_Consolidado!T9/Balanco_Consolidado!T21)</f>
        <v>1.59180034477433</v>
      </c>
      <c r="S19" s="33" t="n">
        <f aca="false">Cronogramas!T18-Balanco_Consolidado!T5</f>
        <v>-96283.7285842658</v>
      </c>
      <c r="T19" s="45" t="n">
        <f aca="false">IF((SUM(DRE_Consolidado!I17:DRE17))=0,0,S19/(SUM(DRE_Consolidado!I17:DRE17)))</f>
        <v>-0.0952456215375719</v>
      </c>
      <c r="U19" s="45" t="n">
        <f aca="false">IF(Cronogramas!T22=0,0,DRE_Consolidado!T20/Cronogramas!T22)</f>
        <v>2.96660541456506</v>
      </c>
      <c r="V19" s="37" t="n">
        <f aca="false">IF((Balanco_Consolidado!T27+S19)=0,0,(SUM(DRE_Consolidado!I20:DRE20))*(1-Premissas!$B$5)/(Balanco_Consolidado!T27+S19))</f>
        <v>0.718076154600013</v>
      </c>
      <c r="W19" s="33" t="n">
        <f aca="false">DFC_Consolidado!T13</f>
        <v>17824.680969613</v>
      </c>
      <c r="X19" s="33" t="n">
        <f aca="false">Balanco_Consolidado!T9-Balanco_Consolidado!T21</f>
        <v>296795.854119762</v>
      </c>
    </row>
    <row r="20" customFormat="false" ht="15" hidden="false" customHeight="true" outlineLevel="0" collapsed="false">
      <c r="A20" s="32" t="n">
        <v>2026</v>
      </c>
      <c r="B20" s="32" t="n">
        <v>7</v>
      </c>
      <c r="C20" s="32" t="s">
        <v>166</v>
      </c>
      <c r="D20" s="43" t="n">
        <v>46204</v>
      </c>
      <c r="E20" s="33" t="n">
        <f aca="false">DRE_Consolidado!U4</f>
        <v>349170.64</v>
      </c>
      <c r="F20" s="33" t="n">
        <f aca="false">DRE_Consolidado!U6</f>
        <v>236651.11</v>
      </c>
      <c r="G20" s="37" t="n">
        <f aca="false">IF(DRE_Consolidado!T4=0,0,DRE_Consolidado!U4/DRE_Consolidado!T4-1)</f>
        <v>0.0804432578647922</v>
      </c>
      <c r="H20" s="37" t="n">
        <f aca="false">IF(DRE_Consolidado!I4=0,0,DRE_Consolidado!U4/DRE_Consolidado!I4-1)</f>
        <v>0.111351577624918</v>
      </c>
      <c r="I20" s="37" t="n">
        <f aca="false">DRE_Consolidado!U9</f>
        <v>0.435669191663627</v>
      </c>
      <c r="J20" s="37" t="n">
        <f aca="false">DRE_Consolidado!U18</f>
        <v>0.0989169653588357</v>
      </c>
      <c r="K20" s="37" t="n">
        <f aca="false">DRE_Consolidado!U25</f>
        <v>0.0453338915118148</v>
      </c>
      <c r="L20" s="33" t="n">
        <f aca="false">DRE_Consolidado!U17</f>
        <v>23408.80965</v>
      </c>
      <c r="M20" s="33" t="n">
        <f aca="false">DRE_Consolidado!U24</f>
        <v>10728.3157468905</v>
      </c>
      <c r="N20" s="44" t="n">
        <f aca="false">IF(DRE_Consolidado!U6=0,0,Balanco_Consolidado!U6/DRE_Consolidado!U6*30)</f>
        <v>23.1418663111278</v>
      </c>
      <c r="O20" s="44" t="n">
        <f aca="false">IF(DRE_Consolidado!U7=0,0,Balanco_Consolidado!U7/(-DRE_Consolidado!U7)*30)</f>
        <v>52.3645111898806</v>
      </c>
      <c r="P20" s="44" t="n">
        <f aca="false">IF(DRE_Consolidado!U7=0,0,Balanco_Consolidado!U16/(-DRE_Consolidado!U7)*30)</f>
        <v>43.2538676168972</v>
      </c>
      <c r="Q20" s="44" t="n">
        <f aca="false">N20+O20-P20</f>
        <v>32.2525098841112</v>
      </c>
      <c r="R20" s="45" t="n">
        <f aca="false">IF(Balanco_Consolidado!U21=0,0,Balanco_Consolidado!U9/Balanco_Consolidado!U21)</f>
        <v>1.4990228761567</v>
      </c>
      <c r="S20" s="33" t="n">
        <f aca="false">Cronogramas!U18-Balanco_Consolidado!U5</f>
        <v>-126706.591043687</v>
      </c>
      <c r="T20" s="45" t="n">
        <f aca="false">IF((SUM(DRE_Consolidado!J17:DRE17))=0,0,S20/(SUM(DRE_Consolidado!J17:DRE17)))</f>
        <v>-0.128017158631962</v>
      </c>
      <c r="U20" s="45" t="n">
        <f aca="false">IF(Cronogramas!U22=0,0,DRE_Consolidado!U20/Cronogramas!U22)</f>
        <v>3.87242640662203</v>
      </c>
      <c r="V20" s="37" t="n">
        <f aca="false">IF((Balanco_Consolidado!U27+S20)=0,0,(SUM(DRE_Consolidado!J20:DRE20))*(1-Premissas!$B$5)/(Balanco_Consolidado!U27+S20))</f>
        <v>0.725098459878147</v>
      </c>
      <c r="W20" s="33" t="n">
        <f aca="false">DFC_Consolidado!U13</f>
        <v>33972.6291094215</v>
      </c>
      <c r="X20" s="33" t="n">
        <f aca="false">Balanco_Consolidado!U9-Balanco_Consolidado!U21</f>
        <v>305034.742564986</v>
      </c>
    </row>
    <row r="21" customFormat="false" ht="15" hidden="false" customHeight="true" outlineLevel="0" collapsed="false">
      <c r="A21" s="32" t="n">
        <v>2026</v>
      </c>
      <c r="B21" s="32" t="n">
        <v>8</v>
      </c>
      <c r="C21" s="32" t="s">
        <v>167</v>
      </c>
      <c r="D21" s="43" t="n">
        <v>46235</v>
      </c>
      <c r="E21" s="33" t="n">
        <f aca="false">DRE_Consolidado!V4</f>
        <v>323651.36</v>
      </c>
      <c r="F21" s="33" t="n">
        <f aca="false">DRE_Consolidado!V6</f>
        <v>218668.09</v>
      </c>
      <c r="G21" s="37" t="n">
        <f aca="false">IF(DRE_Consolidado!U4=0,0,DRE_Consolidado!V4/DRE_Consolidado!U4-1)</f>
        <v>-0.0730854117631425</v>
      </c>
      <c r="H21" s="37" t="n">
        <f aca="false">IF(DRE_Consolidado!J4=0,0,DRE_Consolidado!V4/DRE_Consolidado!J4-1)</f>
        <v>0.171547242349012</v>
      </c>
      <c r="I21" s="37" t="n">
        <f aca="false">DRE_Consolidado!V9</f>
        <v>0.437630141645267</v>
      </c>
      <c r="J21" s="37" t="n">
        <f aca="false">DRE_Consolidado!V18</f>
        <v>0.0790111533877666</v>
      </c>
      <c r="K21" s="37" t="n">
        <f aca="false">DRE_Consolidado!V25</f>
        <v>0.0297146096784148</v>
      </c>
      <c r="L21" s="33" t="n">
        <f aca="false">DRE_Consolidado!V17</f>
        <v>17277.218</v>
      </c>
      <c r="M21" s="33" t="n">
        <f aca="false">DRE_Consolidado!V24</f>
        <v>6497.63694347447</v>
      </c>
      <c r="N21" s="44" t="n">
        <f aca="false">IF(DRE_Consolidado!V6=0,0,Balanco_Consolidado!V6/DRE_Consolidado!V6*30)</f>
        <v>23.7633060223831</v>
      </c>
      <c r="O21" s="44" t="n">
        <f aca="false">IF(DRE_Consolidado!V7=0,0,Balanco_Consolidado!V7/(-DRE_Consolidado!V7)*30)</f>
        <v>52.2792576006774</v>
      </c>
      <c r="P21" s="44" t="n">
        <f aca="false">IF(DRE_Consolidado!V7=0,0,Balanco_Consolidado!V16/(-DRE_Consolidado!V7)*30)</f>
        <v>43.0681898092617</v>
      </c>
      <c r="Q21" s="44" t="n">
        <f aca="false">N21+O21-P21</f>
        <v>32.9743738137987</v>
      </c>
      <c r="R21" s="45" t="n">
        <f aca="false">IF(Balanco_Consolidado!V21=0,0,Balanco_Consolidado!V9/Balanco_Consolidado!V21)</f>
        <v>1.52992883200751</v>
      </c>
      <c r="S21" s="33" t="n">
        <f aca="false">Cronogramas!V18-Balanco_Consolidado!V5</f>
        <v>-138079.419467713</v>
      </c>
      <c r="T21" s="45" t="n">
        <f aca="false">IF((SUM(DRE_Consolidado!K17:DRE17))=0,0,S21/(SUM(DRE_Consolidado!K17:DRE17)))</f>
        <v>-0.141254765154776</v>
      </c>
      <c r="U21" s="45" t="n">
        <f aca="false">IF(Cronogramas!V22=0,0,DRE_Consolidado!V20/Cronogramas!V22)</f>
        <v>1.96999034162265</v>
      </c>
      <c r="V21" s="37" t="n">
        <f aca="false">IF((Balanco_Consolidado!V27+S21)=0,0,(SUM(DRE_Consolidado!K20:DRE20))*(1-Premissas!$B$5)/(Balanco_Consolidado!V27+S21))</f>
        <v>0.723738463732688</v>
      </c>
      <c r="W21" s="33" t="n">
        <f aca="false">DFC_Consolidado!V13</f>
        <v>14652.8497740253</v>
      </c>
      <c r="X21" s="33" t="n">
        <f aca="false">Balanco_Consolidado!V9-Balanco_Consolidado!V21</f>
        <v>309340.031018044</v>
      </c>
    </row>
    <row r="22" customFormat="false" ht="15" hidden="false" customHeight="true" outlineLevel="0" collapsed="false">
      <c r="A22" s="32" t="n">
        <v>2026</v>
      </c>
      <c r="B22" s="32" t="n">
        <v>9</v>
      </c>
      <c r="C22" s="32" t="s">
        <v>168</v>
      </c>
      <c r="D22" s="43" t="n">
        <v>46266</v>
      </c>
      <c r="E22" s="33" t="n">
        <f aca="false">DRE_Consolidado!W4</f>
        <v>322444.6</v>
      </c>
      <c r="F22" s="33" t="n">
        <f aca="false">DRE_Consolidado!W6</f>
        <v>217463.98</v>
      </c>
      <c r="G22" s="37" t="n">
        <f aca="false">IF(DRE_Consolidado!V4=0,0,DRE_Consolidado!W4/DRE_Consolidado!V4-1)</f>
        <v>-0.00372858003748233</v>
      </c>
      <c r="H22" s="37" t="n">
        <f aca="false">IF(DRE_Consolidado!K4=0,0,DRE_Consolidado!W4/DRE_Consolidado!K4-1)</f>
        <v>0.127576675623786</v>
      </c>
      <c r="I22" s="37" t="n">
        <f aca="false">DRE_Consolidado!W9</f>
        <v>0.430270001036493</v>
      </c>
      <c r="J22" s="37" t="n">
        <f aca="false">DRE_Consolidado!W18</f>
        <v>0.069500800776294</v>
      </c>
      <c r="K22" s="37" t="n">
        <f aca="false">DRE_Consolidado!W25</f>
        <v>0.0236479373777818</v>
      </c>
      <c r="L22" s="33" t="n">
        <f aca="false">DRE_Consolidado!W17</f>
        <v>15113.92075</v>
      </c>
      <c r="M22" s="33" t="n">
        <f aca="false">DRE_Consolidado!W24</f>
        <v>5142.5745809632</v>
      </c>
      <c r="N22" s="44" t="n">
        <f aca="false">IF(DRE_Consolidado!W6=0,0,Balanco_Consolidado!W6/DRE_Consolidado!W6*30)</f>
        <v>23.0968562241894</v>
      </c>
      <c r="O22" s="44" t="n">
        <f aca="false">IF(DRE_Consolidado!W7=0,0,Balanco_Consolidado!W7/(-DRE_Consolidado!W7)*30)</f>
        <v>52.653484141096</v>
      </c>
      <c r="P22" s="44" t="n">
        <f aca="false">IF(DRE_Consolidado!W7=0,0,Balanco_Consolidado!W16/(-DRE_Consolidado!W7)*30)</f>
        <v>43.350490461646</v>
      </c>
      <c r="Q22" s="44" t="n">
        <f aca="false">N22+O22-P22</f>
        <v>32.3998499036394</v>
      </c>
      <c r="R22" s="45" t="n">
        <f aca="false">IF(Balanco_Consolidado!W21=0,0,Balanco_Consolidado!W9/Balanco_Consolidado!W21)</f>
        <v>1.53353362986382</v>
      </c>
      <c r="S22" s="33" t="n">
        <f aca="false">Cronogramas!W18-Balanco_Consolidado!W5</f>
        <v>-150471.68350992</v>
      </c>
      <c r="T22" s="45" t="n">
        <f aca="false">IF((SUM(DRE_Consolidado!L17:DRE17))=0,0,S22/(SUM(DRE_Consolidado!L17:DRE17)))</f>
        <v>-0.156139358516175</v>
      </c>
      <c r="U22" s="45" t="n">
        <f aca="false">IF(Cronogramas!W22=0,0,DRE_Consolidado!W20/Cronogramas!W22)</f>
        <v>1.60697587373511</v>
      </c>
      <c r="V22" s="37" t="n">
        <f aca="false">IF((Balanco_Consolidado!W27+S22)=0,0,(SUM(DRE_Consolidado!L20:DRE20))*(1-Premissas!$B$5)/(Balanco_Consolidado!W27+S22))</f>
        <v>0.723650149262795</v>
      </c>
      <c r="W22" s="33" t="n">
        <f aca="false">DFC_Consolidado!W13</f>
        <v>15654.2237422074</v>
      </c>
      <c r="X22" s="33" t="n">
        <f aca="false">Balanco_Consolidado!W9-Balanco_Consolidado!W21</f>
        <v>312335.501756091</v>
      </c>
    </row>
    <row r="23" customFormat="false" ht="15" hidden="false" customHeight="true" outlineLevel="0" collapsed="false">
      <c r="A23" s="32" t="n">
        <v>2026</v>
      </c>
      <c r="B23" s="32" t="n">
        <v>10</v>
      </c>
      <c r="C23" s="32" t="s">
        <v>169</v>
      </c>
      <c r="D23" s="43" t="n">
        <v>46296</v>
      </c>
      <c r="E23" s="33" t="n">
        <f aca="false">DRE_Consolidado!X4</f>
        <v>291366.8</v>
      </c>
      <c r="F23" s="33" t="n">
        <f aca="false">DRE_Consolidado!X6</f>
        <v>199075.16</v>
      </c>
      <c r="G23" s="37" t="n">
        <f aca="false">IF(DRE_Consolidado!W4=0,0,DRE_Consolidado!X4/DRE_Consolidado!W4-1)</f>
        <v>-0.0963818280721711</v>
      </c>
      <c r="H23" s="37" t="n">
        <f aca="false">IF(DRE_Consolidado!L4=0,0,DRE_Consolidado!X4/DRE_Consolidado!L4-1)</f>
        <v>-0.0286050078617282</v>
      </c>
      <c r="I23" s="37" t="n">
        <f aca="false">DRE_Consolidado!X9</f>
        <v>0.440563937760994</v>
      </c>
      <c r="J23" s="37" t="n">
        <f aca="false">DRE_Consolidado!X18</f>
        <v>0.0528058794477421</v>
      </c>
      <c r="K23" s="37" t="n">
        <f aca="false">DRE_Consolidado!X25</f>
        <v>0.0109798575958643</v>
      </c>
      <c r="L23" s="33" t="n">
        <f aca="false">DRE_Consolidado!X17</f>
        <v>10512.3389</v>
      </c>
      <c r="M23" s="33" t="n">
        <f aca="false">DRE_Consolidado!X24</f>
        <v>2185.81690767391</v>
      </c>
      <c r="N23" s="44" t="n">
        <f aca="false">IF(DRE_Consolidado!X6=0,0,Balanco_Consolidado!X6/DRE_Consolidado!X6*30)</f>
        <v>25.4944738961908</v>
      </c>
      <c r="O23" s="44" t="n">
        <f aca="false">IF(DRE_Consolidado!X7=0,0,Balanco_Consolidado!X7/(-DRE_Consolidado!X7)*30)</f>
        <v>52.7231593549907</v>
      </c>
      <c r="P23" s="44" t="n">
        <f aca="false">IF(DRE_Consolidado!X7=0,0,Balanco_Consolidado!X16/(-DRE_Consolidado!X7)*30)</f>
        <v>43.1804436206362</v>
      </c>
      <c r="Q23" s="44" t="n">
        <f aca="false">N23+O23-P23</f>
        <v>35.0371896305452</v>
      </c>
      <c r="R23" s="45" t="n">
        <f aca="false">IF(Balanco_Consolidado!X21=0,0,Balanco_Consolidado!X9/Balanco_Consolidado!X21)</f>
        <v>1.56785280288657</v>
      </c>
      <c r="S23" s="33" t="n">
        <f aca="false">Cronogramas!X18-Balanco_Consolidado!X5</f>
        <v>-142472.800341013</v>
      </c>
      <c r="T23" s="45" t="n">
        <f aca="false">IF((SUM(DRE_Consolidado!M17:DRE17))=0,0,S23/(SUM(DRE_Consolidado!M17:DRE17)))</f>
        <v>-0.150676312457704</v>
      </c>
      <c r="U23" s="45" t="n">
        <f aca="false">IF(Cronogramas!X22=0,0,DRE_Consolidado!X20/Cronogramas!X22)</f>
        <v>0.792137436216783</v>
      </c>
      <c r="V23" s="37" t="n">
        <f aca="false">IF((Balanco_Consolidado!X27+S23)=0,0,(SUM(DRE_Consolidado!M20:DRE20))*(1-Premissas!$B$5)/(Balanco_Consolidado!X27+S23))</f>
        <v>0.69506926086739</v>
      </c>
      <c r="W23" s="33" t="n">
        <f aca="false">DFC_Consolidado!X13</f>
        <v>-5012.75576890696</v>
      </c>
      <c r="X23" s="33" t="n">
        <f aca="false">Balanco_Consolidado!X9-Balanco_Consolidado!X21</f>
        <v>312674.931515848</v>
      </c>
    </row>
    <row r="24" customFormat="false" ht="15" hidden="false" customHeight="true" outlineLevel="0" collapsed="false">
      <c r="A24" s="32" t="n">
        <v>2026</v>
      </c>
      <c r="B24" s="32" t="n">
        <v>11</v>
      </c>
      <c r="C24" s="32" t="s">
        <v>170</v>
      </c>
      <c r="D24" s="43" t="n">
        <v>46327</v>
      </c>
      <c r="E24" s="33" t="n">
        <f aca="false">DRE_Consolidado!Y4</f>
        <v>370744.2</v>
      </c>
      <c r="F24" s="33" t="n">
        <f aca="false">DRE_Consolidado!Y6</f>
        <v>252884.02</v>
      </c>
      <c r="G24" s="37" t="n">
        <f aca="false">IF(DRE_Consolidado!X4=0,0,DRE_Consolidado!Y4/DRE_Consolidado!X4-1)</f>
        <v>0.272431176098306</v>
      </c>
      <c r="H24" s="37" t="n">
        <f aca="false">IF(DRE_Consolidado!M4=0,0,DRE_Consolidado!Y4/DRE_Consolidado!M4-1)</f>
        <v>0.0408077704232137</v>
      </c>
      <c r="I24" s="37" t="n">
        <f aca="false">DRE_Consolidado!Y9</f>
        <v>0.435951795214265</v>
      </c>
      <c r="J24" s="37" t="n">
        <f aca="false">DRE_Consolidado!Y18</f>
        <v>0.115383270164718</v>
      </c>
      <c r="K24" s="37" t="n">
        <f aca="false">DRE_Consolidado!Y25</f>
        <v>0.05718140342755</v>
      </c>
      <c r="L24" s="33" t="n">
        <f aca="false">DRE_Consolidado!Y17</f>
        <v>29178.5852</v>
      </c>
      <c r="M24" s="33" t="n">
        <f aca="false">DRE_Consolidado!Y24</f>
        <v>14460.2631680006</v>
      </c>
      <c r="N24" s="44" t="n">
        <f aca="false">IF(DRE_Consolidado!Y6=0,0,Balanco_Consolidado!Y6/DRE_Consolidado!Y6*30)</f>
        <v>24.2638345435983</v>
      </c>
      <c r="O24" s="44" t="n">
        <f aca="false">IF(DRE_Consolidado!Y7=0,0,Balanco_Consolidado!Y7/(-DRE_Consolidado!Y7)*30)</f>
        <v>52.9775748042989</v>
      </c>
      <c r="P24" s="44" t="n">
        <f aca="false">IF(DRE_Consolidado!Y7=0,0,Balanco_Consolidado!Y16/(-DRE_Consolidado!Y7)*30)</f>
        <v>43.524175072238</v>
      </c>
      <c r="Q24" s="44" t="n">
        <f aca="false">N24+O24-P24</f>
        <v>33.7172342756592</v>
      </c>
      <c r="R24" s="45" t="n">
        <f aca="false">IF(Balanco_Consolidado!Y21=0,0,Balanco_Consolidado!Y9/Balanco_Consolidado!Y21)</f>
        <v>1.51141455051843</v>
      </c>
      <c r="S24" s="33" t="n">
        <f aca="false">Cronogramas!Y18-Balanco_Consolidado!Y5</f>
        <v>-147403.391985584</v>
      </c>
      <c r="T24" s="45" t="n">
        <f aca="false">IF((SUM(DRE_Consolidado!N17:DRE17))=0,0,S24/(SUM(DRE_Consolidado!N17:DRE17)))</f>
        <v>-0.161397768957382</v>
      </c>
      <c r="U24" s="45" t="n">
        <f aca="false">IF(Cronogramas!Y22=0,0,DRE_Consolidado!Y20/Cronogramas!Y22)</f>
        <v>4.22927103776042</v>
      </c>
      <c r="V24" s="37" t="n">
        <f aca="false">IF((Balanco_Consolidado!Y27+S24)=0,0,(SUM(DRE_Consolidado!N20:DRE20))*(1-Premissas!$B$5)/(Balanco_Consolidado!Y27+S24))</f>
        <v>0.651489116350019</v>
      </c>
      <c r="W24" s="33" t="n">
        <f aca="false">DFC_Consolidado!Y13</f>
        <v>8723.85194457049</v>
      </c>
      <c r="X24" s="33" t="n">
        <f aca="false">Balanco_Consolidado!Y9-Balanco_Consolidado!Y21</f>
        <v>324513.285138432</v>
      </c>
    </row>
    <row r="25" customFormat="false" ht="15" hidden="false" customHeight="true" outlineLevel="0" collapsed="false">
      <c r="A25" s="32" t="n">
        <v>2026</v>
      </c>
      <c r="B25" s="32" t="n">
        <v>12</v>
      </c>
      <c r="C25" s="32" t="s">
        <v>171</v>
      </c>
      <c r="D25" s="43" t="n">
        <v>46357</v>
      </c>
      <c r="E25" s="33" t="n">
        <f aca="false">DRE_Consolidado!Z4</f>
        <v>398263.15</v>
      </c>
      <c r="F25" s="33" t="n">
        <f aca="false">DRE_Consolidado!Z6</f>
        <v>270786.15</v>
      </c>
      <c r="G25" s="37" t="n">
        <f aca="false">IF(DRE_Consolidado!Y4=0,0,DRE_Consolidado!Z4/DRE_Consolidado!Y4-1)</f>
        <v>0.0742262454813858</v>
      </c>
      <c r="H25" s="37" t="n">
        <f aca="false">IF(DRE_Consolidado!N4=0,0,DRE_Consolidado!Z4/DRE_Consolidado!N4-1)</f>
        <v>0.0641618579895704</v>
      </c>
      <c r="I25" s="37" t="n">
        <f aca="false">DRE_Consolidado!Z9</f>
        <v>0.436683304888378</v>
      </c>
      <c r="J25" s="37" t="n">
        <f aca="false">DRE_Consolidado!Z18</f>
        <v>0.132946317047604</v>
      </c>
      <c r="K25" s="37" t="n">
        <f aca="false">DRE_Consolidado!Z25</f>
        <v>0.0701382211903909</v>
      </c>
      <c r="L25" s="33" t="n">
        <f aca="false">DRE_Consolidado!Z17</f>
        <v>36000.02135</v>
      </c>
      <c r="M25" s="33" t="n">
        <f aca="false">DRE_Consolidado!Z24</f>
        <v>18992.4588839944</v>
      </c>
      <c r="N25" s="44" t="n">
        <f aca="false">IF(DRE_Consolidado!Z6=0,0,Balanco_Consolidado!Z6/DRE_Consolidado!Z6*30)</f>
        <v>23.2427716114727</v>
      </c>
      <c r="O25" s="44" t="n">
        <f aca="false">IF(DRE_Consolidado!Z7=0,0,Balanco_Consolidado!Z7/(-DRE_Consolidado!Z7)*30)</f>
        <v>52.9204953273947</v>
      </c>
      <c r="P25" s="44" t="n">
        <f aca="false">IF(DRE_Consolidado!Z7=0,0,Balanco_Consolidado!Z16/(-DRE_Consolidado!Z7)*30)</f>
        <v>43.7039803714527</v>
      </c>
      <c r="Q25" s="44" t="n">
        <f aca="false">N25+O25-P25</f>
        <v>32.4592865674147</v>
      </c>
      <c r="R25" s="45" t="n">
        <f aca="false">IF(Balanco_Consolidado!Z21=0,0,Balanco_Consolidado!Z9/Balanco_Consolidado!Z21)</f>
        <v>1.51336679265609</v>
      </c>
      <c r="S25" s="33" t="n">
        <f aca="false">Cronogramas!Z18-Balanco_Consolidado!Z5</f>
        <v>-173671.044166302</v>
      </c>
      <c r="T25" s="45" t="n">
        <f aca="false">IF((SUM(DRE_Consolidado!O17:DRE17))=0,0,S25/(SUM(DRE_Consolidado!O17:DRE17)))</f>
        <v>-0.198214405993155</v>
      </c>
      <c r="U25" s="45" t="n">
        <f aca="false">IF(Cronogramas!Z22=0,0,DRE_Consolidado!Z20/Cronogramas!Z22)</f>
        <v>5.55873550870647</v>
      </c>
      <c r="V25" s="37" t="n">
        <f aca="false">IF((Balanco_Consolidado!Z27+S25)=0,0,(SUM(DRE_Consolidado!O20:DRE20))*(1-Premissas!$B$5)/(Balanco_Consolidado!Z27+S25))</f>
        <v>0.622348921493253</v>
      </c>
      <c r="W25" s="33" t="n">
        <f aca="false">DFC_Consolidado!Z13</f>
        <v>30329.4444307184</v>
      </c>
      <c r="X25" s="33" t="n">
        <f aca="false">Balanco_Consolidado!Z9-Balanco_Consolidado!Z21</f>
        <v>340649.150795759</v>
      </c>
    </row>
    <row r="26" customFormat="false" ht="15" hidden="false" customHeight="true" outlineLevel="0" collapsed="false">
      <c r="A26" s="32" t="n">
        <v>2027</v>
      </c>
      <c r="B26" s="32" t="n">
        <v>1</v>
      </c>
      <c r="C26" s="32" t="s">
        <v>172</v>
      </c>
      <c r="D26" s="43" t="n">
        <v>46388</v>
      </c>
      <c r="E26" s="33" t="n">
        <f aca="false">DRE_Consolidado!AA4</f>
        <v>294243.6749</v>
      </c>
      <c r="F26" s="33" t="n">
        <f aca="false">DRE_Consolidado!AA6</f>
        <v>197737.7764889</v>
      </c>
      <c r="G26" s="37" t="n">
        <f aca="false">IF(DRE_Consolidado!Z4=0,0,DRE_Consolidado!AA4/DRE_Consolidado!Z4-1)</f>
        <v>-0.261182776011288</v>
      </c>
      <c r="H26" s="37" t="n">
        <f aca="false">IF(DRE_Consolidado!O4=0,0,DRE_Consolidado!AA4/DRE_Consolidado!O4-1)</f>
        <v>0.0726909858444402</v>
      </c>
      <c r="I26" s="37" t="n">
        <f aca="false">DRE_Consolidado!AA9</f>
        <v>0.437968634956995</v>
      </c>
      <c r="J26" s="37" t="n">
        <f aca="false">DRE_Consolidado!AA18</f>
        <v>0.0116564740017011</v>
      </c>
      <c r="K26" s="37" t="n">
        <f aca="false">DRE_Consolidado!AA25</f>
        <v>-0.0236270058258845</v>
      </c>
      <c r="L26" s="33" t="n">
        <f aca="false">DRE_Consolidado!AA17</f>
        <v>2304.92525079704</v>
      </c>
      <c r="M26" s="33" t="n">
        <f aca="false">DRE_Consolidado!AA24</f>
        <v>-4671.95159710069</v>
      </c>
      <c r="N26" s="44" t="n">
        <f aca="false">IF(DRE_Consolidado!AA6=0,0,Balanco_Consolidado!AA6/DRE_Consolidado!AA6*30)</f>
        <v>28.3578832830785</v>
      </c>
      <c r="O26" s="44" t="n">
        <f aca="false">IF(DRE_Consolidado!AA7=0,0,Balanco_Consolidado!AA7/(-DRE_Consolidado!AA7)*30)</f>
        <v>52.5230490002429</v>
      </c>
      <c r="P26" s="44" t="n">
        <f aca="false">IF(DRE_Consolidado!AA7=0,0,Balanco_Consolidado!AA16/(-DRE_Consolidado!AA7)*30)</f>
        <v>42.9117371684798</v>
      </c>
      <c r="Q26" s="44" t="n">
        <f aca="false">N26+O26-P26</f>
        <v>37.9691951148417</v>
      </c>
      <c r="R26" s="45" t="n">
        <f aca="false">IF(Balanco_Consolidado!AA21=0,0,Balanco_Consolidado!AA9/Balanco_Consolidado!AA21)</f>
        <v>1.60252493780017</v>
      </c>
      <c r="S26" s="33" t="n">
        <f aca="false">Cronogramas!AA18-Balanco_Consolidado!AA5</f>
        <v>-166670.492194754</v>
      </c>
      <c r="T26" s="45" t="n">
        <f aca="false">IF((SUM(DRE_Consolidado!P17:DRE17))=0,0,S26/(SUM(DRE_Consolidado!P17:DRE17)))</f>
        <v>-0.191154707276242</v>
      </c>
      <c r="U26" s="45" t="n">
        <f aca="false">IF(Cronogramas!AA22=0,0,DRE_Consolidado!AA20/Cronogramas!AA22)</f>
        <v>-0.74336950655254</v>
      </c>
      <c r="V26" s="37" t="n">
        <f aca="false">IF((Balanco_Consolidado!AA27+S26)=0,0,(SUM(DRE_Consolidado!P20:DRE20))*(1-Premissas!$B$5)/(Balanco_Consolidado!AA27+S26))</f>
        <v>0.621684152141045</v>
      </c>
      <c r="W26" s="33" t="n">
        <f aca="false">DFC_Consolidado!AA13</f>
        <v>-4034.48532421404</v>
      </c>
      <c r="X26" s="33" t="n">
        <f aca="false">Balanco_Consolidado!AA9-Balanco_Consolidado!AA21</f>
        <v>334241.04879672</v>
      </c>
    </row>
    <row r="27" customFormat="false" ht="15" hidden="false" customHeight="true" outlineLevel="0" collapsed="false">
      <c r="A27" s="32" t="n">
        <v>2027</v>
      </c>
      <c r="B27" s="32" t="n">
        <v>2</v>
      </c>
      <c r="C27" s="32" t="s">
        <v>173</v>
      </c>
      <c r="D27" s="43" t="n">
        <v>46419</v>
      </c>
      <c r="E27" s="33" t="n">
        <f aca="false">DRE_Consolidado!AB4</f>
        <v>231083.9623</v>
      </c>
      <c r="F27" s="33" t="n">
        <f aca="false">DRE_Consolidado!AB6</f>
        <v>156413.73699659</v>
      </c>
      <c r="G27" s="37" t="n">
        <f aca="false">IF(DRE_Consolidado!AA4=0,0,DRE_Consolidado!AB4/DRE_Consolidado!AA4-1)</f>
        <v>-0.21465104601302</v>
      </c>
      <c r="H27" s="37" t="n">
        <f aca="false">IF(DRE_Consolidado!P4=0,0,DRE_Consolidado!AB4/DRE_Consolidado!P4-1)</f>
        <v>0.0702999284873311</v>
      </c>
      <c r="I27" s="37" t="n">
        <f aca="false">DRE_Consolidado!AB9</f>
        <v>0.445258262095851</v>
      </c>
      <c r="J27" s="37" t="n">
        <f aca="false">DRE_Consolidado!AB18</f>
        <v>-0.0755354571592828</v>
      </c>
      <c r="K27" s="37" t="n">
        <f aca="false">DRE_Consolidado!AB25</f>
        <v>-0.120444770545992</v>
      </c>
      <c r="L27" s="33" t="n">
        <f aca="false">DRE_Consolidado!AB17</f>
        <v>-11814.7831300293</v>
      </c>
      <c r="M27" s="33" t="n">
        <f aca="false">DRE_Consolidado!AB24</f>
        <v>-18839.2166627955</v>
      </c>
      <c r="N27" s="44" t="n">
        <f aca="false">IF(DRE_Consolidado!AB6=0,0,Balanco_Consolidado!AB6/DRE_Consolidado!AB6*30)</f>
        <v>27.0999649244792</v>
      </c>
      <c r="O27" s="44" t="n">
        <f aca="false">IF(DRE_Consolidado!AB7=0,0,Balanco_Consolidado!AB7/(-DRE_Consolidado!AB7)*30)</f>
        <v>53.693753485451</v>
      </c>
      <c r="P27" s="44" t="n">
        <f aca="false">IF(DRE_Consolidado!AB7=0,0,Balanco_Consolidado!AB16/(-DRE_Consolidado!AB7)*30)</f>
        <v>44.4124929461704</v>
      </c>
      <c r="Q27" s="44" t="n">
        <f aca="false">N27+O27-P27</f>
        <v>36.3812254637598</v>
      </c>
      <c r="R27" s="45" t="n">
        <f aca="false">IF(Balanco_Consolidado!AB21=0,0,Balanco_Consolidado!AB9/Balanco_Consolidado!AB21)</f>
        <v>1.64373250710857</v>
      </c>
      <c r="S27" s="33" t="n">
        <f aca="false">Cronogramas!AB18-Balanco_Consolidado!AB5</f>
        <v>-183453.774054861</v>
      </c>
      <c r="T27" s="45" t="n">
        <f aca="false">IF((SUM(DRE_Consolidado!Q17:DRE17))=0,0,S27/(SUM(DRE_Consolidado!Q17:DRE17)))</f>
        <v>-0.208504945419876</v>
      </c>
      <c r="U27" s="45" t="n">
        <f aca="false">IF(Cronogramas!AB22=0,0,DRE_Consolidado!AB20/Cronogramas!AB22)</f>
        <v>-3.47389444087467</v>
      </c>
      <c r="V27" s="37" t="n">
        <f aca="false">IF((Balanco_Consolidado!AB27+S27)=0,0,(SUM(DRE_Consolidado!Q20:DRE20))*(1-Premissas!$B$5)/(Balanco_Consolidado!AB27+S27))</f>
        <v>0.682887244727329</v>
      </c>
      <c r="W27" s="33" t="n">
        <f aca="false">DFC_Consolidado!AB13</f>
        <v>19129.4879150555</v>
      </c>
      <c r="X27" s="33" t="n">
        <f aca="false">Balanco_Consolidado!AB9-Balanco_Consolidado!AB21</f>
        <v>314305.094041494</v>
      </c>
    </row>
    <row r="28" customFormat="false" ht="15" hidden="false" customHeight="true" outlineLevel="0" collapsed="false">
      <c r="A28" s="32" t="n">
        <v>2027</v>
      </c>
      <c r="B28" s="32" t="n">
        <v>3</v>
      </c>
      <c r="C28" s="32" t="s">
        <v>174</v>
      </c>
      <c r="D28" s="43" t="n">
        <v>46447</v>
      </c>
      <c r="E28" s="33" t="n">
        <f aca="false">DRE_Consolidado!AC4</f>
        <v>312976.6366</v>
      </c>
      <c r="F28" s="33" t="n">
        <f aca="false">DRE_Consolidado!AC6</f>
        <v>210873.31258636</v>
      </c>
      <c r="G28" s="37" t="n">
        <f aca="false">IF(DRE_Consolidado!AB4=0,0,DRE_Consolidado!AC4/DRE_Consolidado!AB4-1)</f>
        <v>0.354384932147236</v>
      </c>
      <c r="H28" s="37" t="n">
        <f aca="false">IF(DRE_Consolidado!Q4=0,0,DRE_Consolidado!AC4/DRE_Consolidado!Q4-1)</f>
        <v>0.0694789727984542</v>
      </c>
      <c r="I28" s="37" t="n">
        <f aca="false">DRE_Consolidado!AC9</f>
        <v>0.431454724617282</v>
      </c>
      <c r="J28" s="37" t="n">
        <f aca="false">DRE_Consolidado!AC18</f>
        <v>0.02666965484053</v>
      </c>
      <c r="K28" s="37" t="n">
        <f aca="false">DRE_Consolidado!AC25</f>
        <v>-0.00555226587936137</v>
      </c>
      <c r="L28" s="33" t="n">
        <f aca="false">DRE_Consolidado!AC17</f>
        <v>5623.91846175742</v>
      </c>
      <c r="M28" s="33" t="n">
        <f aca="false">DRE_Consolidado!AC24</f>
        <v>-1170.82469834115</v>
      </c>
      <c r="N28" s="44" t="n">
        <f aca="false">IF(DRE_Consolidado!AC6=0,0,Balanco_Consolidado!AC6/DRE_Consolidado!AC6*30)</f>
        <v>26.2580255643775</v>
      </c>
      <c r="O28" s="44" t="n">
        <f aca="false">IF(DRE_Consolidado!AC7=0,0,Balanco_Consolidado!AC7/(-DRE_Consolidado!AC7)*30)</f>
        <v>53.3579252883919</v>
      </c>
      <c r="P28" s="44" t="n">
        <f aca="false">IF(DRE_Consolidado!AC7=0,0,Balanco_Consolidado!AC16/(-DRE_Consolidado!AC7)*30)</f>
        <v>44.0234020134923</v>
      </c>
      <c r="Q28" s="44" t="n">
        <f aca="false">N28+O28-P28</f>
        <v>35.592548839277</v>
      </c>
      <c r="R28" s="45" t="n">
        <f aca="false">IF(Balanco_Consolidado!AC21=0,0,Balanco_Consolidado!AC9/Balanco_Consolidado!AC21)</f>
        <v>1.55717886875849</v>
      </c>
      <c r="S28" s="33" t="n">
        <f aca="false">Cronogramas!AC18-Balanco_Consolidado!AC5</f>
        <v>-160181.040332264</v>
      </c>
      <c r="T28" s="45" t="n">
        <f aca="false">IF((SUM(DRE_Consolidado!R17:DRE17))=0,0,S28/(SUM(DRE_Consolidado!R17:DRE17)))</f>
        <v>-0.183888331136193</v>
      </c>
      <c r="U28" s="45" t="n">
        <f aca="false">IF(Cronogramas!AC22=0,0,DRE_Consolidado!AC20/Cronogramas!AC22)</f>
        <v>-0.131433198555423</v>
      </c>
      <c r="V28" s="37" t="n">
        <f aca="false">IF((Balanco_Consolidado!AC27+S28)=0,0,(SUM(DRE_Consolidado!R20:DRE20))*(1-Premissas!$B$5)/(Balanco_Consolidado!AC27+S28))</f>
        <v>0.651101091051258</v>
      </c>
      <c r="W28" s="33" t="n">
        <f aca="false">DFC_Consolidado!AC13</f>
        <v>-20109.634033802</v>
      </c>
      <c r="X28" s="33" t="n">
        <f aca="false">Balanco_Consolidado!AC9-Balanco_Consolidado!AC21</f>
        <v>311246.99678095</v>
      </c>
    </row>
    <row r="29" customFormat="false" ht="15" hidden="false" customHeight="true" outlineLevel="0" collapsed="false">
      <c r="A29" s="32" t="n">
        <v>2027</v>
      </c>
      <c r="B29" s="32" t="n">
        <v>4</v>
      </c>
      <c r="C29" s="32" t="s">
        <v>175</v>
      </c>
      <c r="D29" s="43" t="n">
        <v>46478</v>
      </c>
      <c r="E29" s="33" t="n">
        <f aca="false">DRE_Consolidado!AD4</f>
        <v>280393.3154</v>
      </c>
      <c r="F29" s="33" t="n">
        <f aca="false">DRE_Consolidado!AD6</f>
        <v>191146.55302108</v>
      </c>
      <c r="G29" s="37" t="n">
        <f aca="false">IF(DRE_Consolidado!AC4=0,0,DRE_Consolidado!AD4/DRE_Consolidado!AC4-1)</f>
        <v>-0.104107838699932</v>
      </c>
      <c r="H29" s="37" t="n">
        <f aca="false">IF(DRE_Consolidado!R4=0,0,DRE_Consolidado!AD4/DRE_Consolidado!R4-1)</f>
        <v>0.0719825348319476</v>
      </c>
      <c r="I29" s="37" t="n">
        <f aca="false">DRE_Consolidado!AD9</f>
        <v>0.446989803071842</v>
      </c>
      <c r="J29" s="37" t="n">
        <f aca="false">DRE_Consolidado!AD18</f>
        <v>0.00912422371287365</v>
      </c>
      <c r="K29" s="37" t="n">
        <f aca="false">DRE_Consolidado!AD25</f>
        <v>-0.0270945360466397</v>
      </c>
      <c r="L29" s="33" t="n">
        <f aca="false">DRE_Consolidado!AD17</f>
        <v>1744.063911709</v>
      </c>
      <c r="M29" s="33" t="n">
        <f aca="false">DRE_Consolidado!AD24</f>
        <v>-5179.02717102058</v>
      </c>
      <c r="N29" s="44" t="n">
        <f aca="false">IF(DRE_Consolidado!AD6=0,0,Balanco_Consolidado!AD6/DRE_Consolidado!AD6*30)</f>
        <v>26.4029633579415</v>
      </c>
      <c r="O29" s="44" t="n">
        <f aca="false">IF(DRE_Consolidado!AD7=0,0,Balanco_Consolidado!AD7/(-DRE_Consolidado!AD7)*30)</f>
        <v>52.5904932756171</v>
      </c>
      <c r="P29" s="44" t="n">
        <f aca="false">IF(DRE_Consolidado!AD7=0,0,Balanco_Consolidado!AD16/(-DRE_Consolidado!AD7)*30)</f>
        <v>43.5793359272896</v>
      </c>
      <c r="Q29" s="44" t="n">
        <f aca="false">N29+O29-P29</f>
        <v>35.414120706269</v>
      </c>
      <c r="R29" s="45" t="n">
        <f aca="false">IF(Balanco_Consolidado!AD21=0,0,Balanco_Consolidado!AD9/Balanco_Consolidado!AD21)</f>
        <v>1.56160452267223</v>
      </c>
      <c r="S29" s="33" t="n">
        <f aca="false">Cronogramas!AD18-Balanco_Consolidado!AD5</f>
        <v>-149784.775682457</v>
      </c>
      <c r="T29" s="45" t="n">
        <f aca="false">IF((SUM(DRE_Consolidado!S17:DRE17))=0,0,S29/(SUM(DRE_Consolidado!S17:DRE17)))</f>
        <v>-0.172843927850021</v>
      </c>
      <c r="U29" s="45" t="n">
        <f aca="false">IF(Cronogramas!AD22=0,0,DRE_Consolidado!AD20/Cronogramas!AD22)</f>
        <v>-0.965181469070117</v>
      </c>
      <c r="V29" s="37" t="n">
        <f aca="false">IF((Balanco_Consolidado!AD27+S29)=0,0,(SUM(DRE_Consolidado!S20:DRE20))*(1-Premissas!$B$5)/(Balanco_Consolidado!AD27+S29))</f>
        <v>0.668063461179963</v>
      </c>
      <c r="W29" s="33" t="n">
        <f aca="false">DFC_Consolidado!AD13</f>
        <v>9765.38415103611</v>
      </c>
      <c r="X29" s="33" t="n">
        <f aca="false">Balanco_Consolidado!AD9-Balanco_Consolidado!AD21</f>
        <v>287206.041254806</v>
      </c>
    </row>
    <row r="30" customFormat="false" ht="15" hidden="false" customHeight="true" outlineLevel="0" collapsed="false">
      <c r="A30" s="32" t="n">
        <v>2027</v>
      </c>
      <c r="B30" s="32" t="n">
        <v>5</v>
      </c>
      <c r="C30" s="32" t="s">
        <v>176</v>
      </c>
      <c r="D30" s="43" t="n">
        <v>46508</v>
      </c>
      <c r="E30" s="33" t="n">
        <f aca="false">DRE_Consolidado!AE4</f>
        <v>365041.0414</v>
      </c>
      <c r="F30" s="33" t="n">
        <f aca="false">DRE_Consolidado!AE6</f>
        <v>245083.76103148</v>
      </c>
      <c r="G30" s="37" t="n">
        <f aca="false">IF(DRE_Consolidado!AD4=0,0,DRE_Consolidado!AE4/DRE_Consolidado!AD4-1)</f>
        <v>0.30188924396876</v>
      </c>
      <c r="H30" s="37" t="n">
        <f aca="false">IF(DRE_Consolidado!S4=0,0,DRE_Consolidado!AE4/DRE_Consolidado!S4-1)</f>
        <v>0.0731919003877082</v>
      </c>
      <c r="I30" s="37" t="n">
        <f aca="false">DRE_Consolidado!AE9</f>
        <v>0.43530175010231</v>
      </c>
      <c r="J30" s="37" t="n">
        <f aca="false">DRE_Consolidado!AE18</f>
        <v>0.077878521709782</v>
      </c>
      <c r="K30" s="37" t="n">
        <f aca="false">DRE_Consolidado!AE25</f>
        <v>0.0327045288195956</v>
      </c>
      <c r="L30" s="33" t="n">
        <f aca="false">DRE_Consolidado!AE17</f>
        <v>19086.7610042051</v>
      </c>
      <c r="M30" s="33" t="n">
        <f aca="false">DRE_Consolidado!AE24</f>
        <v>8015.34892586892</v>
      </c>
      <c r="N30" s="44" t="n">
        <f aca="false">IF(DRE_Consolidado!AE6=0,0,Balanco_Consolidado!AE6/DRE_Consolidado!AE6*30)</f>
        <v>28.3498579224759</v>
      </c>
      <c r="O30" s="44" t="n">
        <f aca="false">IF(DRE_Consolidado!AE7=0,0,Balanco_Consolidado!AE7/(-DRE_Consolidado!AE7)*30)</f>
        <v>52.175715529665</v>
      </c>
      <c r="P30" s="44" t="n">
        <f aca="false">IF(DRE_Consolidado!AE7=0,0,Balanco_Consolidado!AE16/(-DRE_Consolidado!AE7)*30)</f>
        <v>42.5463883593527</v>
      </c>
      <c r="Q30" s="44" t="n">
        <f aca="false">N30+O30-P30</f>
        <v>37.9791850927883</v>
      </c>
      <c r="R30" s="45" t="n">
        <f aca="false">IF(Balanco_Consolidado!AE21=0,0,Balanco_Consolidado!AE9/Balanco_Consolidado!AE21)</f>
        <v>1.50118919824754</v>
      </c>
      <c r="S30" s="33" t="n">
        <f aca="false">Cronogramas!AE18-Balanco_Consolidado!AE5</f>
        <v>-120325.797817202</v>
      </c>
      <c r="T30" s="45" t="n">
        <f aca="false">IF((SUM(DRE_Consolidado!T17:DRE17))=0,0,S30/(SUM(DRE_Consolidado!T17:DRE17)))</f>
        <v>-0.142451719867434</v>
      </c>
      <c r="U30" s="45" t="n">
        <f aca="false">IF(Cronogramas!AE22=0,0,DRE_Consolidado!AE20/Cronogramas!AE22)</f>
        <v>2.84741185007952</v>
      </c>
      <c r="V30" s="37" t="n">
        <f aca="false">IF((Balanco_Consolidado!AE27+S30)=0,0,(SUM(DRE_Consolidado!T20:DRE20))*(1-Premissas!$B$5)/(Balanco_Consolidado!AE27+S30))</f>
        <v>0.604479240365502</v>
      </c>
      <c r="W30" s="33" t="n">
        <f aca="false">DFC_Consolidado!AE13</f>
        <v>-25782.7214497825</v>
      </c>
      <c r="X30" s="33" t="n">
        <f aca="false">Balanco_Consolidado!AE9-Balanco_Consolidado!AE21</f>
        <v>292875.489681052</v>
      </c>
    </row>
    <row r="31" customFormat="false" ht="15" hidden="false" customHeight="true" outlineLevel="0" collapsed="false">
      <c r="A31" s="32" t="n">
        <v>2027</v>
      </c>
      <c r="B31" s="32" t="n">
        <v>6</v>
      </c>
      <c r="C31" s="32" t="s">
        <v>177</v>
      </c>
      <c r="D31" s="43" t="n">
        <v>46539</v>
      </c>
      <c r="E31" s="33" t="n">
        <f aca="false">DRE_Consolidado!AF4</f>
        <v>346635.3564</v>
      </c>
      <c r="F31" s="33" t="n">
        <f aca="false">DRE_Consolidado!AF6</f>
        <v>234113.32541842</v>
      </c>
      <c r="G31" s="37" t="n">
        <f aca="false">IF(DRE_Consolidado!AE4=0,0,DRE_Consolidado!AF4/DRE_Consolidado!AE4-1)</f>
        <v>-0.0504208648140243</v>
      </c>
      <c r="H31" s="37" t="n">
        <f aca="false">IF(DRE_Consolidado!T4=0,0,DRE_Consolidado!AF4/DRE_Consolidado!T4-1)</f>
        <v>0.072598296809661</v>
      </c>
      <c r="I31" s="37" t="n">
        <f aca="false">DRE_Consolidado!AF9</f>
        <v>0.439817842606448</v>
      </c>
      <c r="J31" s="37" t="n">
        <f aca="false">DRE_Consolidado!AF18</f>
        <v>0.0691377693947366</v>
      </c>
      <c r="K31" s="37" t="n">
        <f aca="false">DRE_Consolidado!AF25</f>
        <v>0.0255256475634416</v>
      </c>
      <c r="L31" s="33" t="n">
        <f aca="false">DRE_Consolidado!AF17</f>
        <v>16186.0731050137</v>
      </c>
      <c r="M31" s="33" t="n">
        <f aca="false">DRE_Consolidado!AF24</f>
        <v>5975.89423453591</v>
      </c>
      <c r="N31" s="44" t="n">
        <f aca="false">IF(DRE_Consolidado!AF6=0,0,Balanco_Consolidado!AF6/DRE_Consolidado!AF6*30)</f>
        <v>27.7286681444568</v>
      </c>
      <c r="O31" s="44" t="n">
        <f aca="false">IF(DRE_Consolidado!AF7=0,0,Balanco_Consolidado!AF7/(-DRE_Consolidado!AF7)*30)</f>
        <v>52.3445895535372</v>
      </c>
      <c r="P31" s="44" t="n">
        <f aca="false">IF(DRE_Consolidado!AF7=0,0,Balanco_Consolidado!AF16/(-DRE_Consolidado!AF7)*30)</f>
        <v>42.9060470446467</v>
      </c>
      <c r="Q31" s="44" t="n">
        <f aca="false">N31+O31-P31</f>
        <v>37.1672106533474</v>
      </c>
      <c r="R31" s="45" t="n">
        <f aca="false">IF(Balanco_Consolidado!AF21=0,0,Balanco_Consolidado!AF9/Balanco_Consolidado!AF21)</f>
        <v>1.5335692498539</v>
      </c>
      <c r="S31" s="33" t="n">
        <f aca="false">Cronogramas!AF18-Balanco_Consolidado!AF5</f>
        <v>-138820.798535256</v>
      </c>
      <c r="T31" s="45" t="n">
        <f aca="false">IF((SUM(DRE_Consolidado!U17:DRE17))=0,0,S31/(SUM(DRE_Consolidado!U17:DRE17)))</f>
        <v>-0.168243312006683</v>
      </c>
      <c r="U31" s="45" t="n">
        <f aca="false">IF(Cronogramas!AF22=0,0,DRE_Consolidado!AF20/Cronogramas!AF22)</f>
        <v>2.31755967535082</v>
      </c>
      <c r="V31" s="37" t="n">
        <f aca="false">IF((Balanco_Consolidado!AF27+S31)=0,0,(SUM(DRE_Consolidado!U20:DRE20))*(1-Premissas!$B$5)/(Balanco_Consolidado!AF27+S31))</f>
        <v>0.601988611041577</v>
      </c>
      <c r="W31" s="33" t="n">
        <f aca="false">DFC_Consolidado!AF13</f>
        <v>22006.7005993308</v>
      </c>
      <c r="X31" s="33" t="n">
        <f aca="false">Balanco_Consolidado!AF9-Balanco_Consolidado!AF21</f>
        <v>296699.304115838</v>
      </c>
    </row>
    <row r="32" customFormat="false" ht="15" hidden="false" customHeight="true" outlineLevel="0" collapsed="false">
      <c r="A32" s="32" t="n">
        <v>2027</v>
      </c>
      <c r="B32" s="32" t="n">
        <v>7</v>
      </c>
      <c r="C32" s="32" t="s">
        <v>178</v>
      </c>
      <c r="D32" s="43" t="n">
        <v>46569</v>
      </c>
      <c r="E32" s="33" t="n">
        <f aca="false">DRE_Consolidado!AG4</f>
        <v>374119.6838</v>
      </c>
      <c r="F32" s="33" t="n">
        <f aca="false">DRE_Consolidado!AG6</f>
        <v>253388.37176829</v>
      </c>
      <c r="G32" s="37" t="n">
        <f aca="false">IF(DRE_Consolidado!AF4=0,0,DRE_Consolidado!AG4/DRE_Consolidado!AF4-1)</f>
        <v>0.0792888748725462</v>
      </c>
      <c r="H32" s="37" t="n">
        <f aca="false">IF(DRE_Consolidado!U4=0,0,DRE_Consolidado!AG4/DRE_Consolidado!U4-1)</f>
        <v>0.071452295645476</v>
      </c>
      <c r="I32" s="37" t="n">
        <f aca="false">DRE_Consolidado!AG9</f>
        <v>0.433862196901834</v>
      </c>
      <c r="J32" s="37" t="n">
        <f aca="false">DRE_Consolidado!AG18</f>
        <v>0.0861235920000645</v>
      </c>
      <c r="K32" s="37" t="n">
        <f aca="false">DRE_Consolidado!AG25</f>
        <v>0.038890240832899</v>
      </c>
      <c r="L32" s="33" t="n">
        <f aca="false">DRE_Consolidado!AG17</f>
        <v>21822.7167477329</v>
      </c>
      <c r="M32" s="33" t="n">
        <f aca="false">DRE_Consolidado!AG24</f>
        <v>9854.33480232495</v>
      </c>
      <c r="N32" s="44" t="n">
        <f aca="false">IF(DRE_Consolidado!AG6=0,0,Balanco_Consolidado!AG6/DRE_Consolidado!AG6*30)</f>
        <v>25.8855905239403</v>
      </c>
      <c r="O32" s="44" t="n">
        <f aca="false">IF(DRE_Consolidado!AG7=0,0,Balanco_Consolidado!AG7/(-DRE_Consolidado!AG7)*30)</f>
        <v>52.3520742623312</v>
      </c>
      <c r="P32" s="44" t="n">
        <f aca="false">IF(DRE_Consolidado!AG7=0,0,Balanco_Consolidado!AG16/(-DRE_Consolidado!AG7)*30)</f>
        <v>43.2336439694678</v>
      </c>
      <c r="Q32" s="44" t="n">
        <f aca="false">N32+O32-P32</f>
        <v>35.0040208168037</v>
      </c>
      <c r="R32" s="45" t="n">
        <f aca="false">IF(Balanco_Consolidado!AG21=0,0,Balanco_Consolidado!AG9/Balanco_Consolidado!AG21)</f>
        <v>1.52677737749052</v>
      </c>
      <c r="S32" s="33" t="n">
        <f aca="false">Cronogramas!AG18-Balanco_Consolidado!AG5</f>
        <v>-157268.614948114</v>
      </c>
      <c r="T32" s="45" t="n">
        <f aca="false">IF((SUM(DRE_Consolidado!V17:DRE17))=0,0,S32/(SUM(DRE_Consolidado!V17:DRE17)))</f>
        <v>-0.196166350593756</v>
      </c>
      <c r="U32" s="45" t="n">
        <f aca="false">IF(Cronogramas!AG22=0,0,DRE_Consolidado!AG20/Cronogramas!AG22)</f>
        <v>3.85785577993391</v>
      </c>
      <c r="V32" s="37" t="n">
        <f aca="false">IF((Balanco_Consolidado!AG27+S32)=0,0,(SUM(DRE_Consolidado!V20:DRE20))*(1-Premissas!$B$5)/(Balanco_Consolidado!AG27+S32))</f>
        <v>0.590316394159138</v>
      </c>
      <c r="W32" s="33" t="n">
        <f aca="false">DFC_Consolidado!AG13</f>
        <v>22248.6419893821</v>
      </c>
      <c r="X32" s="33" t="n">
        <f aca="false">Balanco_Consolidado!AG9-Balanco_Consolidado!AG21</f>
        <v>304144.106969636</v>
      </c>
    </row>
    <row r="33" customFormat="false" ht="15" hidden="false" customHeight="true" outlineLevel="0" collapsed="false">
      <c r="A33" s="32" t="n">
        <v>2027</v>
      </c>
      <c r="B33" s="32" t="n">
        <v>8</v>
      </c>
      <c r="C33" s="32" t="s">
        <v>179</v>
      </c>
      <c r="D33" s="43" t="n">
        <v>46600</v>
      </c>
      <c r="E33" s="33" t="n">
        <f aca="false">DRE_Consolidado!AH4</f>
        <v>347007.5371</v>
      </c>
      <c r="F33" s="33" t="n">
        <f aca="false">DRE_Consolidado!AH6</f>
        <v>234444.57730698</v>
      </c>
      <c r="G33" s="37" t="n">
        <f aca="false">IF(DRE_Consolidado!AG4=0,0,DRE_Consolidado!AH4/DRE_Consolidado!AG4-1)</f>
        <v>-0.0724691799817029</v>
      </c>
      <c r="H33" s="37" t="n">
        <f aca="false">IF(DRE_Consolidado!V4=0,0,DRE_Consolidado!AH4/DRE_Consolidado!V4-1)</f>
        <v>0.0721646190518097</v>
      </c>
      <c r="I33" s="37" t="n">
        <f aca="false">DRE_Consolidado!AH9</f>
        <v>0.435717097533079</v>
      </c>
      <c r="J33" s="37" t="n">
        <f aca="false">DRE_Consolidado!AH18</f>
        <v>0.0654825082707526</v>
      </c>
      <c r="K33" s="37" t="n">
        <f aca="false">DRE_Consolidado!AH25</f>
        <v>0.0244971015688726</v>
      </c>
      <c r="L33" s="33" t="n">
        <f aca="false">DRE_Consolidado!AH17</f>
        <v>15352.0189725374</v>
      </c>
      <c r="M33" s="33" t="n">
        <f aca="false">DRE_Consolidado!AH24</f>
        <v>5743.2126225605</v>
      </c>
      <c r="N33" s="44" t="n">
        <f aca="false">IF(DRE_Consolidado!AH6=0,0,Balanco_Consolidado!AH6/DRE_Consolidado!AH6*30)</f>
        <v>26.7580613553049</v>
      </c>
      <c r="O33" s="44" t="n">
        <f aca="false">IF(DRE_Consolidado!AH7=0,0,Balanco_Consolidado!AH7/(-DRE_Consolidado!AH7)*30)</f>
        <v>52.3141813128989</v>
      </c>
      <c r="P33" s="44" t="n">
        <f aca="false">IF(DRE_Consolidado!AH7=0,0,Balanco_Consolidado!AH16/(-DRE_Consolidado!AH7)*30)</f>
        <v>43.0428692640329</v>
      </c>
      <c r="Q33" s="44" t="n">
        <f aca="false">N33+O33-P33</f>
        <v>36.0293734041709</v>
      </c>
      <c r="R33" s="45" t="n">
        <f aca="false">IF(Balanco_Consolidado!AH21=0,0,Balanco_Consolidado!AH9/Balanco_Consolidado!AH21)</f>
        <v>1.56139328598325</v>
      </c>
      <c r="S33" s="33" t="n">
        <f aca="false">Cronogramas!AH18-Balanco_Consolidado!AH5</f>
        <v>-167495.969959962</v>
      </c>
      <c r="T33" s="45" t="n">
        <f aca="false">IF((SUM(DRE_Consolidado!W17:DRE17))=0,0,S33/(SUM(DRE_Consolidado!W17:DRE17)))</f>
        <v>-0.213524824337589</v>
      </c>
      <c r="U33" s="45" t="n">
        <f aca="false">IF(Cronogramas!AH22=0,0,DRE_Consolidado!AH20/Cronogramas!AH22)</f>
        <v>2.37537759903639</v>
      </c>
      <c r="V33" s="37" t="n">
        <f aca="false">IF((Balanco_Consolidado!AH27+S33)=0,0,(SUM(DRE_Consolidado!W20:DRE20))*(1-Premissas!$B$5)/(Balanco_Consolidado!AH27+S33))</f>
        <v>0.581431561565676</v>
      </c>
      <c r="W33" s="33" t="n">
        <f aca="false">DFC_Consolidado!AH13</f>
        <v>13744.0236714524</v>
      </c>
      <c r="X33" s="33" t="n">
        <f aca="false">Balanco_Consolidado!AH9-Balanco_Consolidado!AH21</f>
        <v>307791.250132752</v>
      </c>
    </row>
    <row r="34" customFormat="false" ht="15" hidden="false" customHeight="true" outlineLevel="0" collapsed="false">
      <c r="A34" s="32" t="n">
        <v>2027</v>
      </c>
      <c r="B34" s="32" t="n">
        <v>9</v>
      </c>
      <c r="C34" s="32" t="s">
        <v>180</v>
      </c>
      <c r="D34" s="43" t="n">
        <v>46631</v>
      </c>
      <c r="E34" s="33" t="n">
        <f aca="false">DRE_Consolidado!AI4</f>
        <v>345213.6096</v>
      </c>
      <c r="F34" s="33" t="n">
        <f aca="false">DRE_Consolidado!AI6</f>
        <v>232515.06267629</v>
      </c>
      <c r="G34" s="37" t="n">
        <f aca="false">IF(DRE_Consolidado!AH4=0,0,DRE_Consolidado!AI4/DRE_Consolidado!AH4-1)</f>
        <v>-0.00516970759480384</v>
      </c>
      <c r="H34" s="37" t="n">
        <f aca="false">IF(DRE_Consolidado!W4=0,0,DRE_Consolidado!AI4/DRE_Consolidado!W4-1)</f>
        <v>0.0706137103862183</v>
      </c>
      <c r="I34" s="37" t="n">
        <f aca="false">DRE_Consolidado!AI9</f>
        <v>0.42791600198533</v>
      </c>
      <c r="J34" s="37" t="n">
        <f aca="false">DRE_Consolidado!AI18</f>
        <v>0.0547488072156322</v>
      </c>
      <c r="K34" s="37" t="n">
        <f aca="false">DRE_Consolidado!AI25</f>
        <v>0.0175356245528507</v>
      </c>
      <c r="L34" s="33" t="n">
        <f aca="false">DRE_Consolidado!AI17</f>
        <v>12729.9223411948</v>
      </c>
      <c r="M34" s="33" t="n">
        <f aca="false">DRE_Consolidado!AI24</f>
        <v>4077.29684197398</v>
      </c>
      <c r="N34" s="44" t="n">
        <f aca="false">IF(DRE_Consolidado!AI6=0,0,Balanco_Consolidado!AI6/DRE_Consolidado!AI6*30)</f>
        <v>26.2165625234046</v>
      </c>
      <c r="O34" s="44" t="n">
        <f aca="false">IF(DRE_Consolidado!AI7=0,0,Balanco_Consolidado!AI7/(-DRE_Consolidado!AI7)*30)</f>
        <v>52.6261129264977</v>
      </c>
      <c r="P34" s="44" t="n">
        <f aca="false">IF(DRE_Consolidado!AI7=0,0,Balanco_Consolidado!AI16/(-DRE_Consolidado!AI7)*30)</f>
        <v>43.2917555159826</v>
      </c>
      <c r="Q34" s="44" t="n">
        <f aca="false">N34+O34-P34</f>
        <v>35.5509199339198</v>
      </c>
      <c r="R34" s="45" t="n">
        <f aca="false">IF(Balanco_Consolidado!AI21=0,0,Balanco_Consolidado!AI9/Balanco_Consolidado!AI21)</f>
        <v>1.56902727412851</v>
      </c>
      <c r="S34" s="33" t="n">
        <f aca="false">Cronogramas!AI18-Balanco_Consolidado!AI5</f>
        <v>-179188.271732559</v>
      </c>
      <c r="T34" s="45" t="n">
        <f aca="false">IF((SUM(DRE_Consolidado!X17:DRE17))=0,0,S34/(SUM(DRE_Consolidado!X17:DRE17)))</f>
        <v>-0.232917940636281</v>
      </c>
      <c r="U34" s="45" t="n">
        <f aca="false">IF(Cronogramas!AI22=0,0,DRE_Consolidado!AI20/Cronogramas!AI22)</f>
        <v>1.70659205385861</v>
      </c>
      <c r="V34" s="37" t="n">
        <f aca="false">IF((Balanco_Consolidado!AI27+S34)=0,0,(SUM(DRE_Consolidado!X20:DRE20))*(1-Premissas!$B$5)/(Balanco_Consolidado!AI27+S34))</f>
        <v>0.578555585115406</v>
      </c>
      <c r="W34" s="33" t="n">
        <f aca="false">DFC_Consolidado!AI13</f>
        <v>15180.0277127413</v>
      </c>
      <c r="X34" s="33" t="n">
        <f aca="false">Balanco_Consolidado!AI9-Balanco_Consolidado!AI21</f>
        <v>309830.484617577</v>
      </c>
    </row>
    <row r="35" customFormat="false" ht="15" hidden="false" customHeight="true" outlineLevel="0" collapsed="false">
      <c r="A35" s="32" t="n">
        <v>2027</v>
      </c>
      <c r="B35" s="32" t="n">
        <v>10</v>
      </c>
      <c r="C35" s="32" t="s">
        <v>181</v>
      </c>
      <c r="D35" s="43" t="n">
        <v>46661</v>
      </c>
      <c r="E35" s="33" t="n">
        <f aca="false">DRE_Consolidado!AJ4</f>
        <v>312518.8364</v>
      </c>
      <c r="F35" s="33" t="n">
        <f aca="false">DRE_Consolidado!AJ6</f>
        <v>209988.61276196</v>
      </c>
      <c r="G35" s="37" t="n">
        <f aca="false">IF(DRE_Consolidado!AI4=0,0,DRE_Consolidado!AJ4/DRE_Consolidado!AI4-1)</f>
        <v>-0.0947088188031854</v>
      </c>
      <c r="H35" s="37" t="n">
        <f aca="false">IF(DRE_Consolidado!X4=0,0,DRE_Consolidado!AJ4/DRE_Consolidado!X4-1)</f>
        <v>0.0725959045436888</v>
      </c>
      <c r="I35" s="37" t="n">
        <f aca="false">DRE_Consolidado!AJ9</f>
        <v>0.439281346391268</v>
      </c>
      <c r="J35" s="37" t="n">
        <f aca="false">DRE_Consolidado!AJ18</f>
        <v>0.0334427485981224</v>
      </c>
      <c r="K35" s="37" t="n">
        <f aca="false">DRE_Consolidado!AJ25</f>
        <v>0.00194672424151481</v>
      </c>
      <c r="L35" s="33" t="n">
        <f aca="false">DRE_Consolidado!AJ17</f>
        <v>7022.59638506671</v>
      </c>
      <c r="M35" s="33" t="n">
        <f aca="false">DRE_Consolidado!AJ24</f>
        <v>408.789922905774</v>
      </c>
      <c r="N35" s="44" t="n">
        <f aca="false">IF(DRE_Consolidado!AJ6=0,0,Balanco_Consolidado!AJ6/DRE_Consolidado!AJ6*30)</f>
        <v>27.9575923612454</v>
      </c>
      <c r="O35" s="44" t="n">
        <f aca="false">IF(DRE_Consolidado!AJ7=0,0,Balanco_Consolidado!AJ7/(-DRE_Consolidado!AJ7)*30)</f>
        <v>52.8013397880714</v>
      </c>
      <c r="P35" s="44" t="n">
        <f aca="false">IF(DRE_Consolidado!AJ7=0,0,Balanco_Consolidado!AJ16/(-DRE_Consolidado!AJ7)*30)</f>
        <v>43.3277898892079</v>
      </c>
      <c r="Q35" s="44" t="n">
        <f aca="false">N35+O35-P35</f>
        <v>37.4311422601089</v>
      </c>
      <c r="R35" s="45" t="n">
        <f aca="false">IF(Balanco_Consolidado!AJ21=0,0,Balanco_Consolidado!AJ9/Balanco_Consolidado!AJ21)</f>
        <v>1.6131070746618</v>
      </c>
      <c r="S35" s="33" t="n">
        <f aca="false">Cronogramas!AJ18-Balanco_Consolidado!AJ5</f>
        <v>-182119.450902861</v>
      </c>
      <c r="T35" s="45" t="n">
        <f aca="false">IF((SUM(DRE_Consolidado!Y17:DRE17))=0,0,S35/(SUM(DRE_Consolidado!Y17:DRE17)))</f>
        <v>-0.240007611173519</v>
      </c>
      <c r="U35" s="45" t="n">
        <f aca="false">IF(Cronogramas!AJ22=0,0,DRE_Consolidado!AJ20/Cronogramas!AJ22)</f>
        <v>0.155308018601229</v>
      </c>
      <c r="V35" s="37" t="n">
        <f aca="false">IF((Balanco_Consolidado!AJ27+S35)=0,0,(SUM(DRE_Consolidado!Y20:DRE20))*(1-Premissas!$B$5)/(Balanco_Consolidado!AJ27+S35))</f>
        <v>0.575828617143499</v>
      </c>
      <c r="W35" s="33" t="n">
        <f aca="false">DFC_Consolidado!AJ13</f>
        <v>6081.00836173116</v>
      </c>
      <c r="X35" s="33" t="n">
        <f aca="false">Balanco_Consolidado!AJ9-Balanco_Consolidado!AJ21</f>
        <v>308565.357508643</v>
      </c>
    </row>
    <row r="36" customFormat="false" ht="15" hidden="false" customHeight="true" outlineLevel="0" collapsed="false">
      <c r="A36" s="32" t="n">
        <v>2027</v>
      </c>
      <c r="B36" s="32" t="n">
        <v>11</v>
      </c>
      <c r="C36" s="32" t="s">
        <v>182</v>
      </c>
      <c r="D36" s="43" t="n">
        <v>46692</v>
      </c>
      <c r="E36" s="33" t="n">
        <f aca="false">DRE_Consolidado!AK4</f>
        <v>397027.9575</v>
      </c>
      <c r="F36" s="33" t="n">
        <f aca="false">DRE_Consolidado!AK6</f>
        <v>267334.10337693</v>
      </c>
      <c r="G36" s="37" t="n">
        <f aca="false">IF(DRE_Consolidado!AJ4=0,0,DRE_Consolidado!AK4/DRE_Consolidado!AJ4-1)</f>
        <v>0.270412887982966</v>
      </c>
      <c r="H36" s="37" t="n">
        <f aca="false">IF(DRE_Consolidado!Y4=0,0,DRE_Consolidado!AK4/DRE_Consolidado!Y4-1)</f>
        <v>0.0708945885060373</v>
      </c>
      <c r="I36" s="37" t="n">
        <f aca="false">DRE_Consolidado!AK9</f>
        <v>0.434458312855445</v>
      </c>
      <c r="J36" s="37" t="n">
        <f aca="false">DRE_Consolidado!AK18</f>
        <v>0.100319933212666</v>
      </c>
      <c r="K36" s="37" t="n">
        <f aca="false">DRE_Consolidado!AK25</f>
        <v>0.0505582051832993</v>
      </c>
      <c r="L36" s="33" t="n">
        <f aca="false">DRE_Consolidado!AK17</f>
        <v>26818.9393962416</v>
      </c>
      <c r="M36" s="33" t="n">
        <f aca="false">DRE_Consolidado!AK24</f>
        <v>13515.9324510242</v>
      </c>
      <c r="N36" s="44" t="n">
        <f aca="false">IF(DRE_Consolidado!AK6=0,0,Balanco_Consolidado!AK6/DRE_Consolidado!AK6*30)</f>
        <v>26.9195389459235</v>
      </c>
      <c r="O36" s="44" t="n">
        <f aca="false">IF(DRE_Consolidado!AK7=0,0,Balanco_Consolidado!AK7/(-DRE_Consolidado!AK7)*30)</f>
        <v>53.0132343687507</v>
      </c>
      <c r="P36" s="44" t="n">
        <f aca="false">IF(DRE_Consolidado!AK7=0,0,Balanco_Consolidado!AK16/(-DRE_Consolidado!AK7)*30)</f>
        <v>43.6312399357708</v>
      </c>
      <c r="Q36" s="44" t="n">
        <f aca="false">N36+O36-P36</f>
        <v>36.3015333789034</v>
      </c>
      <c r="R36" s="45" t="n">
        <f aca="false">IF(Balanco_Consolidado!AK21=0,0,Balanco_Consolidado!AK9/Balanco_Consolidado!AK21)</f>
        <v>1.54372371981812</v>
      </c>
      <c r="S36" s="33" t="n">
        <f aca="false">Cronogramas!AK18-Balanco_Consolidado!AK5</f>
        <v>-178906.52253766</v>
      </c>
      <c r="T36" s="45" t="n">
        <f aca="false">IF((SUM(DRE_Consolidado!Z17:DRE17))=0,0,S36/(SUM(DRE_Consolidado!Z17:DRE17)))</f>
        <v>-0.245202247493572</v>
      </c>
      <c r="U36" s="45" t="n">
        <f aca="false">IF(Cronogramas!AK22=0,0,DRE_Consolidado!AK20/Cronogramas!AK22)</f>
        <v>6.04452692670508</v>
      </c>
      <c r="V36" s="37" t="n">
        <f aca="false">IF((Balanco_Consolidado!AK27+S36)=0,0,(SUM(DRE_Consolidado!Z20:DRE20))*(1-Premissas!$B$5)/(Balanco_Consolidado!AK27+S36))</f>
        <v>0.529858275821922</v>
      </c>
      <c r="W36" s="33" t="n">
        <f aca="false">DFC_Consolidado!AK13</f>
        <v>797.083185452965</v>
      </c>
      <c r="X36" s="33" t="n">
        <f aca="false">Balanco_Consolidado!AK9-Balanco_Consolidado!AK21</f>
        <v>319580.607331526</v>
      </c>
    </row>
    <row r="37" customFormat="false" ht="15" hidden="false" customHeight="true" outlineLevel="0" collapsed="false">
      <c r="A37" s="32" t="n">
        <v>2027</v>
      </c>
      <c r="B37" s="32" t="n">
        <v>12</v>
      </c>
      <c r="C37" s="32" t="s">
        <v>183</v>
      </c>
      <c r="D37" s="43" t="n">
        <v>46722</v>
      </c>
      <c r="E37" s="33" t="n">
        <f aca="false">DRE_Consolidado!AL4</f>
        <v>426285.1544</v>
      </c>
      <c r="F37" s="33" t="n">
        <f aca="false">DRE_Consolidado!AL6</f>
        <v>288201.10136035</v>
      </c>
      <c r="G37" s="37" t="n">
        <f aca="false">IF(DRE_Consolidado!AK4=0,0,DRE_Consolidado!AL4/DRE_Consolidado!AK4-1)</f>
        <v>0.0736905206480327</v>
      </c>
      <c r="H37" s="37" t="n">
        <f aca="false">IF(DRE_Consolidado!Z4=0,0,DRE_Consolidado!AL4/DRE_Consolidado!Z4-1)</f>
        <v>0.0703605251954642</v>
      </c>
      <c r="I37" s="37" t="n">
        <f aca="false">DRE_Consolidado!AL9</f>
        <v>0.434248090428679</v>
      </c>
      <c r="J37" s="37" t="n">
        <f aca="false">DRE_Consolidado!AL18</f>
        <v>0.119410831614185</v>
      </c>
      <c r="K37" s="37" t="n">
        <f aca="false">DRE_Consolidado!AL25</f>
        <v>0.0643031233369698</v>
      </c>
      <c r="L37" s="33" t="n">
        <f aca="false">DRE_Consolidado!AL17</f>
        <v>34414.3331855635</v>
      </c>
      <c r="M37" s="33" t="n">
        <f aca="false">DRE_Consolidado!AL24</f>
        <v>18532.2309666251</v>
      </c>
      <c r="N37" s="44" t="n">
        <f aca="false">IF(DRE_Consolidado!AL6=0,0,Balanco_Consolidado!AL6/DRE_Consolidado!AL6*30)</f>
        <v>26.1350403654115</v>
      </c>
      <c r="O37" s="44" t="n">
        <f aca="false">IF(DRE_Consolidado!AL7=0,0,Balanco_Consolidado!AL7/(-DRE_Consolidado!AL7)*30)</f>
        <v>52.945526025345</v>
      </c>
      <c r="P37" s="44" t="n">
        <f aca="false">IF(DRE_Consolidado!AL7=0,0,Balanco_Consolidado!AL16/(-DRE_Consolidado!AL7)*30)</f>
        <v>43.7222995518196</v>
      </c>
      <c r="Q37" s="44" t="n">
        <f aca="false">N37+O37-P37</f>
        <v>35.3582668389369</v>
      </c>
      <c r="R37" s="45" t="n">
        <f aca="false">IF(Balanco_Consolidado!AL21=0,0,Balanco_Consolidado!AL9/Balanco_Consolidado!AL21)</f>
        <v>1.54653103143111</v>
      </c>
      <c r="S37" s="33" t="n">
        <f aca="false">Cronogramas!AL18-Balanco_Consolidado!AL5</f>
        <v>-197018.241865281</v>
      </c>
      <c r="T37" s="45" t="n">
        <f aca="false">IF((SUM(DRE_Consolidado!AA17:DRE17))=0,0,S37/(SUM(DRE_Consolidado!AA17:DRE17)))</f>
        <v>-0.284040055254138</v>
      </c>
      <c r="U37" s="45" t="n">
        <f aca="false">IF(Cronogramas!AL22=0,0,DRE_Consolidado!AL20/Cronogramas!AL22)</f>
        <v>8.70905597668155</v>
      </c>
      <c r="V37" s="37" t="n">
        <f aca="false">IF((Balanco_Consolidado!AL27+S37)=0,0,(SUM(DRE_Consolidado!AA20:DRE20))*(1-Premissas!$B$5)/(Balanco_Consolidado!AL27+S37))</f>
        <v>0.493049160368446</v>
      </c>
      <c r="W37" s="33" t="n">
        <f aca="false">DFC_Consolidado!AL13</f>
        <v>22434.7358480265</v>
      </c>
      <c r="X37" s="33" t="n">
        <f aca="false">Balanco_Consolidado!AL9-Balanco_Consolidado!AL21</f>
        <v>335335.175837929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</cols>
  <sheetData>
    <row r="1" customFormat="false" ht="15.75" hidden="false" customHeight="true" outlineLevel="0" collapsed="false">
      <c r="A1" s="28" t="s">
        <v>270</v>
      </c>
    </row>
    <row r="2" customFormat="false" ht="15" hidden="false" customHeight="true" outlineLevel="0" collapsed="false">
      <c r="A2" s="15" t="s">
        <v>271</v>
      </c>
    </row>
    <row r="4" customFormat="false" ht="15" hidden="false" customHeight="true" outlineLevel="0" collapsed="false">
      <c r="A4" s="25" t="s">
        <v>272</v>
      </c>
      <c r="B4" s="25" t="s">
        <v>121</v>
      </c>
      <c r="C4" s="25" t="s">
        <v>122</v>
      </c>
      <c r="D4" s="25" t="s">
        <v>123</v>
      </c>
    </row>
    <row r="5" customFormat="false" ht="15" hidden="false" customHeight="true" outlineLevel="0" collapsed="false">
      <c r="A5" s="16" t="s">
        <v>188</v>
      </c>
      <c r="B5" s="46" t="n">
        <f aca="false">DRE_Consolidado!AO4*(1+(DRE_Consolidado!AP4/DRE_Consolidado!AO4-1)*Premissas!B46)</f>
        <v>3897962.7229</v>
      </c>
      <c r="C5" s="46" t="n">
        <f aca="false">DRE_Consolidado!AO4*(1+(DRE_Consolidado!AP4/DRE_Consolidado!AO4-1)*Premissas!B47)</f>
        <v>4032546.7658</v>
      </c>
      <c r="D5" s="46" t="n">
        <f aca="false">DRE_Consolidado!AO4*(1+(DRE_Consolidado!AP4/DRE_Consolidado!AO4-1)*Premissas!B48)</f>
        <v>4167130.8087</v>
      </c>
    </row>
    <row r="6" customFormat="false" ht="15" hidden="false" customHeight="true" outlineLevel="0" collapsed="false">
      <c r="A6" s="23" t="s">
        <v>190</v>
      </c>
      <c r="B6" s="47" t="n">
        <f aca="false">B5*(DRE_Consolidado!AP6/DRE_Consolidado!AP4)</f>
        <v>2630420.38820711</v>
      </c>
      <c r="C6" s="47" t="n">
        <f aca="false">C5*(DRE_Consolidado!AP6/DRE_Consolidado!AP4)</f>
        <v>2721240.29479363</v>
      </c>
      <c r="D6" s="47" t="n">
        <f aca="false">D5*(DRE_Consolidado!AP6/DRE_Consolidado!AP4)</f>
        <v>2812060.20138015</v>
      </c>
    </row>
    <row r="7" customFormat="false" ht="15" hidden="false" customHeight="true" outlineLevel="0" collapsed="false">
      <c r="A7" s="16" t="s">
        <v>192</v>
      </c>
      <c r="B7" s="46" t="n">
        <f aca="false">B6*(DRE_Consolidado!AP8/DRE_Consolidado!AP6+Premissas!C46)</f>
        <v>1095208.53835369</v>
      </c>
      <c r="C7" s="46" t="n">
        <f aca="false">C6*(DRE_Consolidado!AP8/DRE_Consolidado!AP6+Premissas!C47)</f>
        <v>1187447.35207583</v>
      </c>
      <c r="D7" s="46" t="n">
        <f aca="false">D6*(DRE_Consolidado!AP8/DRE_Consolidado!AP6+Premissas!C48)</f>
        <v>1269258.66105453</v>
      </c>
    </row>
    <row r="8" customFormat="false" ht="15" hidden="false" customHeight="true" outlineLevel="0" collapsed="false">
      <c r="A8" s="32" t="s">
        <v>273</v>
      </c>
      <c r="B8" s="48" t="n">
        <f aca="false">-(DRE_Consolidado!AP8-DRE_Consolidado!AP17)*(B6/DRE_Consolidado!AP6)*Premissas!D46</f>
        <v>-1041637.72032046</v>
      </c>
      <c r="C8" s="48" t="n">
        <f aca="false">-(DRE_Consolidado!AP8-DRE_Consolidado!AP17)*(C6/DRE_Consolidado!AP6)*Premissas!D47</f>
        <v>-1036155.86644404</v>
      </c>
      <c r="D8" s="48" t="n">
        <f aca="false">-(DRE_Consolidado!AP8-DRE_Consolidado!AP17)*(D6/DRE_Consolidado!AP6)*Premissas!D48</f>
        <v>-1038614.8917564</v>
      </c>
    </row>
    <row r="9" customFormat="false" ht="15" hidden="false" customHeight="true" outlineLevel="0" collapsed="false">
      <c r="A9" s="34" t="s">
        <v>260</v>
      </c>
      <c r="B9" s="49" t="n">
        <f aca="false">B7+B8</f>
        <v>53570.8180332339</v>
      </c>
      <c r="C9" s="49" t="n">
        <f aca="false">C7+C8</f>
        <v>151291.48563179</v>
      </c>
      <c r="D9" s="49" t="n">
        <f aca="false">D7+D8</f>
        <v>230643.769298133</v>
      </c>
    </row>
    <row r="10" customFormat="false" ht="15" hidden="false" customHeight="true" outlineLevel="0" collapsed="false">
      <c r="A10" s="32" t="s">
        <v>274</v>
      </c>
      <c r="B10" s="48" t="n">
        <f aca="false">--DRE_Consolidado!AP19</f>
        <v>-76537.0593310392</v>
      </c>
      <c r="C10" s="48" t="n">
        <f aca="false">--DRE_Consolidado!AP19</f>
        <v>-76537.0593310392</v>
      </c>
      <c r="D10" s="48" t="n">
        <f aca="false">--DRE_Consolidado!AP19</f>
        <v>-76537.0593310392</v>
      </c>
    </row>
    <row r="11" customFormat="false" ht="15" hidden="false" customHeight="true" outlineLevel="0" collapsed="false">
      <c r="A11" s="23" t="s">
        <v>204</v>
      </c>
      <c r="B11" s="47" t="n">
        <f aca="false">B9+B10</f>
        <v>-22966.2412978053</v>
      </c>
      <c r="C11" s="47" t="n">
        <f aca="false">C9+C10</f>
        <v>74754.4263007507</v>
      </c>
      <c r="D11" s="47" t="n">
        <f aca="false">D9+D10</f>
        <v>154106.709967094</v>
      </c>
    </row>
    <row r="12" customFormat="false" ht="15" hidden="false" customHeight="true" outlineLevel="0" collapsed="false">
      <c r="A12" s="32" t="s">
        <v>205</v>
      </c>
      <c r="B12" s="48" t="n">
        <f aca="false">DRE_Consolidado!AP21</f>
        <v>-4429.02102422175</v>
      </c>
      <c r="C12" s="48" t="n">
        <f aca="false">DRE_Consolidado!AP21</f>
        <v>-4429.02102422175</v>
      </c>
      <c r="D12" s="48" t="n">
        <f aca="false">DRE_Consolidado!AP21</f>
        <v>-4429.02102422175</v>
      </c>
    </row>
    <row r="13" customFormat="false" ht="15" hidden="false" customHeight="true" outlineLevel="0" collapsed="false">
      <c r="A13" s="23" t="s">
        <v>275</v>
      </c>
      <c r="B13" s="47" t="n">
        <f aca="false">B11+B12</f>
        <v>-27395.2623220271</v>
      </c>
      <c r="C13" s="47" t="n">
        <f aca="false">C11+C12</f>
        <v>70325.405276529</v>
      </c>
      <c r="D13" s="47" t="n">
        <f aca="false">D11+D12</f>
        <v>149677.688942872</v>
      </c>
    </row>
    <row r="14" customFormat="false" ht="15" hidden="false" customHeight="true" outlineLevel="0" collapsed="false">
      <c r="A14" s="32" t="s">
        <v>207</v>
      </c>
      <c r="B14" s="48" t="n">
        <f aca="false">-MAX(0,B13)*Premissas!$B$5</f>
        <v>-0</v>
      </c>
      <c r="C14" s="48" t="n">
        <f aca="false">-MAX(0,C13)*Premissas!$B$5</f>
        <v>-23910.6377940199</v>
      </c>
      <c r="D14" s="48" t="n">
        <f aca="false">-MAX(0,D13)*Premissas!$B$5</f>
        <v>-50890.4142405765</v>
      </c>
    </row>
    <row r="15" customFormat="false" ht="15" hidden="false" customHeight="true" outlineLevel="0" collapsed="false">
      <c r="A15" s="34" t="s">
        <v>208</v>
      </c>
      <c r="B15" s="49" t="n">
        <f aca="false">B13+B14</f>
        <v>-27395.2623220271</v>
      </c>
      <c r="C15" s="49" t="n">
        <f aca="false">C13+C14</f>
        <v>46414.7674825091</v>
      </c>
      <c r="D15" s="49" t="n">
        <f aca="false">D13+D14</f>
        <v>98787.2747022955</v>
      </c>
    </row>
    <row r="17" customFormat="false" ht="15" hidden="false" customHeight="true" outlineLevel="0" collapsed="false">
      <c r="A17" s="32" t="s">
        <v>202</v>
      </c>
      <c r="B17" s="37" t="n">
        <f aca="false">B9/B6</f>
        <v>0.0203658769805033</v>
      </c>
      <c r="C17" s="37" t="n">
        <f aca="false">C9/C6</f>
        <v>0.0555965182204769</v>
      </c>
      <c r="D17" s="37" t="n">
        <f aca="false">D9/D6</f>
        <v>0.082019499150457</v>
      </c>
    </row>
    <row r="18" customFormat="false" ht="15" hidden="false" customHeight="true" outlineLevel="0" collapsed="false">
      <c r="A18" s="32" t="s">
        <v>209</v>
      </c>
      <c r="B18" s="37" t="n">
        <f aca="false">B15/B6</f>
        <v>-0.0104147848172282</v>
      </c>
      <c r="C18" s="37" t="n">
        <f aca="false">C15/C6</f>
        <v>0.0170564751563144</v>
      </c>
      <c r="D18" s="37" t="n">
        <f aca="false">D15/D6</f>
        <v>0.0351298576943023</v>
      </c>
    </row>
    <row r="19" customFormat="false" ht="15" hidden="false" customHeight="true" outlineLevel="0" collapsed="false">
      <c r="A19" s="32" t="s">
        <v>276</v>
      </c>
      <c r="B19" s="45" t="n">
        <f aca="false">IF(B9=0,0,(Cronogramas!AP18-Balanco_Consolidado!AP5)/B9)</f>
        <v>-7.22442284949215</v>
      </c>
      <c r="C19" s="45" t="n">
        <f aca="false">IF(C9=0,0,(Cronogramas!AP18-Balanco_Consolidado!AP5)/C9)</f>
        <v>-2.55809664535384</v>
      </c>
      <c r="D19" s="45" t="n">
        <f aca="false">IF(D9=0,0,(Cronogramas!AP18-Balanco_Consolidado!AP5)/D9)</f>
        <v>-1.67799131553828</v>
      </c>
    </row>
    <row r="20" customFormat="false" ht="15" hidden="false" customHeight="true" outlineLevel="0" collapsed="false">
      <c r="A20" s="16" t="s">
        <v>277</v>
      </c>
      <c r="B20" s="31" t="n">
        <f aca="false">DFC_Consolidado!AO21+B15+-DRE_Consolidado!AP19-(-DFC_Consolidado!AO14)-(-DFC_Consolidado!AO17)</f>
        <v>488455.91562592</v>
      </c>
      <c r="C20" s="31" t="n">
        <f aca="false">DFC_Consolidado!AO21+C15+-DRE_Consolidado!AP19-(-DFC_Consolidado!AO14)-(-DFC_Consolidado!AO17)</f>
        <v>562265.945430456</v>
      </c>
      <c r="D20" s="31" t="n">
        <f aca="false">DFC_Consolidado!AO21+D15+-DRE_Consolidado!AP19-(-DFC_Consolidado!AO14)-(-DFC_Consolidado!AO17)</f>
        <v>614638.452650243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6" min="2" style="1" width="14"/>
  </cols>
  <sheetData>
    <row r="1" customFormat="false" ht="15.75" hidden="false" customHeight="true" outlineLevel="0" collapsed="false">
      <c r="A1" s="28" t="s">
        <v>278</v>
      </c>
    </row>
    <row r="2" customFormat="false" ht="15" hidden="false" customHeight="true" outlineLevel="0" collapsed="false">
      <c r="A2" s="15" t="s">
        <v>279</v>
      </c>
    </row>
    <row r="4" customFormat="false" ht="15" hidden="false" customHeight="true" outlineLevel="0" collapsed="false">
      <c r="A4" s="23" t="s">
        <v>280</v>
      </c>
    </row>
    <row r="5" customFormat="false" ht="15" hidden="false" customHeight="true" outlineLevel="0" collapsed="false">
      <c r="A5" s="23" t="s">
        <v>281</v>
      </c>
      <c r="B5" s="30" t="s">
        <v>282</v>
      </c>
      <c r="C5" s="30" t="s">
        <v>283</v>
      </c>
      <c r="D5" s="30" t="s">
        <v>122</v>
      </c>
      <c r="E5" s="30" t="s">
        <v>284</v>
      </c>
      <c r="F5" s="30" t="s">
        <v>285</v>
      </c>
    </row>
    <row r="6" customFormat="false" ht="15" hidden="false" customHeight="true" outlineLevel="0" collapsed="false">
      <c r="A6" s="38" t="s">
        <v>286</v>
      </c>
      <c r="B6" s="50" t="n">
        <f aca="false">(((DRE_Consolidado!AP4*(1+-0.06))*(DRE_Consolidado!AP6/DRE_Consolidado!AP4))*((DRE_Consolidado!AP8/DRE_Consolidado!AP6)+-0.03))-((DRE_Consolidado!AP8-DRE_Consolidado!AP17)*(((DRE_Consolidado!AP4*(1+-0.06))*(DRE_Consolidado!AP6/DRE_Consolidado!AP4))/DRE_Consolidado!AP6))</f>
        <v>65475.020180702</v>
      </c>
      <c r="C6" s="50" t="n">
        <f aca="false">(((DRE_Consolidado!AP4*(1+-0.06))*(DRE_Consolidado!AP6/DRE_Consolidado!AP4))*((DRE_Consolidado!AP8/DRE_Consolidado!AP6)+-0.015))-((DRE_Consolidado!AP8-DRE_Consolidado!AP17)*(((DRE_Consolidado!AP4*(1+-0.06))*(DRE_Consolidado!AP6/DRE_Consolidado!AP4))/DRE_Consolidado!AP6))</f>
        <v>103844.508337292</v>
      </c>
      <c r="D6" s="50" t="n">
        <f aca="false">(((DRE_Consolidado!AP4*(1+-0.06))*(DRE_Consolidado!AP6/DRE_Consolidado!AP4))*((DRE_Consolidado!AP8/DRE_Consolidado!AP6)+0))-((DRE_Consolidado!AP8-DRE_Consolidado!AP17)*(((DRE_Consolidado!AP4*(1+-0.06))*(DRE_Consolidado!AP6/DRE_Consolidado!AP4))/DRE_Consolidado!AP6))</f>
        <v>142213.996493882</v>
      </c>
      <c r="E6" s="50" t="n">
        <f aca="false">(((DRE_Consolidado!AP4*(1+-0.06))*(DRE_Consolidado!AP6/DRE_Consolidado!AP4))*((DRE_Consolidado!AP8/DRE_Consolidado!AP6)+0.015))-((DRE_Consolidado!AP8-DRE_Consolidado!AP17)*(((DRE_Consolidado!AP4*(1+-0.06))*(DRE_Consolidado!AP6/DRE_Consolidado!AP4))/DRE_Consolidado!AP6))</f>
        <v>180583.484650473</v>
      </c>
      <c r="F6" s="50" t="n">
        <f aca="false">(((DRE_Consolidado!AP4*(1+-0.06))*(DRE_Consolidado!AP6/DRE_Consolidado!AP4))*((DRE_Consolidado!AP8/DRE_Consolidado!AP6)+0.03))-((DRE_Consolidado!AP8-DRE_Consolidado!AP17)*(((DRE_Consolidado!AP4*(1+-0.06))*(DRE_Consolidado!AP6/DRE_Consolidado!AP4))/DRE_Consolidado!AP6))</f>
        <v>218952.972807063</v>
      </c>
    </row>
    <row r="7" customFormat="false" ht="15" hidden="false" customHeight="true" outlineLevel="0" collapsed="false">
      <c r="A7" s="38" t="s">
        <v>287</v>
      </c>
      <c r="B7" s="50" t="n">
        <f aca="false">(((DRE_Consolidado!AP4*(1+-0.03))*(DRE_Consolidado!AP6/DRE_Consolidado!AP4))*((DRE_Consolidado!AP8/DRE_Consolidado!AP6)+-0.03))-((DRE_Consolidado!AP8-DRE_Consolidado!AP17)*(((DRE_Consolidado!AP4*(1+-0.03))*(DRE_Consolidado!AP6/DRE_Consolidado!AP4))/DRE_Consolidado!AP6))</f>
        <v>67564.6484843416</v>
      </c>
      <c r="C7" s="50" t="n">
        <f aca="false">(((DRE_Consolidado!AP4*(1+-0.03))*(DRE_Consolidado!AP6/DRE_Consolidado!AP4))*((DRE_Consolidado!AP8/DRE_Consolidado!AP6)+-0.015))-((DRE_Consolidado!AP8-DRE_Consolidado!AP17)*(((DRE_Consolidado!AP4*(1+-0.03))*(DRE_Consolidado!AP6/DRE_Consolidado!AP4))/DRE_Consolidado!AP6))</f>
        <v>107158.694773589</v>
      </c>
      <c r="D7" s="50" t="n">
        <f aca="false">(((DRE_Consolidado!AP4*(1+-0.03))*(DRE_Consolidado!AP6/DRE_Consolidado!AP4))*((DRE_Consolidado!AP8/DRE_Consolidado!AP6)+0))-((DRE_Consolidado!AP8-DRE_Consolidado!AP17)*(((DRE_Consolidado!AP4*(1+-0.03))*(DRE_Consolidado!AP6/DRE_Consolidado!AP4))/DRE_Consolidado!AP6))</f>
        <v>146752.741062836</v>
      </c>
      <c r="E7" s="50" t="n">
        <f aca="false">(((DRE_Consolidado!AP4*(1+-0.03))*(DRE_Consolidado!AP6/DRE_Consolidado!AP4))*((DRE_Consolidado!AP8/DRE_Consolidado!AP6)+0.015))-((DRE_Consolidado!AP8-DRE_Consolidado!AP17)*(((DRE_Consolidado!AP4*(1+-0.03))*(DRE_Consolidado!AP6/DRE_Consolidado!AP4))/DRE_Consolidado!AP6))</f>
        <v>186346.787352084</v>
      </c>
      <c r="F7" s="50" t="n">
        <f aca="false">(((DRE_Consolidado!AP4*(1+-0.03))*(DRE_Consolidado!AP6/DRE_Consolidado!AP4))*((DRE_Consolidado!AP8/DRE_Consolidado!AP6)+0.03))-((DRE_Consolidado!AP8-DRE_Consolidado!AP17)*(((DRE_Consolidado!AP4*(1+-0.03))*(DRE_Consolidado!AP6/DRE_Consolidado!AP4))/DRE_Consolidado!AP6))</f>
        <v>225940.833641331</v>
      </c>
    </row>
    <row r="8" customFormat="false" ht="15" hidden="false" customHeight="true" outlineLevel="0" collapsed="false">
      <c r="A8" s="38" t="s">
        <v>122</v>
      </c>
      <c r="B8" s="50" t="n">
        <f aca="false">(((DRE_Consolidado!AP4*(1+0))*(DRE_Consolidado!AP6/DRE_Consolidado!AP4))*((DRE_Consolidado!AP8/DRE_Consolidado!AP6)+-0.03))-((DRE_Consolidado!AP8-DRE_Consolidado!AP17)*(((DRE_Consolidado!AP4*(1+0))*(DRE_Consolidado!AP6/DRE_Consolidado!AP4))/DRE_Consolidado!AP6))</f>
        <v>69654.2767879808</v>
      </c>
      <c r="C8" s="50" t="n">
        <f aca="false">(((DRE_Consolidado!AP4*(1+0))*(DRE_Consolidado!AP6/DRE_Consolidado!AP4))*((DRE_Consolidado!AP8/DRE_Consolidado!AP6)+-0.015))-((DRE_Consolidado!AP8-DRE_Consolidado!AP17)*(((DRE_Consolidado!AP4*(1+0))*(DRE_Consolidado!AP6/DRE_Consolidado!AP4))/DRE_Consolidado!AP6))</f>
        <v>110472.881209885</v>
      </c>
      <c r="D8" s="51" t="n">
        <f aca="false">(((DRE_Consolidado!AP4*(1+0))*(DRE_Consolidado!AP6/DRE_Consolidado!AP4))*((DRE_Consolidado!AP8/DRE_Consolidado!AP6)+0))-((DRE_Consolidado!AP8-DRE_Consolidado!AP17)*(((DRE_Consolidado!AP4*(1+0))*(DRE_Consolidado!AP6/DRE_Consolidado!AP4))/DRE_Consolidado!AP6))</f>
        <v>151291.48563179</v>
      </c>
      <c r="E8" s="50" t="n">
        <f aca="false">(((DRE_Consolidado!AP4*(1+0))*(DRE_Consolidado!AP6/DRE_Consolidado!AP4))*((DRE_Consolidado!AP8/DRE_Consolidado!AP6)+0.015))-((DRE_Consolidado!AP8-DRE_Consolidado!AP17)*(((DRE_Consolidado!AP4*(1+0))*(DRE_Consolidado!AP6/DRE_Consolidado!AP4))/DRE_Consolidado!AP6))</f>
        <v>192110.090053694</v>
      </c>
      <c r="F8" s="50" t="n">
        <f aca="false">(((DRE_Consolidado!AP4*(1+0))*(DRE_Consolidado!AP6/DRE_Consolidado!AP4))*((DRE_Consolidado!AP8/DRE_Consolidado!AP6)+0.03))-((DRE_Consolidado!AP8-DRE_Consolidado!AP17)*(((DRE_Consolidado!AP4*(1+0))*(DRE_Consolidado!AP6/DRE_Consolidado!AP4))/DRE_Consolidado!AP6))</f>
        <v>232928.694475599</v>
      </c>
    </row>
    <row r="9" customFormat="false" ht="15" hidden="false" customHeight="true" outlineLevel="0" collapsed="false">
      <c r="A9" s="38" t="s">
        <v>288</v>
      </c>
      <c r="B9" s="50" t="n">
        <f aca="false">(((DRE_Consolidado!AP4*(1+0.03))*(DRE_Consolidado!AP6/DRE_Consolidado!AP4))*((DRE_Consolidado!AP8/DRE_Consolidado!AP6)+-0.03))-((DRE_Consolidado!AP8-DRE_Consolidado!AP17)*(((DRE_Consolidado!AP4*(1+0.03))*(DRE_Consolidado!AP6/DRE_Consolidado!AP4))/DRE_Consolidado!AP6))</f>
        <v>71743.9050916205</v>
      </c>
      <c r="C9" s="50" t="n">
        <f aca="false">(((DRE_Consolidado!AP4*(1+0.03))*(DRE_Consolidado!AP6/DRE_Consolidado!AP4))*((DRE_Consolidado!AP8/DRE_Consolidado!AP6)+-0.015))-((DRE_Consolidado!AP8-DRE_Consolidado!AP17)*(((DRE_Consolidado!AP4*(1+0.03))*(DRE_Consolidado!AP6/DRE_Consolidado!AP4))/DRE_Consolidado!AP6))</f>
        <v>113787.067646182</v>
      </c>
      <c r="D9" s="50" t="n">
        <f aca="false">(((DRE_Consolidado!AP4*(1+0.03))*(DRE_Consolidado!AP6/DRE_Consolidado!AP4))*((DRE_Consolidado!AP8/DRE_Consolidado!AP6)+0))-((DRE_Consolidado!AP8-DRE_Consolidado!AP17)*(((DRE_Consolidado!AP4*(1+0.03))*(DRE_Consolidado!AP6/DRE_Consolidado!AP4))/DRE_Consolidado!AP6))</f>
        <v>155830.230200744</v>
      </c>
      <c r="E9" s="50" t="n">
        <f aca="false">(((DRE_Consolidado!AP4*(1+0.03))*(DRE_Consolidado!AP6/DRE_Consolidado!AP4))*((DRE_Consolidado!AP8/DRE_Consolidado!AP6)+0.015))-((DRE_Consolidado!AP8-DRE_Consolidado!AP17)*(((DRE_Consolidado!AP4*(1+0.03))*(DRE_Consolidado!AP6/DRE_Consolidado!AP4))/DRE_Consolidado!AP6))</f>
        <v>197873.392755305</v>
      </c>
      <c r="F9" s="50" t="n">
        <f aca="false">(((DRE_Consolidado!AP4*(1+0.03))*(DRE_Consolidado!AP6/DRE_Consolidado!AP4))*((DRE_Consolidado!AP8/DRE_Consolidado!AP6)+0.03))-((DRE_Consolidado!AP8-DRE_Consolidado!AP17)*(((DRE_Consolidado!AP4*(1+0.03))*(DRE_Consolidado!AP6/DRE_Consolidado!AP4))/DRE_Consolidado!AP6))</f>
        <v>239916.555309867</v>
      </c>
    </row>
    <row r="10" customFormat="false" ht="15" hidden="false" customHeight="true" outlineLevel="0" collapsed="false">
      <c r="A10" s="38" t="s">
        <v>289</v>
      </c>
      <c r="B10" s="50" t="n">
        <f aca="false">(((DRE_Consolidado!AP4*(1+0.06))*(DRE_Consolidado!AP6/DRE_Consolidado!AP4))*((DRE_Consolidado!AP8/DRE_Consolidado!AP6)+-0.03))-((DRE_Consolidado!AP8-DRE_Consolidado!AP17)*(((DRE_Consolidado!AP4*(1+0.06))*(DRE_Consolidado!AP6/DRE_Consolidado!AP4))/DRE_Consolidado!AP6))</f>
        <v>73833.5333952599</v>
      </c>
      <c r="C10" s="50" t="n">
        <f aca="false">(((DRE_Consolidado!AP4*(1+0.06))*(DRE_Consolidado!AP6/DRE_Consolidado!AP4))*((DRE_Consolidado!AP8/DRE_Consolidado!AP6)+-0.015))-((DRE_Consolidado!AP8-DRE_Consolidado!AP17)*(((DRE_Consolidado!AP4*(1+0.06))*(DRE_Consolidado!AP6/DRE_Consolidado!AP4))/DRE_Consolidado!AP6))</f>
        <v>117101.254082479</v>
      </c>
      <c r="D10" s="50" t="n">
        <f aca="false">(((DRE_Consolidado!AP4*(1+0.06))*(DRE_Consolidado!AP6/DRE_Consolidado!AP4))*((DRE_Consolidado!AP8/DRE_Consolidado!AP6)+0))-((DRE_Consolidado!AP8-DRE_Consolidado!AP17)*(((DRE_Consolidado!AP4*(1+0.06))*(DRE_Consolidado!AP6/DRE_Consolidado!AP4))/DRE_Consolidado!AP6))</f>
        <v>160368.974769698</v>
      </c>
      <c r="E10" s="50" t="n">
        <f aca="false">(((DRE_Consolidado!AP4*(1+0.06))*(DRE_Consolidado!AP6/DRE_Consolidado!AP4))*((DRE_Consolidado!AP8/DRE_Consolidado!AP6)+0.015))-((DRE_Consolidado!AP8-DRE_Consolidado!AP17)*(((DRE_Consolidado!AP4*(1+0.06))*(DRE_Consolidado!AP6/DRE_Consolidado!AP4))/DRE_Consolidado!AP6))</f>
        <v>203636.695456916</v>
      </c>
      <c r="F10" s="50" t="n">
        <f aca="false">(((DRE_Consolidado!AP4*(1+0.06))*(DRE_Consolidado!AP6/DRE_Consolidado!AP4))*((DRE_Consolidado!AP8/DRE_Consolidado!AP6)+0.03))-((DRE_Consolidado!AP8-DRE_Consolidado!AP17)*(((DRE_Consolidado!AP4*(1+0.06))*(DRE_Consolidado!AP6/DRE_Consolidado!AP4))/DRE_Consolidado!AP6))</f>
        <v>246904.416144135</v>
      </c>
    </row>
    <row r="13" customFormat="false" ht="15" hidden="false" customHeight="true" outlineLevel="0" collapsed="false">
      <c r="A13" s="23" t="s">
        <v>290</v>
      </c>
    </row>
    <row r="14" customFormat="false" ht="15" hidden="false" customHeight="true" outlineLevel="0" collapsed="false">
      <c r="A14" s="23" t="s">
        <v>291</v>
      </c>
      <c r="B14" s="30" t="s">
        <v>292</v>
      </c>
      <c r="C14" s="30" t="s">
        <v>293</v>
      </c>
      <c r="D14" s="30" t="s">
        <v>294</v>
      </c>
      <c r="E14" s="30" t="s">
        <v>295</v>
      </c>
      <c r="F14" s="30" t="s">
        <v>296</v>
      </c>
    </row>
    <row r="15" customFormat="false" ht="15" hidden="false" customHeight="true" outlineLevel="0" collapsed="false">
      <c r="A15" s="38" t="s">
        <v>282</v>
      </c>
      <c r="B15" s="50" t="n">
        <f aca="false">(((((DRE_Consolidado!AP6*((DRE_Consolidado!AP8/DRE_Consolidado!AP6)+-0.03))-((DRE_Consolidado!AP8-DRE_Consolidado!AP17)*0.9))-(-DRE_Consolidado!AP19))+DRE_Consolidado!AP21)-MAX(0,((((DRE_Consolidado!AP6*((DRE_Consolidado!AP8/DRE_Consolidado!AP6)+-0.03))-((DRE_Consolidado!AP8-DRE_Consolidado!AP17)*0.9))-(-DRE_Consolidado!AP19))+DRE_Consolidado!AP21))*Premissas!$B$5)</f>
        <v>60920.4968309017</v>
      </c>
      <c r="C15" s="50" t="n">
        <f aca="false">(((((DRE_Consolidado!AP6*((DRE_Consolidado!AP8/DRE_Consolidado!AP6)+-0.03))-((DRE_Consolidado!AP8-DRE_Consolidado!AP17)*0.95))-(-DRE_Consolidado!AP19))+DRE_Consolidado!AP21)-MAX(0,((((DRE_Consolidado!AP6*((DRE_Consolidado!AP8/DRE_Consolidado!AP6)+-0.03))-((DRE_Consolidado!AP8-DRE_Consolidado!AP17)*0.95))-(-DRE_Consolidado!AP19))+DRE_Consolidado!AP21))*Premissas!$B$5)</f>
        <v>26727.3532382485</v>
      </c>
      <c r="D15" s="50" t="n">
        <f aca="false">(((((DRE_Consolidado!AP6*((DRE_Consolidado!AP8/DRE_Consolidado!AP6)+-0.03))-((DRE_Consolidado!AP8-DRE_Consolidado!AP17)*1))-(-DRE_Consolidado!AP19))+DRE_Consolidado!AP21)-MAX(0,((((DRE_Consolidado!AP6*((DRE_Consolidado!AP8/DRE_Consolidado!AP6)+-0.03))-((DRE_Consolidado!AP8-DRE_Consolidado!AP17)*1))-(-DRE_Consolidado!AP19))+DRE_Consolidado!AP21))*Premissas!$B$5)</f>
        <v>-11311.8035672801</v>
      </c>
      <c r="E15" s="50" t="n">
        <f aca="false">(((((DRE_Consolidado!AP6*((DRE_Consolidado!AP8/DRE_Consolidado!AP6)+-0.03))-((DRE_Consolidado!AP8-DRE_Consolidado!AP17)*1.05))-(-DRE_Consolidado!AP19))+DRE_Consolidado!AP21)-MAX(0,((((DRE_Consolidado!AP6*((DRE_Consolidado!AP8/DRE_Consolidado!AP6)+-0.03))-((DRE_Consolidado!AP8-DRE_Consolidado!AP17)*1.05))-(-DRE_Consolidado!AP19))+DRE_Consolidado!AP21))*Premissas!$B$5)</f>
        <v>-63119.5968894821</v>
      </c>
      <c r="F15" s="50" t="n">
        <f aca="false">(((((DRE_Consolidado!AP6*((DRE_Consolidado!AP8/DRE_Consolidado!AP6)+-0.03))-((DRE_Consolidado!AP8-DRE_Consolidado!AP17)*1.1))-(-DRE_Consolidado!AP19))+DRE_Consolidado!AP21)-MAX(0,((((DRE_Consolidado!AP6*((DRE_Consolidado!AP8/DRE_Consolidado!AP6)+-0.03))-((DRE_Consolidado!AP8-DRE_Consolidado!AP17)*1.1))-(-DRE_Consolidado!AP19))+DRE_Consolidado!AP21))*Premissas!$B$5)</f>
        <v>-114927.390211684</v>
      </c>
    </row>
    <row r="16" customFormat="false" ht="15" hidden="false" customHeight="true" outlineLevel="0" collapsed="false">
      <c r="A16" s="38" t="s">
        <v>283</v>
      </c>
      <c r="B16" s="50" t="n">
        <f aca="false">(((((DRE_Consolidado!AP6*((DRE_Consolidado!AP8/DRE_Consolidado!AP6)+-0.015))-((DRE_Consolidado!AP8-DRE_Consolidado!AP17)*0.9))-(-DRE_Consolidado!AP19))+DRE_Consolidado!AP21)-MAX(0,((((DRE_Consolidado!AP6*((DRE_Consolidado!AP8/DRE_Consolidado!AP6)+-0.015))-((DRE_Consolidado!AP8-DRE_Consolidado!AP17)*0.9))-(-DRE_Consolidado!AP19))+DRE_Consolidado!AP21))*Premissas!$B$5)</f>
        <v>87860.7757493587</v>
      </c>
      <c r="C16" s="50" t="n">
        <f aca="false">(((((DRE_Consolidado!AP6*((DRE_Consolidado!AP8/DRE_Consolidado!AP6)+-0.015))-((DRE_Consolidado!AP8-DRE_Consolidado!AP17)*0.95))-(-DRE_Consolidado!AP19))+DRE_Consolidado!AP21)-MAX(0,((((DRE_Consolidado!AP6*((DRE_Consolidado!AP8/DRE_Consolidado!AP6)+-0.015))-((DRE_Consolidado!AP8-DRE_Consolidado!AP17)*0.95))-(-DRE_Consolidado!AP19))+DRE_Consolidado!AP21))*Premissas!$B$5)</f>
        <v>53667.6321567055</v>
      </c>
      <c r="D16" s="50" t="n">
        <f aca="false">(((((DRE_Consolidado!AP6*((DRE_Consolidado!AP8/DRE_Consolidado!AP6)+-0.015))-((DRE_Consolidado!AP8-DRE_Consolidado!AP17)*1))-(-DRE_Consolidado!AP19))+DRE_Consolidado!AP21)-MAX(0,((((DRE_Consolidado!AP6*((DRE_Consolidado!AP8/DRE_Consolidado!AP6)+-0.015))-((DRE_Consolidado!AP8-DRE_Consolidado!AP17)*1))-(-DRE_Consolidado!AP19))+DRE_Consolidado!AP21))*Premissas!$B$5)</f>
        <v>19474.4885640521</v>
      </c>
      <c r="E16" s="50" t="n">
        <f aca="false">(((((DRE_Consolidado!AP6*((DRE_Consolidado!AP8/DRE_Consolidado!AP6)+-0.015))-((DRE_Consolidado!AP8-DRE_Consolidado!AP17)*1.05))-(-DRE_Consolidado!AP19))+DRE_Consolidado!AP21)-MAX(0,((((DRE_Consolidado!AP6*((DRE_Consolidado!AP8/DRE_Consolidado!AP6)+-0.015))-((DRE_Consolidado!AP8-DRE_Consolidado!AP17)*1.05))-(-DRE_Consolidado!AP19))+DRE_Consolidado!AP21))*Premissas!$B$5)</f>
        <v>-22300.9924675775</v>
      </c>
      <c r="F16" s="50" t="n">
        <f aca="false">(((((DRE_Consolidado!AP6*((DRE_Consolidado!AP8/DRE_Consolidado!AP6)+-0.015))-((DRE_Consolidado!AP8-DRE_Consolidado!AP17)*1.1))-(-DRE_Consolidado!AP19))+DRE_Consolidado!AP21)-MAX(0,((((DRE_Consolidado!AP6*((DRE_Consolidado!AP8/DRE_Consolidado!AP6)+-0.015))-((DRE_Consolidado!AP8-DRE_Consolidado!AP17)*1.1))-(-DRE_Consolidado!AP19))+DRE_Consolidado!AP21))*Premissas!$B$5)</f>
        <v>-74108.7857897796</v>
      </c>
    </row>
    <row r="17" customFormat="false" ht="15" hidden="false" customHeight="true" outlineLevel="0" collapsed="false">
      <c r="A17" s="38" t="s">
        <v>122</v>
      </c>
      <c r="B17" s="50" t="n">
        <f aca="false">(((((DRE_Consolidado!AP6*((DRE_Consolidado!AP8/DRE_Consolidado!AP6)+0))-((DRE_Consolidado!AP8-DRE_Consolidado!AP17)*0.9))-(-DRE_Consolidado!AP19))+DRE_Consolidado!AP21)-MAX(0,((((DRE_Consolidado!AP6*((DRE_Consolidado!AP8/DRE_Consolidado!AP6)+0))-((DRE_Consolidado!AP8-DRE_Consolidado!AP17)*0.9))-(-DRE_Consolidado!AP19))+DRE_Consolidado!AP21))*Premissas!$B$5)</f>
        <v>114801.054667816</v>
      </c>
      <c r="C17" s="50" t="n">
        <f aca="false">(((((DRE_Consolidado!AP6*((DRE_Consolidado!AP8/DRE_Consolidado!AP6)+0))-((DRE_Consolidado!AP8-DRE_Consolidado!AP17)*0.95))-(-DRE_Consolidado!AP19))+DRE_Consolidado!AP21)-MAX(0,((((DRE_Consolidado!AP6*((DRE_Consolidado!AP8/DRE_Consolidado!AP6)+0))-((DRE_Consolidado!AP8-DRE_Consolidado!AP17)*0.95))-(-DRE_Consolidado!AP19))+DRE_Consolidado!AP21))*Premissas!$B$5)</f>
        <v>80607.9110751625</v>
      </c>
      <c r="D17" s="51" t="n">
        <f aca="false">(((((DRE_Consolidado!AP6*((DRE_Consolidado!AP8/DRE_Consolidado!AP6)+0))-((DRE_Consolidado!AP8-DRE_Consolidado!AP17)*1))-(-DRE_Consolidado!AP19))+DRE_Consolidado!AP21)-MAX(0,((((DRE_Consolidado!AP6*((DRE_Consolidado!AP8/DRE_Consolidado!AP6)+0))-((DRE_Consolidado!AP8-DRE_Consolidado!AP17)*1))-(-DRE_Consolidado!AP19))+DRE_Consolidado!AP21))*Premissas!$B$5)</f>
        <v>46414.7674825091</v>
      </c>
      <c r="E17" s="50" t="n">
        <f aca="false">(((((DRE_Consolidado!AP6*((DRE_Consolidado!AP8/DRE_Consolidado!AP6)+0))-((DRE_Consolidado!AP8-DRE_Consolidado!AP17)*1.05))-(-DRE_Consolidado!AP19))+DRE_Consolidado!AP21)-MAX(0,((((DRE_Consolidado!AP6*((DRE_Consolidado!AP8/DRE_Consolidado!AP6)+0))-((DRE_Consolidado!AP8-DRE_Consolidado!AP17)*1.05))-(-DRE_Consolidado!AP19))+DRE_Consolidado!AP21))*Premissas!$B$5)</f>
        <v>12221.6238898558</v>
      </c>
      <c r="F17" s="50" t="n">
        <f aca="false">(((((DRE_Consolidado!AP6*((DRE_Consolidado!AP8/DRE_Consolidado!AP6)+0))-((DRE_Consolidado!AP8-DRE_Consolidado!AP17)*1.1))-(-DRE_Consolidado!AP19))+DRE_Consolidado!AP21)-MAX(0,((((DRE_Consolidado!AP6*((DRE_Consolidado!AP8/DRE_Consolidado!AP6)+0))-((DRE_Consolidado!AP8-DRE_Consolidado!AP17)*1.1))-(-DRE_Consolidado!AP19))+DRE_Consolidado!AP21))*Premissas!$B$5)</f>
        <v>-33290.181367875</v>
      </c>
    </row>
    <row r="18" customFormat="false" ht="15" hidden="false" customHeight="true" outlineLevel="0" collapsed="false">
      <c r="A18" s="38" t="s">
        <v>284</v>
      </c>
      <c r="B18" s="50" t="n">
        <f aca="false">(((((DRE_Consolidado!AP6*((DRE_Consolidado!AP8/DRE_Consolidado!AP6)+0.015))-((DRE_Consolidado!AP8-DRE_Consolidado!AP17)*0.9))-(-DRE_Consolidado!AP19))+DRE_Consolidado!AP21)-MAX(0,((((DRE_Consolidado!AP6*((DRE_Consolidado!AP8/DRE_Consolidado!AP6)+0.015))-((DRE_Consolidado!AP8-DRE_Consolidado!AP17)*0.9))-(-DRE_Consolidado!AP19))+DRE_Consolidado!AP21))*Premissas!$B$5)</f>
        <v>141741.333586273</v>
      </c>
      <c r="C18" s="50" t="n">
        <f aca="false">(((((DRE_Consolidado!AP6*((DRE_Consolidado!AP8/DRE_Consolidado!AP6)+0.015))-((DRE_Consolidado!AP8-DRE_Consolidado!AP17)*0.95))-(-DRE_Consolidado!AP19))+DRE_Consolidado!AP21)-MAX(0,((((DRE_Consolidado!AP6*((DRE_Consolidado!AP8/DRE_Consolidado!AP6)+0.015))-((DRE_Consolidado!AP8-DRE_Consolidado!AP17)*0.95))-(-DRE_Consolidado!AP19))+DRE_Consolidado!AP21))*Premissas!$B$5)</f>
        <v>107548.189993619</v>
      </c>
      <c r="D18" s="50" t="n">
        <f aca="false">(((((DRE_Consolidado!AP6*((DRE_Consolidado!AP8/DRE_Consolidado!AP6)+0.015))-((DRE_Consolidado!AP8-DRE_Consolidado!AP17)*1))-(-DRE_Consolidado!AP19))+DRE_Consolidado!AP21)-MAX(0,((((DRE_Consolidado!AP6*((DRE_Consolidado!AP8/DRE_Consolidado!AP6)+0.015))-((DRE_Consolidado!AP8-DRE_Consolidado!AP17)*1))-(-DRE_Consolidado!AP19))+DRE_Consolidado!AP21))*Premissas!$B$5)</f>
        <v>73355.0464009661</v>
      </c>
      <c r="E18" s="50" t="n">
        <f aca="false">(((((DRE_Consolidado!AP6*((DRE_Consolidado!AP8/DRE_Consolidado!AP6)+0.015))-((DRE_Consolidado!AP8-DRE_Consolidado!AP17)*1.05))-(-DRE_Consolidado!AP19))+DRE_Consolidado!AP21)-MAX(0,((((DRE_Consolidado!AP6*((DRE_Consolidado!AP8/DRE_Consolidado!AP6)+0.015))-((DRE_Consolidado!AP8-DRE_Consolidado!AP17)*1.05))-(-DRE_Consolidado!AP19))+DRE_Consolidado!AP21))*Premissas!$B$5)</f>
        <v>39161.9028083128</v>
      </c>
      <c r="F18" s="50" t="n">
        <f aca="false">(((((DRE_Consolidado!AP6*((DRE_Consolidado!AP8/DRE_Consolidado!AP6)+0.015))-((DRE_Consolidado!AP8-DRE_Consolidado!AP17)*1.1))-(-DRE_Consolidado!AP19))+DRE_Consolidado!AP21)-MAX(0,((((DRE_Consolidado!AP6*((DRE_Consolidado!AP8/DRE_Consolidado!AP6)+0.015))-((DRE_Consolidado!AP8-DRE_Consolidado!AP17)*1.1))-(-DRE_Consolidado!AP19))+DRE_Consolidado!AP21))*Premissas!$B$5)</f>
        <v>4968.75921565948</v>
      </c>
    </row>
    <row r="19" customFormat="false" ht="15" hidden="false" customHeight="true" outlineLevel="0" collapsed="false">
      <c r="A19" s="38" t="s">
        <v>285</v>
      </c>
      <c r="B19" s="50" t="n">
        <f aca="false">(((((DRE_Consolidado!AP6*((DRE_Consolidado!AP8/DRE_Consolidado!AP6)+0.03))-((DRE_Consolidado!AP8-DRE_Consolidado!AP17)*0.9))-(-DRE_Consolidado!AP19))+DRE_Consolidado!AP21)-MAX(0,((((DRE_Consolidado!AP6*((DRE_Consolidado!AP8/DRE_Consolidado!AP6)+0.03))-((DRE_Consolidado!AP8-DRE_Consolidado!AP17)*0.9))-(-DRE_Consolidado!AP19))+DRE_Consolidado!AP21))*Premissas!$B$5)</f>
        <v>168681.612504729</v>
      </c>
      <c r="C19" s="50" t="n">
        <f aca="false">(((((DRE_Consolidado!AP6*((DRE_Consolidado!AP8/DRE_Consolidado!AP6)+0.03))-((DRE_Consolidado!AP8-DRE_Consolidado!AP17)*0.95))-(-DRE_Consolidado!AP19))+DRE_Consolidado!AP21)-MAX(0,((((DRE_Consolidado!AP6*((DRE_Consolidado!AP8/DRE_Consolidado!AP6)+0.03))-((DRE_Consolidado!AP8-DRE_Consolidado!AP17)*0.95))-(-DRE_Consolidado!AP19))+DRE_Consolidado!AP21))*Premissas!$B$5)</f>
        <v>134488.468912076</v>
      </c>
      <c r="D19" s="50" t="n">
        <f aca="false">(((((DRE_Consolidado!AP6*((DRE_Consolidado!AP8/DRE_Consolidado!AP6)+0.03))-((DRE_Consolidado!AP8-DRE_Consolidado!AP17)*1))-(-DRE_Consolidado!AP19))+DRE_Consolidado!AP21)-MAX(0,((((DRE_Consolidado!AP6*((DRE_Consolidado!AP8/DRE_Consolidado!AP6)+0.03))-((DRE_Consolidado!AP8-DRE_Consolidado!AP17)*1))-(-DRE_Consolidado!AP19))+DRE_Consolidado!AP21))*Premissas!$B$5)</f>
        <v>100295.325319423</v>
      </c>
      <c r="E19" s="50" t="n">
        <f aca="false">(((((DRE_Consolidado!AP6*((DRE_Consolidado!AP8/DRE_Consolidado!AP6)+0.03))-((DRE_Consolidado!AP8-DRE_Consolidado!AP17)*1.05))-(-DRE_Consolidado!AP19))+DRE_Consolidado!AP21)-MAX(0,((((DRE_Consolidado!AP6*((DRE_Consolidado!AP8/DRE_Consolidado!AP6)+0.03))-((DRE_Consolidado!AP8-DRE_Consolidado!AP17)*1.05))-(-DRE_Consolidado!AP19))+DRE_Consolidado!AP21))*Premissas!$B$5)</f>
        <v>66102.1817267697</v>
      </c>
      <c r="F19" s="50" t="n">
        <f aca="false">(((((DRE_Consolidado!AP6*((DRE_Consolidado!AP8/DRE_Consolidado!AP6)+0.03))-((DRE_Consolidado!AP8-DRE_Consolidado!AP17)*1.1))-(-DRE_Consolidado!AP19))+DRE_Consolidado!AP21)-MAX(0,((((DRE_Consolidado!AP6*((DRE_Consolidado!AP8/DRE_Consolidado!AP6)+0.03))-((DRE_Consolidado!AP8-DRE_Consolidado!AP17)*1.1))-(-DRE_Consolidado!AP19))+DRE_Consolidado!AP21))*Premissas!$B$5)</f>
        <v>31909.0381341163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7" topLeftCell="A4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13" min="4" style="0" width="13"/>
  </cols>
  <sheetData>
    <row r="1" customFormat="false" ht="17.35" hidden="false" customHeight="false" outlineLevel="0" collapsed="false">
      <c r="A1" s="52" t="s">
        <v>297</v>
      </c>
    </row>
    <row r="2" customFormat="false" ht="15" hidden="false" customHeight="false" outlineLevel="0" collapsed="false">
      <c r="A2" s="53" t="s">
        <v>298</v>
      </c>
    </row>
    <row r="4" customFormat="false" ht="15" hidden="false" customHeight="false" outlineLevel="0" collapsed="false">
      <c r="A4" s="54" t="s">
        <v>299</v>
      </c>
      <c r="B4" s="55"/>
    </row>
    <row r="5" customFormat="false" ht="15" hidden="false" customHeight="false" outlineLevel="0" collapsed="false">
      <c r="A5" s="56" t="s">
        <v>300</v>
      </c>
      <c r="B5" s="57" t="n">
        <v>0.06</v>
      </c>
    </row>
    <row r="7" customFormat="false" ht="15" hidden="false" customHeight="false" outlineLevel="0" collapsed="false">
      <c r="A7" s="58" t="s">
        <v>301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</row>
    <row r="8" customFormat="false" ht="15" hidden="false" customHeight="false" outlineLevel="0" collapsed="false">
      <c r="A8" s="60" t="s">
        <v>302</v>
      </c>
      <c r="B8" s="60" t="s">
        <v>303</v>
      </c>
      <c r="C8" s="60" t="s">
        <v>304</v>
      </c>
      <c r="D8" s="60" t="s">
        <v>305</v>
      </c>
      <c r="E8" s="60" t="s">
        <v>306</v>
      </c>
      <c r="F8" s="60" t="s">
        <v>307</v>
      </c>
      <c r="G8" s="60" t="s">
        <v>308</v>
      </c>
      <c r="H8" s="60" t="s">
        <v>309</v>
      </c>
      <c r="I8" s="60" t="s">
        <v>310</v>
      </c>
      <c r="J8" s="60" t="s">
        <v>311</v>
      </c>
      <c r="K8" s="60" t="s">
        <v>312</v>
      </c>
      <c r="L8" s="60" t="s">
        <v>313</v>
      </c>
      <c r="M8" s="60" t="s">
        <v>314</v>
      </c>
    </row>
    <row r="9" customFormat="false" ht="15" hidden="false" customHeight="false" outlineLevel="0" collapsed="false">
      <c r="A9" s="56" t="s">
        <v>315</v>
      </c>
      <c r="B9" s="56" t="s">
        <v>141</v>
      </c>
      <c r="C9" s="61" t="n">
        <f aca="false">SUMIFS($G$48:$G$479,$D$48:$D$479,$A9,$A$48:$A$479,2025)</f>
        <v>271762.535</v>
      </c>
      <c r="D9" s="61" t="n">
        <f aca="false">SUMIFS($H$48:$H$479,$D$48:$D$479,$A9,$A$48:$A$479,2025)</f>
        <v>258225.82</v>
      </c>
      <c r="E9" s="62" t="n">
        <f aca="false">IF(D9=0,0,C9/D9)</f>
        <v>1.05242200412027</v>
      </c>
      <c r="F9" s="61" t="n">
        <f aca="false">SUMIFS($G$48:$G$479,$D$48:$D$479,$A9,$A$48:$A$479,2026)</f>
        <v>286535.425</v>
      </c>
      <c r="G9" s="61" t="n">
        <f aca="false">SUMIFS($H$48:$H$479,$D$48:$D$479,$A9,$A$48:$A$479,2026)</f>
        <v>273719.3692</v>
      </c>
      <c r="H9" s="62" t="n">
        <f aca="false">IF(G9=0,0,F9/G9)</f>
        <v>1.04682188124815</v>
      </c>
      <c r="I9" s="61" t="n">
        <f aca="false">SUMIFS($G$48:$G$479,$D$48:$D$479,$A9,$A$48:$A$479,2027)</f>
        <v>309458.259</v>
      </c>
      <c r="J9" s="61" t="n">
        <f aca="false">SUMIFS($H$48:$H$479,$D$48:$D$479,$A9,$A$48:$A$479,2027)</f>
        <v>290142.531352</v>
      </c>
      <c r="K9" s="62" t="n">
        <f aca="false">IF(J9=0,0,I9/J9)</f>
        <v>1.06657323749811</v>
      </c>
      <c r="L9" s="62" t="n">
        <f aca="false">IF((D9+G9+J9)=0,0,(C9+F9+I9)/(D9+G9+J9))</f>
        <v>1.05555185572816</v>
      </c>
      <c r="M9" s="63" t="n">
        <f aca="false">RANK(L9,$L$9:$L$20,0)</f>
        <v>6</v>
      </c>
    </row>
    <row r="10" customFormat="false" ht="15" hidden="false" customHeight="false" outlineLevel="0" collapsed="false">
      <c r="A10" s="56" t="s">
        <v>316</v>
      </c>
      <c r="B10" s="56" t="s">
        <v>141</v>
      </c>
      <c r="C10" s="61" t="n">
        <f aca="false">SUMIFS($G$48:$G$479,$D$48:$D$479,$A10,$A$48:$A$479,2025)</f>
        <v>222351.165</v>
      </c>
      <c r="D10" s="61" t="n">
        <f aca="false">SUMIFS($H$48:$H$479,$D$48:$D$479,$A10,$A$48:$A$479,2025)</f>
        <v>244624.46</v>
      </c>
      <c r="E10" s="62" t="n">
        <f aca="false">IF(D10=0,0,C10/D10)</f>
        <v>0.908949027419417</v>
      </c>
      <c r="F10" s="61" t="n">
        <f aca="false">SUMIFS($G$48:$G$479,$D$48:$D$479,$A10,$A$48:$A$479,2026)</f>
        <v>234438.075</v>
      </c>
      <c r="G10" s="61" t="n">
        <f aca="false">SUMIFS($H$48:$H$479,$D$48:$D$479,$A10,$A$48:$A$479,2026)</f>
        <v>259301.9276</v>
      </c>
      <c r="H10" s="62" t="n">
        <f aca="false">IF(G10=0,0,F10/G10)</f>
        <v>0.904112349529638</v>
      </c>
      <c r="I10" s="61" t="n">
        <f aca="false">SUMIFS($G$48:$G$479,$D$48:$D$479,$A10,$A$48:$A$479,2027)</f>
        <v>253193.121</v>
      </c>
      <c r="J10" s="61" t="n">
        <f aca="false">SUMIFS($H$48:$H$479,$D$48:$D$479,$A10,$A$48:$A$479,2027)</f>
        <v>274860.043256</v>
      </c>
      <c r="K10" s="62" t="n">
        <f aca="false">IF(J10=0,0,I10/J10)</f>
        <v>0.921171073105669</v>
      </c>
      <c r="L10" s="62" t="n">
        <f aca="false">IF((D10+G10+J10)=0,0,(C10+F10+I10)/(D10+G10+J10))</f>
        <v>0.911652197406195</v>
      </c>
      <c r="M10" s="63" t="n">
        <f aca="false">RANK(L10,$L$9:$L$20,0)</f>
        <v>10</v>
      </c>
    </row>
    <row r="11" customFormat="false" ht="15" hidden="false" customHeight="false" outlineLevel="0" collapsed="false">
      <c r="A11" s="56" t="s">
        <v>317</v>
      </c>
      <c r="B11" s="56" t="s">
        <v>142</v>
      </c>
      <c r="C11" s="61" t="n">
        <f aca="false">SUMIFS($G$48:$G$479,$D$48:$D$479,$A11,$A$48:$A$479,2025)</f>
        <v>364938.5</v>
      </c>
      <c r="D11" s="61" t="n">
        <f aca="false">SUMIFS($H$48:$H$479,$D$48:$D$479,$A11,$A$48:$A$479,2025)</f>
        <v>364863.51</v>
      </c>
      <c r="E11" s="62" t="n">
        <f aca="false">IF(D11=0,0,C11/D11)</f>
        <v>1.00020552891135</v>
      </c>
      <c r="F11" s="61" t="n">
        <f aca="false">SUMIFS($G$48:$G$479,$D$48:$D$479,$A11,$A$48:$A$479,2026)</f>
        <v>362055.732</v>
      </c>
      <c r="G11" s="61" t="n">
        <f aca="false">SUMIFS($H$48:$H$479,$D$48:$D$479,$A11,$A$48:$A$479,2026)</f>
        <v>386755.3206</v>
      </c>
      <c r="H11" s="62" t="n">
        <f aca="false">IF(G11=0,0,F11/G11)</f>
        <v>0.936136396102627</v>
      </c>
      <c r="I11" s="61" t="n">
        <f aca="false">SUMIFS($G$48:$G$479,$D$48:$D$479,$A11,$A$48:$A$479,2027)</f>
        <v>380158.5186</v>
      </c>
      <c r="J11" s="61" t="n">
        <f aca="false">SUMIFS($H$48:$H$479,$D$48:$D$479,$A11,$A$48:$A$479,2027)</f>
        <v>409960.639836</v>
      </c>
      <c r="K11" s="62" t="n">
        <f aca="false">IF(J11=0,0,I11/J11)</f>
        <v>0.927304920667696</v>
      </c>
      <c r="L11" s="62" t="n">
        <f aca="false">IF((D11+G11+J11)=0,0,(C11+F11+I11)/(D11+G11+J11))</f>
        <v>0.953144213356689</v>
      </c>
      <c r="M11" s="63" t="n">
        <f aca="false">RANK(L11,$L$9:$L$20,0)</f>
        <v>8</v>
      </c>
    </row>
    <row r="12" customFormat="false" ht="15" hidden="false" customHeight="false" outlineLevel="0" collapsed="false">
      <c r="A12" s="56" t="s">
        <v>318</v>
      </c>
      <c r="B12" s="56" t="s">
        <v>142</v>
      </c>
      <c r="C12" s="61" t="n">
        <f aca="false">SUMIFS($G$48:$G$479,$D$48:$D$479,$A12,$A$48:$A$479,2025)</f>
        <v>319321.1875</v>
      </c>
      <c r="D12" s="61" t="n">
        <f aca="false">SUMIFS($H$48:$H$479,$D$48:$D$479,$A12,$A$48:$A$479,2025)</f>
        <v>287371.26</v>
      </c>
      <c r="E12" s="62" t="n">
        <f aca="false">IF(D12=0,0,C12/D12)</f>
        <v>1.1111799680316</v>
      </c>
      <c r="F12" s="61" t="n">
        <f aca="false">SUMIFS($G$48:$G$479,$D$48:$D$479,$A12,$A$48:$A$479,2026)</f>
        <v>316798.7655</v>
      </c>
      <c r="G12" s="61" t="n">
        <f aca="false">SUMIFS($H$48:$H$479,$D$48:$D$479,$A12,$A$48:$A$479,2026)</f>
        <v>304613.5356</v>
      </c>
      <c r="H12" s="62" t="n">
        <f aca="false">IF(G12=0,0,F12/G12)</f>
        <v>1.0400022601622</v>
      </c>
      <c r="I12" s="61" t="n">
        <f aca="false">SUMIFS($G$48:$G$479,$D$48:$D$479,$A12,$A$48:$A$479,2027)</f>
        <v>332638.703775</v>
      </c>
      <c r="J12" s="61" t="n">
        <f aca="false">SUMIFS($H$48:$H$479,$D$48:$D$479,$A12,$A$48:$A$479,2027)</f>
        <v>322890.347736</v>
      </c>
      <c r="K12" s="62" t="n">
        <f aca="false">IF(J12=0,0,I12/J12)</f>
        <v>1.0301909180852</v>
      </c>
      <c r="L12" s="62" t="n">
        <f aca="false">IF((D12+G12+J12)=0,0,(C12+F12+I12)/(D12+G12+J12))</f>
        <v>1.05889712255436</v>
      </c>
      <c r="M12" s="63" t="n">
        <f aca="false">RANK(L12,$L$9:$L$20,0)</f>
        <v>5</v>
      </c>
    </row>
    <row r="13" customFormat="false" ht="15" hidden="false" customHeight="false" outlineLevel="0" collapsed="false">
      <c r="A13" s="56" t="s">
        <v>319</v>
      </c>
      <c r="B13" s="56" t="s">
        <v>142</v>
      </c>
      <c r="C13" s="61" t="n">
        <f aca="false">SUMIFS($G$48:$G$479,$D$48:$D$479,$A13,$A$48:$A$479,2025)</f>
        <v>228086.5625</v>
      </c>
      <c r="D13" s="61" t="n">
        <f aca="false">SUMIFS($H$48:$H$479,$D$48:$D$479,$A13,$A$48:$A$479,2025)</f>
        <v>273672.63</v>
      </c>
      <c r="E13" s="62" t="n">
        <f aca="false">IF(D13=0,0,C13/D13)</f>
        <v>0.833428474378311</v>
      </c>
      <c r="F13" s="61" t="n">
        <f aca="false">SUMIFS($G$48:$G$479,$D$48:$D$479,$A13,$A$48:$A$479,2026)</f>
        <v>226284.8325</v>
      </c>
      <c r="G13" s="61" t="n">
        <f aca="false">SUMIFS($H$48:$H$479,$D$48:$D$479,$A13,$A$48:$A$479,2026)</f>
        <v>290092.9878</v>
      </c>
      <c r="H13" s="62" t="n">
        <f aca="false">IF(G13=0,0,F13/G13)</f>
        <v>0.780042407147078</v>
      </c>
      <c r="I13" s="61" t="n">
        <f aca="false">SUMIFS($G$48:$G$479,$D$48:$D$479,$A13,$A$48:$A$479,2027)</f>
        <v>237599.074125</v>
      </c>
      <c r="J13" s="61" t="n">
        <f aca="false">SUMIFS($H$48:$H$479,$D$48:$D$479,$A13,$A$48:$A$479,2027)</f>
        <v>307498.567068</v>
      </c>
      <c r="K13" s="62" t="n">
        <f aca="false">IF(J13=0,0,I13/J13)</f>
        <v>0.772683516513615</v>
      </c>
      <c r="L13" s="62" t="n">
        <f aca="false">IF((D13+G13+J13)=0,0,(C13+F13+I13)/(D13+G13+J13))</f>
        <v>0.794214293601241</v>
      </c>
      <c r="M13" s="63" t="n">
        <f aca="false">RANK(L13,$L$9:$L$20,0)</f>
        <v>12</v>
      </c>
    </row>
    <row r="14" customFormat="false" ht="15" hidden="false" customHeight="false" outlineLevel="0" collapsed="false">
      <c r="A14" s="56" t="s">
        <v>320</v>
      </c>
      <c r="B14" s="56" t="s">
        <v>143</v>
      </c>
      <c r="C14" s="61" t="n">
        <f aca="false">SUMIFS($G$48:$G$479,$D$48:$D$479,$A14,$A$48:$A$479,2025)</f>
        <v>80765.544</v>
      </c>
      <c r="D14" s="61" t="n">
        <f aca="false">SUMIFS($H$48:$H$479,$D$48:$D$479,$A14,$A$48:$A$479,2025)</f>
        <v>84791.52</v>
      </c>
      <c r="E14" s="62" t="n">
        <f aca="false">IF(D14=0,0,C14/D14)</f>
        <v>0.952519119836512</v>
      </c>
      <c r="F14" s="61" t="n">
        <f aca="false">SUMIFS($G$48:$G$479,$D$48:$D$479,$A14,$A$48:$A$479,2026)</f>
        <v>118276.704</v>
      </c>
      <c r="G14" s="61" t="n">
        <f aca="false">SUMIFS($H$48:$H$479,$D$48:$D$479,$A14,$A$48:$A$479,2026)</f>
        <v>89879.0112</v>
      </c>
      <c r="H14" s="62" t="n">
        <f aca="false">IF(G14=0,0,F14/G14)</f>
        <v>1.31595466417414</v>
      </c>
      <c r="I14" s="61" t="n">
        <f aca="false">SUMIFS($G$48:$G$479,$D$48:$D$479,$A14,$A$48:$A$479,2027)</f>
        <v>130104.3744</v>
      </c>
      <c r="J14" s="61" t="n">
        <f aca="false">SUMIFS($H$48:$H$479,$D$48:$D$479,$A14,$A$48:$A$479,2027)</f>
        <v>95271.751872</v>
      </c>
      <c r="K14" s="62" t="n">
        <f aca="false">IF(J14=0,0,I14/J14)</f>
        <v>1.36561333074675</v>
      </c>
      <c r="L14" s="62" t="n">
        <f aca="false">IF((D14+G14+J14)=0,0,(C14+F14+I14)/(D14+G14+J14))</f>
        <v>1.21932221456469</v>
      </c>
      <c r="M14" s="63" t="n">
        <f aca="false">RANK(L14,$L$9:$L$20,0)</f>
        <v>2</v>
      </c>
    </row>
    <row r="15" customFormat="false" ht="15" hidden="false" customHeight="false" outlineLevel="0" collapsed="false">
      <c r="A15" s="56" t="s">
        <v>321</v>
      </c>
      <c r="B15" s="56" t="s">
        <v>143</v>
      </c>
      <c r="C15" s="61" t="n">
        <f aca="false">SUMIFS($G$48:$G$479,$D$48:$D$479,$A15,$A$48:$A$479,2025)</f>
        <v>53843.696</v>
      </c>
      <c r="D15" s="61" t="n">
        <f aca="false">SUMIFS($H$48:$H$479,$D$48:$D$479,$A15,$A$48:$A$479,2025)</f>
        <v>53794.62</v>
      </c>
      <c r="E15" s="62" t="n">
        <f aca="false">IF(D15=0,0,C15/D15)</f>
        <v>1.000912284537</v>
      </c>
      <c r="F15" s="61" t="n">
        <f aca="false">SUMIFS($G$48:$G$479,$D$48:$D$479,$A15,$A$48:$A$479,2026)</f>
        <v>78851.136</v>
      </c>
      <c r="G15" s="61" t="n">
        <f aca="false">SUMIFS($H$48:$H$479,$D$48:$D$479,$A15,$A$48:$A$479,2026)</f>
        <v>57022.2972</v>
      </c>
      <c r="H15" s="62" t="n">
        <f aca="false">IF(G15=0,0,F15/G15)</f>
        <v>1.38281233608386</v>
      </c>
      <c r="I15" s="61" t="n">
        <f aca="false">SUMIFS($G$48:$G$479,$D$48:$D$479,$A15,$A$48:$A$479,2027)</f>
        <v>86736.2496</v>
      </c>
      <c r="J15" s="61" t="n">
        <f aca="false">SUMIFS($H$48:$H$479,$D$48:$D$479,$A15,$A$48:$A$479,2027)</f>
        <v>60443.635032</v>
      </c>
      <c r="K15" s="62" t="n">
        <f aca="false">IF(J15=0,0,I15/J15)</f>
        <v>1.43499393367193</v>
      </c>
      <c r="L15" s="62" t="n">
        <f aca="false">IF((D15+G15+J15)=0,0,(C15+F15+I15)/(D15+G15+J15))</f>
        <v>1.28127043116587</v>
      </c>
      <c r="M15" s="63" t="n">
        <f aca="false">RANK(L15,$L$9:$L$20,0)</f>
        <v>1</v>
      </c>
    </row>
    <row r="16" customFormat="false" ht="15" hidden="false" customHeight="false" outlineLevel="0" collapsed="false">
      <c r="A16" s="56" t="s">
        <v>322</v>
      </c>
      <c r="B16" s="56" t="s">
        <v>144</v>
      </c>
      <c r="C16" s="61" t="n">
        <f aca="false">SUMIFS($G$48:$G$479,$D$48:$D$479,$A16,$A$48:$A$479,2025)</f>
        <v>327046.159</v>
      </c>
      <c r="D16" s="61" t="n">
        <f aca="false">SUMIFS($H$48:$H$479,$D$48:$D$479,$A16,$A$48:$A$479,2025)</f>
        <v>327000</v>
      </c>
      <c r="E16" s="62" t="n">
        <f aca="false">IF(D16=0,0,C16/D16)</f>
        <v>1.00014115902141</v>
      </c>
      <c r="F16" s="61" t="n">
        <f aca="false">SUMIFS($G$48:$G$479,$D$48:$D$479,$A16,$A$48:$A$479,2026)</f>
        <v>349546.8515</v>
      </c>
      <c r="G16" s="61" t="n">
        <f aca="false">SUMIFS($H$48:$H$479,$D$48:$D$479,$A16,$A$48:$A$479,2026)</f>
        <v>346620</v>
      </c>
      <c r="H16" s="62" t="n">
        <f aca="false">IF(G16=0,0,F16/G16)</f>
        <v>1.00844397755467</v>
      </c>
      <c r="I16" s="61" t="n">
        <f aca="false">SUMIFS($G$48:$G$479,$D$48:$D$479,$A16,$A$48:$A$479,2027)</f>
        <v>381006.068135</v>
      </c>
      <c r="J16" s="61" t="n">
        <f aca="false">SUMIFS($H$48:$H$479,$D$48:$D$479,$A16,$A$48:$A$479,2027)</f>
        <v>367417.2</v>
      </c>
      <c r="K16" s="62" t="n">
        <f aca="false">IF(J16=0,0,I16/J16)</f>
        <v>1.03698484484395</v>
      </c>
      <c r="L16" s="62" t="n">
        <f aca="false">IF((D16+G16+J16)=0,0,(C16+F16+I16)/(D16+G16+J16))</f>
        <v>1.01590901711774</v>
      </c>
      <c r="M16" s="63" t="n">
        <f aca="false">RANK(L16,$L$9:$L$20,0)</f>
        <v>7</v>
      </c>
    </row>
    <row r="17" customFormat="false" ht="15" hidden="false" customHeight="false" outlineLevel="0" collapsed="false">
      <c r="A17" s="56" t="s">
        <v>323</v>
      </c>
      <c r="B17" s="56" t="s">
        <v>144</v>
      </c>
      <c r="C17" s="61" t="n">
        <f aca="false">SUMIFS($G$48:$G$479,$D$48:$D$479,$A17,$A$48:$A$479,2025)</f>
        <v>267583.221</v>
      </c>
      <c r="D17" s="61" t="n">
        <f aca="false">SUMIFS($H$48:$H$479,$D$48:$D$479,$A17,$A$48:$A$479,2025)</f>
        <v>254200</v>
      </c>
      <c r="E17" s="62" t="n">
        <f aca="false">IF(D17=0,0,C17/D17)</f>
        <v>1.05264839103068</v>
      </c>
      <c r="F17" s="61" t="n">
        <f aca="false">SUMIFS($G$48:$G$479,$D$48:$D$479,$A17,$A$48:$A$479,2026)</f>
        <v>285992.8785</v>
      </c>
      <c r="G17" s="61" t="n">
        <f aca="false">SUMIFS($H$48:$H$479,$D$48:$D$479,$A17,$A$48:$A$479,2026)</f>
        <v>269452</v>
      </c>
      <c r="H17" s="62" t="n">
        <f aca="false">IF(G17=0,0,F17/G17)</f>
        <v>1.06138710605228</v>
      </c>
      <c r="I17" s="61" t="n">
        <f aca="false">SUMIFS($G$48:$G$479,$D$48:$D$479,$A17,$A$48:$A$479,2027)</f>
        <v>311732.237565</v>
      </c>
      <c r="J17" s="61" t="n">
        <f aca="false">SUMIFS($H$48:$H$479,$D$48:$D$479,$A17,$A$48:$A$479,2027)</f>
        <v>285619.12</v>
      </c>
      <c r="K17" s="62" t="n">
        <f aca="false">IF(J17=0,0,I17/J17)</f>
        <v>1.09142636377074</v>
      </c>
      <c r="L17" s="62" t="n">
        <f aca="false">IF((D17+G17+J17)=0,0,(C17+F17+I17)/(D17+G17+J17))</f>
        <v>1.06924405885756</v>
      </c>
      <c r="M17" s="63" t="n">
        <f aca="false">RANK(L17,$L$9:$L$20,0)</f>
        <v>4</v>
      </c>
    </row>
    <row r="18" customFormat="false" ht="15" hidden="false" customHeight="false" outlineLevel="0" collapsed="false">
      <c r="A18" s="56" t="s">
        <v>324</v>
      </c>
      <c r="B18" s="56" t="s">
        <v>145</v>
      </c>
      <c r="C18" s="61" t="n">
        <f aca="false">SUMIFS($G$48:$G$479,$D$48:$D$479,$A18,$A$48:$A$479,2025)</f>
        <v>431719.236</v>
      </c>
      <c r="D18" s="61" t="n">
        <f aca="false">SUMIFS($H$48:$H$479,$D$48:$D$479,$A18,$A$48:$A$479,2025)</f>
        <v>496549.65</v>
      </c>
      <c r="E18" s="62" t="n">
        <f aca="false">IF(D18=0,0,C18/D18)</f>
        <v>0.869438204215832</v>
      </c>
      <c r="F18" s="61" t="n">
        <f aca="false">SUMIFS($G$48:$G$479,$D$48:$D$479,$A18,$A$48:$A$479,2026)</f>
        <v>451379.484</v>
      </c>
      <c r="G18" s="61" t="n">
        <f aca="false">SUMIFS($H$48:$H$479,$D$48:$D$479,$A18,$A$48:$A$479,2026)</f>
        <v>526342.629</v>
      </c>
      <c r="H18" s="62" t="n">
        <f aca="false">IF(G18=0,0,F18/G18)</f>
        <v>0.857577287360473</v>
      </c>
      <c r="I18" s="61" t="n">
        <f aca="false">SUMIFS($G$48:$G$479,$D$48:$D$479,$A18,$A$48:$A$479,2027)</f>
        <v>482976.04788</v>
      </c>
      <c r="J18" s="61" t="n">
        <f aca="false">SUMIFS($H$48:$H$479,$D$48:$D$479,$A18,$A$48:$A$479,2027)</f>
        <v>557923.18674</v>
      </c>
      <c r="K18" s="62" t="n">
        <f aca="false">IF(J18=0,0,I18/J18)</f>
        <v>0.865667639128025</v>
      </c>
      <c r="L18" s="62" t="n">
        <f aca="false">IF((D18+G18+J18)=0,0,(C18+F18+I18)/(D18+G18+J18))</f>
        <v>0.864158276210008</v>
      </c>
      <c r="M18" s="63" t="n">
        <f aca="false">RANK(L18,$L$9:$L$20,0)</f>
        <v>11</v>
      </c>
    </row>
    <row r="19" customFormat="false" ht="15" hidden="false" customHeight="false" outlineLevel="0" collapsed="false">
      <c r="A19" s="56" t="s">
        <v>325</v>
      </c>
      <c r="B19" s="56" t="s">
        <v>145</v>
      </c>
      <c r="C19" s="61" t="n">
        <f aca="false">SUMIFS($G$48:$G$479,$D$48:$D$479,$A19,$A$48:$A$479,2025)</f>
        <v>604406.9304</v>
      </c>
      <c r="D19" s="61" t="n">
        <f aca="false">SUMIFS($H$48:$H$479,$D$48:$D$479,$A19,$A$48:$A$479,2025)</f>
        <v>556155.61</v>
      </c>
      <c r="E19" s="62" t="n">
        <f aca="false">IF(D19=0,0,C19/D19)</f>
        <v>1.08675866885529</v>
      </c>
      <c r="F19" s="61" t="n">
        <f aca="false">SUMIFS($G$48:$G$479,$D$48:$D$479,$A19,$A$48:$A$479,2026)</f>
        <v>631931.2776</v>
      </c>
      <c r="G19" s="61" t="n">
        <f aca="false">SUMIFS($H$48:$H$479,$D$48:$D$479,$A19,$A$48:$A$479,2026)</f>
        <v>589524.9466</v>
      </c>
      <c r="H19" s="62" t="n">
        <f aca="false">IF(G19=0,0,F19/G19)</f>
        <v>1.07193305600479</v>
      </c>
      <c r="I19" s="61" t="n">
        <f aca="false">SUMIFS($G$48:$G$479,$D$48:$D$479,$A19,$A$48:$A$479,2027)</f>
        <v>676166.467032</v>
      </c>
      <c r="J19" s="61" t="n">
        <f aca="false">SUMIFS($H$48:$H$479,$D$48:$D$479,$A19,$A$48:$A$479,2027)</f>
        <v>624896.443396</v>
      </c>
      <c r="K19" s="62" t="n">
        <f aca="false">IF(J19=0,0,I19/J19)</f>
        <v>1.08204563200484</v>
      </c>
      <c r="L19" s="62" t="n">
        <f aca="false">IF((D19+G19+J19)=0,0,(C19+F19+I19)/(D19+G19+J19))</f>
        <v>1.08015899621215</v>
      </c>
      <c r="M19" s="63" t="n">
        <f aca="false">RANK(L19,$L$9:$L$20,0)</f>
        <v>3</v>
      </c>
    </row>
    <row r="20" customFormat="false" ht="15" hidden="false" customHeight="false" outlineLevel="0" collapsed="false">
      <c r="A20" s="56" t="s">
        <v>326</v>
      </c>
      <c r="B20" s="56" t="s">
        <v>145</v>
      </c>
      <c r="C20" s="61" t="n">
        <f aca="false">SUMIFS($G$48:$G$479,$D$48:$D$479,$A20,$A$48:$A$479,2025)</f>
        <v>402937.9536</v>
      </c>
      <c r="D20" s="61" t="n">
        <f aca="false">SUMIFS($H$48:$H$479,$D$48:$D$479,$A20,$A$48:$A$479,2025)</f>
        <v>423142.31</v>
      </c>
      <c r="E20" s="62" t="n">
        <f aca="false">IF(D20=0,0,C20/D20)</f>
        <v>0.952251628063382</v>
      </c>
      <c r="F20" s="61" t="n">
        <f aca="false">SUMIFS($G$48:$G$479,$D$48:$D$479,$A20,$A$48:$A$479,2026)</f>
        <v>421287.5184</v>
      </c>
      <c r="G20" s="61" t="n">
        <f aca="false">SUMIFS($H$48:$H$479,$D$48:$D$479,$A20,$A$48:$A$479,2026)</f>
        <v>448530.8486</v>
      </c>
      <c r="H20" s="62" t="n">
        <f aca="false">IF(G20=0,0,F20/G20)</f>
        <v>0.939260966586725</v>
      </c>
      <c r="I20" s="61" t="n">
        <f aca="false">SUMIFS($G$48:$G$479,$D$48:$D$479,$A20,$A$48:$A$479,2027)</f>
        <v>450777.644688</v>
      </c>
      <c r="J20" s="61" t="n">
        <f aca="false">SUMIFS($H$48:$H$479,$D$48:$D$479,$A20,$A$48:$A$479,2027)</f>
        <v>475442.699516</v>
      </c>
      <c r="K20" s="62" t="n">
        <f aca="false">IF(J20=0,0,I20/J20)</f>
        <v>0.948121919101694</v>
      </c>
      <c r="L20" s="62" t="n">
        <f aca="false">IF((D20+G20+J20)=0,0,(C20+F20+I20)/(D20+G20+J20))</f>
        <v>0.946468790346769</v>
      </c>
      <c r="M20" s="63" t="n">
        <f aca="false">RANK(L20,$L$9:$L$20,0)</f>
        <v>9</v>
      </c>
    </row>
    <row r="21" customFormat="false" ht="15" hidden="false" customHeight="false" outlineLevel="0" collapsed="false">
      <c r="A21" s="64" t="s">
        <v>327</v>
      </c>
      <c r="B21" s="64" t="s">
        <v>328</v>
      </c>
      <c r="C21" s="65" t="n">
        <f aca="false">SUM(C9:C20)</f>
        <v>3574762.69</v>
      </c>
      <c r="D21" s="65" t="n">
        <f aca="false">SUM(D9:D20)</f>
        <v>3624391.39</v>
      </c>
      <c r="E21" s="66" t="n">
        <f aca="false">IF(D21=0,0,C21/D21)</f>
        <v>0.986307025191338</v>
      </c>
      <c r="F21" s="65" t="n">
        <f aca="false">SUM(F9:F20)</f>
        <v>3763378.68</v>
      </c>
      <c r="G21" s="65" t="n">
        <f aca="false">SUM(G9:G20)</f>
        <v>3841854.8734</v>
      </c>
      <c r="H21" s="66" t="n">
        <f aca="false">IF(G21=0,0,F21/G21)</f>
        <v>0.979573358186081</v>
      </c>
      <c r="I21" s="65" t="n">
        <f aca="false">SUM(I9:I20)</f>
        <v>4032546.7658</v>
      </c>
      <c r="J21" s="65" t="n">
        <f aca="false">SUM(J9:J20)</f>
        <v>4072366.165804</v>
      </c>
      <c r="K21" s="66" t="n">
        <f aca="false">IF(J21=0,0,I21/J21)</f>
        <v>0.990222048218953</v>
      </c>
      <c r="L21" s="66" t="n">
        <f aca="false">IF((D21+G21+J21)=0,0,(C21+F21+I21)/(D21+G21+J21))</f>
        <v>0.985446751554027</v>
      </c>
      <c r="M21" s="67"/>
    </row>
    <row r="23" customFormat="false" ht="15" hidden="false" customHeight="false" outlineLevel="0" collapsed="false">
      <c r="A23" s="58" t="s">
        <v>329</v>
      </c>
      <c r="B23" s="59"/>
      <c r="C23" s="59"/>
      <c r="D23" s="59"/>
      <c r="E23" s="59"/>
      <c r="F23" s="59"/>
      <c r="G23" s="59"/>
      <c r="H23" s="59"/>
    </row>
    <row r="24" customFormat="false" ht="23.85" hidden="false" customHeight="false" outlineLevel="0" collapsed="false">
      <c r="A24" s="60" t="s">
        <v>302</v>
      </c>
      <c r="B24" s="60" t="s">
        <v>303</v>
      </c>
      <c r="C24" s="60" t="s">
        <v>330</v>
      </c>
      <c r="D24" s="60" t="s">
        <v>331</v>
      </c>
      <c r="E24" s="60" t="s">
        <v>332</v>
      </c>
      <c r="F24" s="60" t="s">
        <v>333</v>
      </c>
      <c r="G24" s="60" t="s">
        <v>334</v>
      </c>
      <c r="H24" s="60" t="s">
        <v>335</v>
      </c>
    </row>
    <row r="25" customFormat="false" ht="15" hidden="false" customHeight="false" outlineLevel="0" collapsed="false">
      <c r="A25" s="56" t="s">
        <v>315</v>
      </c>
      <c r="B25" s="56" t="s">
        <v>141</v>
      </c>
      <c r="C25" s="56" t="s">
        <v>336</v>
      </c>
      <c r="D25" s="68" t="n">
        <v>0.55</v>
      </c>
      <c r="E25" s="69" t="n">
        <v>258200</v>
      </c>
      <c r="F25" s="61" t="n">
        <f aca="false">E25*(1+$B$5)</f>
        <v>273692</v>
      </c>
      <c r="G25" s="61" t="n">
        <f aca="false">F25*(1+$B$5)</f>
        <v>290113.52</v>
      </c>
      <c r="H25" s="70" t="n">
        <v>0.95</v>
      </c>
    </row>
    <row r="26" customFormat="false" ht="15" hidden="false" customHeight="false" outlineLevel="0" collapsed="false">
      <c r="A26" s="56" t="s">
        <v>316</v>
      </c>
      <c r="B26" s="56" t="s">
        <v>141</v>
      </c>
      <c r="C26" s="56" t="s">
        <v>337</v>
      </c>
      <c r="D26" s="68" t="n">
        <v>0.45</v>
      </c>
      <c r="E26" s="69" t="n">
        <v>244600</v>
      </c>
      <c r="F26" s="61" t="n">
        <f aca="false">E26*(1+$B$5)</f>
        <v>259276</v>
      </c>
      <c r="G26" s="61" t="n">
        <f aca="false">F26*(1+$B$5)</f>
        <v>274832.56</v>
      </c>
      <c r="H26" s="70" t="n">
        <v>1.1</v>
      </c>
    </row>
    <row r="27" customFormat="false" ht="15" hidden="false" customHeight="false" outlineLevel="0" collapsed="false">
      <c r="A27" s="56" t="s">
        <v>317</v>
      </c>
      <c r="B27" s="56" t="s">
        <v>142</v>
      </c>
      <c r="C27" s="56" t="s">
        <v>336</v>
      </c>
      <c r="D27" s="68" t="n">
        <v>0.4</v>
      </c>
      <c r="E27" s="69" t="n">
        <v>364900</v>
      </c>
      <c r="F27" s="61" t="n">
        <f aca="false">E27*(1+$B$5)</f>
        <v>386794</v>
      </c>
      <c r="G27" s="61" t="n">
        <f aca="false">F27*(1+$B$5)</f>
        <v>410001.64</v>
      </c>
      <c r="H27" s="70" t="n">
        <v>1</v>
      </c>
    </row>
    <row r="28" customFormat="false" ht="15" hidden="false" customHeight="false" outlineLevel="0" collapsed="false">
      <c r="A28" s="56" t="s">
        <v>318</v>
      </c>
      <c r="B28" s="56" t="s">
        <v>142</v>
      </c>
      <c r="C28" s="56" t="s">
        <v>338</v>
      </c>
      <c r="D28" s="68" t="n">
        <v>0.35</v>
      </c>
      <c r="E28" s="69" t="n">
        <v>287400</v>
      </c>
      <c r="F28" s="61" t="n">
        <f aca="false">E28*(1+$B$5)</f>
        <v>304644</v>
      </c>
      <c r="G28" s="61" t="n">
        <f aca="false">F28*(1+$B$5)</f>
        <v>322922.64</v>
      </c>
      <c r="H28" s="70" t="n">
        <v>0.9</v>
      </c>
    </row>
    <row r="29" customFormat="false" ht="15" hidden="false" customHeight="false" outlineLevel="0" collapsed="false">
      <c r="A29" s="56" t="s">
        <v>319</v>
      </c>
      <c r="B29" s="56" t="s">
        <v>142</v>
      </c>
      <c r="C29" s="56" t="s">
        <v>337</v>
      </c>
      <c r="D29" s="68" t="n">
        <v>0.25</v>
      </c>
      <c r="E29" s="69" t="n">
        <v>273700</v>
      </c>
      <c r="F29" s="61" t="n">
        <f aca="false">E29*(1+$B$5)</f>
        <v>290122</v>
      </c>
      <c r="G29" s="61" t="n">
        <f aca="false">F29*(1+$B$5)</f>
        <v>307529.32</v>
      </c>
      <c r="H29" s="70" t="n">
        <v>1.2</v>
      </c>
    </row>
    <row r="30" customFormat="false" ht="15" hidden="false" customHeight="false" outlineLevel="0" collapsed="false">
      <c r="A30" s="56" t="s">
        <v>320</v>
      </c>
      <c r="B30" s="56" t="s">
        <v>143</v>
      </c>
      <c r="C30" s="56" t="s">
        <v>336</v>
      </c>
      <c r="D30" s="68" t="n">
        <v>0.6</v>
      </c>
      <c r="E30" s="69" t="n">
        <v>84800</v>
      </c>
      <c r="F30" s="61" t="n">
        <f aca="false">E30*(1+$B$5)</f>
        <v>89888</v>
      </c>
      <c r="G30" s="61" t="n">
        <f aca="false">F30*(1+$B$5)</f>
        <v>95281.28</v>
      </c>
      <c r="H30" s="70" t="n">
        <v>1.05</v>
      </c>
    </row>
    <row r="31" customFormat="false" ht="15" hidden="false" customHeight="false" outlineLevel="0" collapsed="false">
      <c r="A31" s="56" t="s">
        <v>321</v>
      </c>
      <c r="B31" s="56" t="s">
        <v>143</v>
      </c>
      <c r="C31" s="56" t="s">
        <v>339</v>
      </c>
      <c r="D31" s="68" t="n">
        <v>0.4</v>
      </c>
      <c r="E31" s="69" t="n">
        <v>53800</v>
      </c>
      <c r="F31" s="61" t="n">
        <f aca="false">E31*(1+$B$5)</f>
        <v>57028</v>
      </c>
      <c r="G31" s="61" t="n">
        <f aca="false">F31*(1+$B$5)</f>
        <v>60449.68</v>
      </c>
      <c r="H31" s="70" t="n">
        <v>1</v>
      </c>
    </row>
    <row r="32" customFormat="false" ht="15" hidden="false" customHeight="false" outlineLevel="0" collapsed="false">
      <c r="A32" s="56" t="s">
        <v>322</v>
      </c>
      <c r="B32" s="56" t="s">
        <v>144</v>
      </c>
      <c r="C32" s="56" t="s">
        <v>336</v>
      </c>
      <c r="D32" s="68" t="n">
        <v>0.55</v>
      </c>
      <c r="E32" s="69" t="n">
        <v>327000</v>
      </c>
      <c r="F32" s="61" t="n">
        <f aca="false">E32*(1+$B$5)</f>
        <v>346620</v>
      </c>
      <c r="G32" s="61" t="n">
        <f aca="false">F32*(1+$B$5)</f>
        <v>367417.2</v>
      </c>
      <c r="H32" s="70" t="n">
        <v>1</v>
      </c>
    </row>
    <row r="33" customFormat="false" ht="15" hidden="false" customHeight="false" outlineLevel="0" collapsed="false">
      <c r="A33" s="56" t="s">
        <v>323</v>
      </c>
      <c r="B33" s="56" t="s">
        <v>144</v>
      </c>
      <c r="C33" s="56" t="s">
        <v>337</v>
      </c>
      <c r="D33" s="68" t="n">
        <v>0.45</v>
      </c>
      <c r="E33" s="69" t="n">
        <v>254200</v>
      </c>
      <c r="F33" s="61" t="n">
        <f aca="false">E33*(1+$B$5)</f>
        <v>269452</v>
      </c>
      <c r="G33" s="61" t="n">
        <f aca="false">F33*(1+$B$5)</f>
        <v>285619.12</v>
      </c>
      <c r="H33" s="70" t="n">
        <v>0.95</v>
      </c>
    </row>
    <row r="34" customFormat="false" ht="15" hidden="false" customHeight="false" outlineLevel="0" collapsed="false">
      <c r="A34" s="56" t="s">
        <v>324</v>
      </c>
      <c r="B34" s="56" t="s">
        <v>145</v>
      </c>
      <c r="C34" s="56" t="s">
        <v>337</v>
      </c>
      <c r="D34" s="68" t="n">
        <v>0.3</v>
      </c>
      <c r="E34" s="69" t="n">
        <v>496500</v>
      </c>
      <c r="F34" s="61" t="n">
        <f aca="false">E34*(1+$B$5)</f>
        <v>526290</v>
      </c>
      <c r="G34" s="61" t="n">
        <f aca="false">F34*(1+$B$5)</f>
        <v>557867.4</v>
      </c>
      <c r="H34" s="70" t="n">
        <v>1.15</v>
      </c>
    </row>
    <row r="35" customFormat="false" ht="15" hidden="false" customHeight="false" outlineLevel="0" collapsed="false">
      <c r="A35" s="56" t="s">
        <v>325</v>
      </c>
      <c r="B35" s="56" t="s">
        <v>145</v>
      </c>
      <c r="C35" s="56" t="s">
        <v>336</v>
      </c>
      <c r="D35" s="68" t="n">
        <v>0.42</v>
      </c>
      <c r="E35" s="69" t="n">
        <v>556100</v>
      </c>
      <c r="F35" s="61" t="n">
        <f aca="false">E35*(1+$B$5)</f>
        <v>589466</v>
      </c>
      <c r="G35" s="61" t="n">
        <f aca="false">F35*(1+$B$5)</f>
        <v>624833.96</v>
      </c>
      <c r="H35" s="70" t="n">
        <v>0.92</v>
      </c>
    </row>
    <row r="36" customFormat="false" ht="15" hidden="false" customHeight="false" outlineLevel="0" collapsed="false">
      <c r="A36" s="56" t="s">
        <v>326</v>
      </c>
      <c r="B36" s="56" t="s">
        <v>145</v>
      </c>
      <c r="C36" s="56" t="s">
        <v>338</v>
      </c>
      <c r="D36" s="68" t="n">
        <v>0.28</v>
      </c>
      <c r="E36" s="69" t="n">
        <v>423100</v>
      </c>
      <c r="F36" s="61" t="n">
        <f aca="false">E36*(1+$B$5)</f>
        <v>448486</v>
      </c>
      <c r="G36" s="61" t="n">
        <f aca="false">F36*(1+$B$5)</f>
        <v>475395.16</v>
      </c>
      <c r="H36" s="70" t="n">
        <v>1.05</v>
      </c>
    </row>
    <row r="38" customFormat="false" ht="15" hidden="false" customHeight="false" outlineLevel="0" collapsed="false">
      <c r="A38" s="58" t="s">
        <v>340</v>
      </c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</row>
    <row r="39" customFormat="false" ht="15" hidden="false" customHeight="false" outlineLevel="0" collapsed="false">
      <c r="A39" s="54" t="s">
        <v>303</v>
      </c>
      <c r="B39" s="71" t="n">
        <v>45658</v>
      </c>
      <c r="C39" s="71" t="n">
        <v>45689</v>
      </c>
      <c r="D39" s="71" t="n">
        <v>45717</v>
      </c>
      <c r="E39" s="71" t="n">
        <v>45748</v>
      </c>
      <c r="F39" s="71" t="n">
        <v>45778</v>
      </c>
      <c r="G39" s="71" t="n">
        <v>45809</v>
      </c>
      <c r="H39" s="71" t="n">
        <v>45839</v>
      </c>
      <c r="I39" s="71" t="n">
        <v>45870</v>
      </c>
      <c r="J39" s="71" t="n">
        <v>45901</v>
      </c>
      <c r="K39" s="71" t="n">
        <v>45931</v>
      </c>
      <c r="L39" s="71" t="n">
        <v>45962</v>
      </c>
      <c r="M39" s="71" t="n">
        <v>45992</v>
      </c>
    </row>
    <row r="40" customFormat="false" ht="15" hidden="false" customHeight="false" outlineLevel="0" collapsed="false">
      <c r="A40" s="56" t="s">
        <v>141</v>
      </c>
      <c r="B40" s="72" t="n">
        <v>0.0573</v>
      </c>
      <c r="C40" s="72" t="n">
        <v>0.083</v>
      </c>
      <c r="D40" s="72" t="n">
        <v>0.0839</v>
      </c>
      <c r="E40" s="72" t="n">
        <v>0.0642</v>
      </c>
      <c r="F40" s="72" t="n">
        <v>0.0929</v>
      </c>
      <c r="G40" s="72" t="n">
        <v>0.0893</v>
      </c>
      <c r="H40" s="72" t="n">
        <v>0.0934</v>
      </c>
      <c r="I40" s="72" t="n">
        <v>0.0766</v>
      </c>
      <c r="J40" s="72" t="n">
        <v>0.0655</v>
      </c>
      <c r="K40" s="72" t="n">
        <v>0.1044</v>
      </c>
      <c r="L40" s="72" t="n">
        <v>0.1</v>
      </c>
      <c r="M40" s="72" t="n">
        <v>0.0896</v>
      </c>
    </row>
    <row r="41" customFormat="false" ht="15" hidden="false" customHeight="false" outlineLevel="0" collapsed="false">
      <c r="A41" s="56" t="s">
        <v>142</v>
      </c>
      <c r="B41" s="72" t="n">
        <v>0.0684</v>
      </c>
      <c r="C41" s="72" t="n">
        <v>0.0679</v>
      </c>
      <c r="D41" s="72" t="n">
        <v>0.0682</v>
      </c>
      <c r="E41" s="72" t="n">
        <v>0.08</v>
      </c>
      <c r="F41" s="72" t="n">
        <v>0.0748</v>
      </c>
      <c r="G41" s="72" t="n">
        <v>0.1024</v>
      </c>
      <c r="H41" s="72" t="n">
        <v>0.095</v>
      </c>
      <c r="I41" s="72" t="n">
        <v>0.0817</v>
      </c>
      <c r="J41" s="72" t="n">
        <v>0.0753</v>
      </c>
      <c r="K41" s="72" t="n">
        <v>0.0768</v>
      </c>
      <c r="L41" s="72" t="n">
        <v>0.0991</v>
      </c>
      <c r="M41" s="72" t="n">
        <v>0.1103</v>
      </c>
    </row>
    <row r="42" customFormat="false" ht="15" hidden="false" customHeight="false" outlineLevel="0" collapsed="false">
      <c r="A42" s="56" t="s">
        <v>143</v>
      </c>
      <c r="B42" s="72" t="n">
        <v>0.2215</v>
      </c>
      <c r="C42" s="72" t="n">
        <v>0.04</v>
      </c>
      <c r="D42" s="72" t="n">
        <v>0.0675</v>
      </c>
      <c r="E42" s="72" t="n">
        <v>0.0659</v>
      </c>
      <c r="F42" s="72" t="n">
        <v>0.0582</v>
      </c>
      <c r="G42" s="72" t="n">
        <v>0.05</v>
      </c>
      <c r="H42" s="72" t="n">
        <v>0.0408</v>
      </c>
      <c r="I42" s="72" t="n">
        <v>0.0436</v>
      </c>
      <c r="J42" s="72" t="n">
        <v>0.1898</v>
      </c>
      <c r="K42" s="72" t="n">
        <v>0.0501</v>
      </c>
      <c r="L42" s="72" t="n">
        <v>0.0435</v>
      </c>
      <c r="M42" s="72" t="n">
        <v>0.129</v>
      </c>
    </row>
    <row r="43" customFormat="false" ht="15" hidden="false" customHeight="false" outlineLevel="0" collapsed="false">
      <c r="A43" s="56" t="s">
        <v>144</v>
      </c>
      <c r="B43" s="72" t="n">
        <v>0.0687</v>
      </c>
      <c r="C43" s="72" t="n">
        <v>0.0766</v>
      </c>
      <c r="D43" s="72" t="n">
        <v>0.0805</v>
      </c>
      <c r="E43" s="72" t="n">
        <v>0.0923</v>
      </c>
      <c r="F43" s="72" t="n">
        <v>0.0809</v>
      </c>
      <c r="G43" s="72" t="n">
        <v>0.0767</v>
      </c>
      <c r="H43" s="72" t="n">
        <v>0.0913</v>
      </c>
      <c r="I43" s="72" t="n">
        <v>0.0689</v>
      </c>
      <c r="J43" s="72" t="n">
        <v>0.0694</v>
      </c>
      <c r="K43" s="72" t="n">
        <v>0.0882</v>
      </c>
      <c r="L43" s="72" t="n">
        <v>0.106</v>
      </c>
      <c r="M43" s="72" t="n">
        <v>0.1005</v>
      </c>
    </row>
    <row r="44" customFormat="false" ht="15" hidden="false" customHeight="false" outlineLevel="0" collapsed="false">
      <c r="A44" s="56" t="s">
        <v>145</v>
      </c>
      <c r="B44" s="72" t="n">
        <v>0.0695</v>
      </c>
      <c r="C44" s="72" t="n">
        <v>0.0674</v>
      </c>
      <c r="D44" s="72" t="n">
        <v>0.081</v>
      </c>
      <c r="E44" s="72" t="n">
        <v>0.0782</v>
      </c>
      <c r="F44" s="72" t="n">
        <v>0.0805</v>
      </c>
      <c r="G44" s="72" t="n">
        <v>0.0846</v>
      </c>
      <c r="H44" s="72" t="n">
        <v>0.0845</v>
      </c>
      <c r="I44" s="72" t="n">
        <v>0.0813</v>
      </c>
      <c r="J44" s="72" t="n">
        <v>0.082</v>
      </c>
      <c r="K44" s="72" t="n">
        <v>0.0828</v>
      </c>
      <c r="L44" s="72" t="n">
        <v>0.1025</v>
      </c>
      <c r="M44" s="72" t="n">
        <v>0.1058</v>
      </c>
    </row>
    <row r="46" customFormat="false" ht="15" hidden="false" customHeight="false" outlineLevel="0" collapsed="false">
      <c r="A46" s="58" t="s">
        <v>341</v>
      </c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</row>
    <row r="47" customFormat="false" ht="23.85" hidden="false" customHeight="false" outlineLevel="0" collapsed="false">
      <c r="A47" s="60" t="s">
        <v>254</v>
      </c>
      <c r="B47" s="60" t="s">
        <v>255</v>
      </c>
      <c r="C47" s="60" t="s">
        <v>256</v>
      </c>
      <c r="D47" s="60" t="s">
        <v>302</v>
      </c>
      <c r="E47" s="60" t="s">
        <v>303</v>
      </c>
      <c r="F47" s="60" t="s">
        <v>330</v>
      </c>
      <c r="G47" s="60" t="s">
        <v>342</v>
      </c>
      <c r="H47" s="60" t="s">
        <v>343</v>
      </c>
      <c r="I47" s="60" t="s">
        <v>344</v>
      </c>
      <c r="J47" s="60" t="s">
        <v>345</v>
      </c>
      <c r="K47" s="60" t="s">
        <v>346</v>
      </c>
      <c r="L47" s="60" t="s">
        <v>347</v>
      </c>
      <c r="M47" s="60" t="s">
        <v>348</v>
      </c>
    </row>
    <row r="48" customFormat="false" ht="15" hidden="false" customHeight="false" outlineLevel="0" collapsed="false">
      <c r="A48" s="56" t="n">
        <v>2025</v>
      </c>
      <c r="B48" s="56" t="n">
        <v>1</v>
      </c>
      <c r="C48" s="56" t="s">
        <v>148</v>
      </c>
      <c r="D48" s="56" t="s">
        <v>315</v>
      </c>
      <c r="E48" s="56" t="s">
        <v>141</v>
      </c>
      <c r="F48" s="56" t="s">
        <v>336</v>
      </c>
      <c r="G48" s="73" t="n">
        <f aca="false">SUMIFS(DRE_por_UN!$F:$F,DRE_por_UN!$C:$C,$C48,DRE_por_UN!$E:$E,$E48)*VLOOKUP($D48,$A$25:$H$36,4,0)</f>
        <v>15583.535</v>
      </c>
      <c r="H48" s="61" t="n">
        <f aca="false">VLOOKUP($D48,$A$25:$H$36,5,0)*(1+$B$5)^($A48-2025)*INDEX($B$40:$M$44,MATCH($E48,$A$40:$A$44,0),$B48)</f>
        <v>14794.86</v>
      </c>
      <c r="I48" s="62" t="n">
        <f aca="false">IF(H48=0,0,G48/H48)</f>
        <v>1.05330736485509</v>
      </c>
      <c r="J48" s="61" t="n">
        <f aca="false">G48-H48</f>
        <v>788.675000000003</v>
      </c>
      <c r="K48" s="61" t="n">
        <f aca="false">SUMIFS($G$48:$G$479,$D$48:$D$479,$D48,$A$48:$A$479,$A48,$B$48:$B$479,"&lt;="&amp;$B48)</f>
        <v>15583.535</v>
      </c>
      <c r="L48" s="61" t="n">
        <f aca="false">SUMIFS($H$48:$H$479,$D$48:$D$479,$D48,$A$48:$A$479,$A48,$B$48:$B$479,"&lt;="&amp;$B48)</f>
        <v>14794.86</v>
      </c>
      <c r="M48" s="62" t="n">
        <f aca="false">IF(L48=0,0,K48/L48)</f>
        <v>1.05330736485509</v>
      </c>
    </row>
    <row r="49" customFormat="false" ht="15" hidden="false" customHeight="false" outlineLevel="0" collapsed="false">
      <c r="A49" s="56" t="n">
        <v>2025</v>
      </c>
      <c r="B49" s="56" t="n">
        <v>2</v>
      </c>
      <c r="C49" s="56" t="s">
        <v>149</v>
      </c>
      <c r="D49" s="56" t="s">
        <v>315</v>
      </c>
      <c r="E49" s="56" t="s">
        <v>141</v>
      </c>
      <c r="F49" s="56" t="s">
        <v>336</v>
      </c>
      <c r="G49" s="73" t="n">
        <f aca="false">SUMIFS(DRE_por_UN!$F:$F,DRE_por_UN!$C:$C,$C49,DRE_por_UN!$E:$E,$E49)*VLOOKUP($D49,$A$25:$H$36,4,0)</f>
        <v>22549.065</v>
      </c>
      <c r="H49" s="61" t="n">
        <f aca="false">VLOOKUP($D49,$A$25:$H$36,5,0)*(1+$B$5)^($A49-2025)*INDEX($B$40:$M$44,MATCH($E49,$A$40:$A$44,0),$B49)</f>
        <v>21430.6</v>
      </c>
      <c r="I49" s="62" t="n">
        <f aca="false">IF(H49=0,0,G49/H49)</f>
        <v>1.05219009267123</v>
      </c>
      <c r="J49" s="61" t="n">
        <f aca="false">G49-H49</f>
        <v>1118.465</v>
      </c>
      <c r="K49" s="61" t="n">
        <f aca="false">SUMIFS($G$48:$G$479,$D$48:$D$479,$D49,$A$48:$A$479,$A49,$B$48:$B$479,"&lt;="&amp;$B49)</f>
        <v>38132.6</v>
      </c>
      <c r="L49" s="61" t="n">
        <f aca="false">SUMIFS($H$48:$H$479,$D$48:$D$479,$D49,$A$48:$A$479,$A49,$B$48:$B$479,"&lt;="&amp;$B49)</f>
        <v>36225.46</v>
      </c>
      <c r="M49" s="62" t="n">
        <f aca="false">IF(L49=0,0,K49/L49)</f>
        <v>1.05264639841703</v>
      </c>
    </row>
    <row r="50" customFormat="false" ht="15" hidden="false" customHeight="false" outlineLevel="0" collapsed="false">
      <c r="A50" s="56" t="n">
        <v>2025</v>
      </c>
      <c r="B50" s="56" t="n">
        <v>3</v>
      </c>
      <c r="C50" s="56" t="s">
        <v>150</v>
      </c>
      <c r="D50" s="56" t="s">
        <v>315</v>
      </c>
      <c r="E50" s="56" t="s">
        <v>141</v>
      </c>
      <c r="F50" s="56" t="s">
        <v>336</v>
      </c>
      <c r="G50" s="73" t="n">
        <f aca="false">SUMIFS(DRE_por_UN!$F:$F,DRE_por_UN!$C:$C,$C50,DRE_por_UN!$E:$E,$E50)*VLOOKUP($D50,$A$25:$H$36,4,0)</f>
        <v>22803.198</v>
      </c>
      <c r="H50" s="61" t="n">
        <f aca="false">VLOOKUP($D50,$A$25:$H$36,5,0)*(1+$B$5)^($A50-2025)*INDEX($B$40:$M$44,MATCH($E50,$A$40:$A$44,0),$B50)</f>
        <v>21662.98</v>
      </c>
      <c r="I50" s="62" t="n">
        <f aca="false">IF(H50=0,0,G50/H50)</f>
        <v>1.0526344020998</v>
      </c>
      <c r="J50" s="61" t="n">
        <f aca="false">G50-H50</f>
        <v>1140.218</v>
      </c>
      <c r="K50" s="61" t="n">
        <f aca="false">SUMIFS($G$48:$G$479,$D$48:$D$479,$D50,$A$48:$A$479,$A50,$B$48:$B$479,"&lt;="&amp;$B50)</f>
        <v>60935.798</v>
      </c>
      <c r="L50" s="61" t="n">
        <f aca="false">SUMIFS($H$48:$H$479,$D$48:$D$479,$D50,$A$48:$A$479,$A50,$B$48:$B$479,"&lt;="&amp;$B50)</f>
        <v>57888.44</v>
      </c>
      <c r="M50" s="62" t="n">
        <f aca="false">IF(L50=0,0,K50/L50)</f>
        <v>1.05264190916183</v>
      </c>
    </row>
    <row r="51" customFormat="false" ht="15" hidden="false" customHeight="false" outlineLevel="0" collapsed="false">
      <c r="A51" s="56" t="n">
        <v>2025</v>
      </c>
      <c r="B51" s="56" t="n">
        <v>4</v>
      </c>
      <c r="C51" s="56" t="s">
        <v>151</v>
      </c>
      <c r="D51" s="56" t="s">
        <v>315</v>
      </c>
      <c r="E51" s="56" t="s">
        <v>141</v>
      </c>
      <c r="F51" s="56" t="s">
        <v>336</v>
      </c>
      <c r="G51" s="73" t="n">
        <f aca="false">SUMIFS(DRE_por_UN!$F:$F,DRE_por_UN!$C:$C,$C51,DRE_por_UN!$E:$E,$E51)*VLOOKUP($D51,$A$25:$H$36,4,0)</f>
        <v>17445.439</v>
      </c>
      <c r="H51" s="61" t="n">
        <f aca="false">VLOOKUP($D51,$A$25:$H$36,5,0)*(1+$B$5)^($A51-2025)*INDEX($B$40:$M$44,MATCH($E51,$A$40:$A$44,0),$B51)</f>
        <v>16576.44</v>
      </c>
      <c r="I51" s="62" t="n">
        <f aca="false">IF(H51=0,0,G51/H51)</f>
        <v>1.05242374116517</v>
      </c>
      <c r="J51" s="61" t="n">
        <f aca="false">G51-H51</f>
        <v>868.999000000003</v>
      </c>
      <c r="K51" s="61" t="n">
        <f aca="false">SUMIFS($G$48:$G$479,$D$48:$D$479,$D51,$A$48:$A$479,$A51,$B$48:$B$479,"&lt;="&amp;$B51)</f>
        <v>78381.237</v>
      </c>
      <c r="L51" s="61" t="n">
        <f aca="false">SUMIFS($H$48:$H$479,$D$48:$D$479,$D51,$A$48:$A$479,$A51,$B$48:$B$479,"&lt;="&amp;$B51)</f>
        <v>74464.88</v>
      </c>
      <c r="M51" s="62" t="n">
        <f aca="false">IF(L51=0,0,K51/L51)</f>
        <v>1.05259334333178</v>
      </c>
    </row>
    <row r="52" customFormat="false" ht="15" hidden="false" customHeight="false" outlineLevel="0" collapsed="false">
      <c r="A52" s="56" t="n">
        <v>2025</v>
      </c>
      <c r="B52" s="56" t="n">
        <v>5</v>
      </c>
      <c r="C52" s="56" t="s">
        <v>152</v>
      </c>
      <c r="D52" s="56" t="s">
        <v>315</v>
      </c>
      <c r="E52" s="56" t="s">
        <v>141</v>
      </c>
      <c r="F52" s="56" t="s">
        <v>336</v>
      </c>
      <c r="G52" s="73" t="n">
        <f aca="false">SUMIFS(DRE_por_UN!$F:$F,DRE_por_UN!$C:$C,$C52,DRE_por_UN!$E:$E,$E52)*VLOOKUP($D52,$A$25:$H$36,4,0)</f>
        <v>25246.4575</v>
      </c>
      <c r="H52" s="61" t="n">
        <f aca="false">VLOOKUP($D52,$A$25:$H$36,5,0)*(1+$B$5)^($A52-2025)*INDEX($B$40:$M$44,MATCH($E52,$A$40:$A$44,0),$B52)</f>
        <v>23986.78</v>
      </c>
      <c r="I52" s="62" t="n">
        <f aca="false">IF(H52=0,0,G52/H52)</f>
        <v>1.05251548978229</v>
      </c>
      <c r="J52" s="61" t="n">
        <f aca="false">G52-H52</f>
        <v>1259.67750000001</v>
      </c>
      <c r="K52" s="61" t="n">
        <f aca="false">SUMIFS($G$48:$G$479,$D$48:$D$479,$D52,$A$48:$A$479,$A52,$B$48:$B$479,"&lt;="&amp;$B52)</f>
        <v>103627.6945</v>
      </c>
      <c r="L52" s="61" t="n">
        <f aca="false">SUMIFS($H$48:$H$479,$D$48:$D$479,$D52,$A$48:$A$479,$A52,$B$48:$B$479,"&lt;="&amp;$B52)</f>
        <v>98451.66</v>
      </c>
      <c r="M52" s="62" t="n">
        <f aca="false">IF(L52=0,0,K52/L52)</f>
        <v>1.0525743750791</v>
      </c>
    </row>
    <row r="53" customFormat="false" ht="15" hidden="false" customHeight="false" outlineLevel="0" collapsed="false">
      <c r="A53" s="56" t="n">
        <v>2025</v>
      </c>
      <c r="B53" s="56" t="n">
        <v>6</v>
      </c>
      <c r="C53" s="56" t="s">
        <v>153</v>
      </c>
      <c r="D53" s="56" t="s">
        <v>315</v>
      </c>
      <c r="E53" s="56" t="s">
        <v>141</v>
      </c>
      <c r="F53" s="56" t="s">
        <v>336</v>
      </c>
      <c r="G53" s="73" t="n">
        <f aca="false">SUMIFS(DRE_por_UN!$F:$F,DRE_por_UN!$C:$C,$C53,DRE_por_UN!$E:$E,$E53)*VLOOKUP($D53,$A$25:$H$36,4,0)</f>
        <v>24268.1945</v>
      </c>
      <c r="H53" s="61" t="n">
        <f aca="false">VLOOKUP($D53,$A$25:$H$36,5,0)*(1+$B$5)^($A53-2025)*INDEX($B$40:$M$44,MATCH($E53,$A$40:$A$44,0),$B53)</f>
        <v>23057.26</v>
      </c>
      <c r="I53" s="62" t="n">
        <f aca="false">IF(H53=0,0,G53/H53)</f>
        <v>1.05251857766274</v>
      </c>
      <c r="J53" s="61" t="n">
        <f aca="false">G53-H53</f>
        <v>1210.9345</v>
      </c>
      <c r="K53" s="61" t="n">
        <f aca="false">SUMIFS($G$48:$G$479,$D$48:$D$479,$D53,$A$48:$A$479,$A53,$B$48:$B$479,"&lt;="&amp;$B53)</f>
        <v>127895.889</v>
      </c>
      <c r="L53" s="61" t="n">
        <f aca="false">SUMIFS($H$48:$H$479,$D$48:$D$479,$D53,$A$48:$A$479,$A53,$B$48:$B$479,"&lt;="&amp;$B53)</f>
        <v>121508.92</v>
      </c>
      <c r="M53" s="62" t="n">
        <f aca="false">IF(L53=0,0,K53/L53)</f>
        <v>1.05256378708658</v>
      </c>
    </row>
    <row r="54" customFormat="false" ht="15" hidden="false" customHeight="false" outlineLevel="0" collapsed="false">
      <c r="A54" s="56" t="n">
        <v>2025</v>
      </c>
      <c r="B54" s="56" t="n">
        <v>7</v>
      </c>
      <c r="C54" s="56" t="s">
        <v>154</v>
      </c>
      <c r="D54" s="56" t="s">
        <v>315</v>
      </c>
      <c r="E54" s="56" t="s">
        <v>141</v>
      </c>
      <c r="F54" s="56" t="s">
        <v>336</v>
      </c>
      <c r="G54" s="73" t="n">
        <f aca="false">SUMIFS(DRE_por_UN!$F:$F,DRE_por_UN!$C:$C,$C54,DRE_por_UN!$E:$E,$E54)*VLOOKUP($D54,$A$25:$H$36,4,0)</f>
        <v>25382.3515</v>
      </c>
      <c r="H54" s="61" t="n">
        <f aca="false">VLOOKUP($D54,$A$25:$H$36,5,0)*(1+$B$5)^($A54-2025)*INDEX($B$40:$M$44,MATCH($E54,$A$40:$A$44,0),$B54)</f>
        <v>24115.88</v>
      </c>
      <c r="I54" s="62" t="n">
        <f aca="false">IF(H54=0,0,G54/H54)</f>
        <v>1.0525160806904</v>
      </c>
      <c r="J54" s="61" t="n">
        <f aca="false">G54-H54</f>
        <v>1266.4715</v>
      </c>
      <c r="K54" s="61" t="n">
        <f aca="false">SUMIFS($G$48:$G$479,$D$48:$D$479,$D54,$A$48:$A$479,$A54,$B$48:$B$479,"&lt;="&amp;$B54)</f>
        <v>153278.2405</v>
      </c>
      <c r="L54" s="61" t="n">
        <f aca="false">SUMIFS($H$48:$H$479,$D$48:$D$479,$D54,$A$48:$A$479,$A54,$B$48:$B$479,"&lt;="&amp;$B54)</f>
        <v>145624.8</v>
      </c>
      <c r="M54" s="62" t="n">
        <f aca="false">IF(L54=0,0,K54/L54)</f>
        <v>1.05255588677203</v>
      </c>
    </row>
    <row r="55" customFormat="false" ht="15" hidden="false" customHeight="false" outlineLevel="0" collapsed="false">
      <c r="A55" s="56" t="n">
        <v>2025</v>
      </c>
      <c r="B55" s="56" t="n">
        <v>8</v>
      </c>
      <c r="C55" s="56" t="s">
        <v>155</v>
      </c>
      <c r="D55" s="56" t="s">
        <v>315</v>
      </c>
      <c r="E55" s="56" t="s">
        <v>141</v>
      </c>
      <c r="F55" s="56" t="s">
        <v>336</v>
      </c>
      <c r="G55" s="73" t="n">
        <f aca="false">SUMIFS(DRE_por_UN!$F:$F,DRE_por_UN!$C:$C,$C55,DRE_por_UN!$E:$E,$E55)*VLOOKUP($D55,$A$25:$H$36,4,0)</f>
        <v>20805.246</v>
      </c>
      <c r="H55" s="61" t="n">
        <f aca="false">VLOOKUP($D55,$A$25:$H$36,5,0)*(1+$B$5)^($A55-2025)*INDEX($B$40:$M$44,MATCH($E55,$A$40:$A$44,0),$B55)</f>
        <v>19778.12</v>
      </c>
      <c r="I55" s="62" t="n">
        <f aca="false">IF(H55=0,0,G55/H55)</f>
        <v>1.05193243847241</v>
      </c>
      <c r="J55" s="61" t="n">
        <f aca="false">G55-H55</f>
        <v>1027.126</v>
      </c>
      <c r="K55" s="61" t="n">
        <f aca="false">SUMIFS($G$48:$G$479,$D$48:$D$479,$D55,$A$48:$A$479,$A55,$B$48:$B$479,"&lt;="&amp;$B55)</f>
        <v>174083.4865</v>
      </c>
      <c r="L55" s="61" t="n">
        <f aca="false">SUMIFS($H$48:$H$479,$D$48:$D$479,$D55,$A$48:$A$479,$A55,$B$48:$B$479,"&lt;="&amp;$B55)</f>
        <v>165402.92</v>
      </c>
      <c r="M55" s="62" t="n">
        <f aca="false">IF(L55=0,0,K55/L55)</f>
        <v>1.05248133769343</v>
      </c>
    </row>
    <row r="56" customFormat="false" ht="15" hidden="false" customHeight="false" outlineLevel="0" collapsed="false">
      <c r="A56" s="56" t="n">
        <v>2025</v>
      </c>
      <c r="B56" s="56" t="n">
        <v>9</v>
      </c>
      <c r="C56" s="56" t="s">
        <v>156</v>
      </c>
      <c r="D56" s="56" t="s">
        <v>315</v>
      </c>
      <c r="E56" s="56" t="s">
        <v>141</v>
      </c>
      <c r="F56" s="56" t="s">
        <v>336</v>
      </c>
      <c r="G56" s="73" t="n">
        <f aca="false">SUMIFS(DRE_por_UN!$F:$F,DRE_por_UN!$C:$C,$C56,DRE_por_UN!$E:$E,$E56)*VLOOKUP($D56,$A$25:$H$36,4,0)</f>
        <v>17789.3705</v>
      </c>
      <c r="H56" s="61" t="n">
        <f aca="false">VLOOKUP($D56,$A$25:$H$36,5,0)*(1+$B$5)^($A56-2025)*INDEX($B$40:$M$44,MATCH($E56,$A$40:$A$44,0),$B56)</f>
        <v>16912.1</v>
      </c>
      <c r="I56" s="62" t="n">
        <f aca="false">IF(H56=0,0,G56/H56)</f>
        <v>1.05187235766108</v>
      </c>
      <c r="J56" s="61" t="n">
        <f aca="false">G56-H56</f>
        <v>877.270499999999</v>
      </c>
      <c r="K56" s="61" t="n">
        <f aca="false">SUMIFS($G$48:$G$479,$D$48:$D$479,$D56,$A$48:$A$479,$A56,$B$48:$B$479,"&lt;="&amp;$B56)</f>
        <v>191872.857</v>
      </c>
      <c r="L56" s="61" t="n">
        <f aca="false">SUMIFS($H$48:$H$479,$D$48:$D$479,$D56,$A$48:$A$479,$A56,$B$48:$B$479,"&lt;="&amp;$B56)</f>
        <v>182315.02</v>
      </c>
      <c r="M56" s="62" t="n">
        <f aca="false">IF(L56=0,0,K56/L56)</f>
        <v>1.05242484683928</v>
      </c>
    </row>
    <row r="57" customFormat="false" ht="15" hidden="false" customHeight="false" outlineLevel="0" collapsed="false">
      <c r="A57" s="56" t="n">
        <v>2025</v>
      </c>
      <c r="B57" s="56" t="n">
        <v>10</v>
      </c>
      <c r="C57" s="56" t="s">
        <v>157</v>
      </c>
      <c r="D57" s="56" t="s">
        <v>315</v>
      </c>
      <c r="E57" s="56" t="s">
        <v>141</v>
      </c>
      <c r="F57" s="56" t="s">
        <v>336</v>
      </c>
      <c r="G57" s="73" t="n">
        <f aca="false">SUMIFS(DRE_por_UN!$F:$F,DRE_por_UN!$C:$C,$C57,DRE_por_UN!$E:$E,$E57)*VLOOKUP($D57,$A$25:$H$36,4,0)</f>
        <v>28372.5585</v>
      </c>
      <c r="H57" s="61" t="n">
        <f aca="false">VLOOKUP($D57,$A$25:$H$36,5,0)*(1+$B$5)^($A57-2025)*INDEX($B$40:$M$44,MATCH($E57,$A$40:$A$44,0),$B57)</f>
        <v>26956.08</v>
      </c>
      <c r="I57" s="62" t="n">
        <f aca="false">IF(H57=0,0,G57/H57)</f>
        <v>1.05254764416785</v>
      </c>
      <c r="J57" s="61" t="n">
        <f aca="false">G57-H57</f>
        <v>1416.4785</v>
      </c>
      <c r="K57" s="61" t="n">
        <f aca="false">SUMIFS($G$48:$G$479,$D$48:$D$479,$D57,$A$48:$A$479,$A57,$B$48:$B$479,"&lt;="&amp;$B57)</f>
        <v>220245.4155</v>
      </c>
      <c r="L57" s="61" t="n">
        <f aca="false">SUMIFS($H$48:$H$479,$D$48:$D$479,$D57,$A$48:$A$479,$A57,$B$48:$B$479,"&lt;="&amp;$B57)</f>
        <v>209271.1</v>
      </c>
      <c r="M57" s="62" t="n">
        <f aca="false">IF(L57=0,0,K57/L57)</f>
        <v>1.05244066428666</v>
      </c>
    </row>
    <row r="58" customFormat="false" ht="15" hidden="false" customHeight="false" outlineLevel="0" collapsed="false">
      <c r="A58" s="56" t="n">
        <v>2025</v>
      </c>
      <c r="B58" s="56" t="n">
        <v>11</v>
      </c>
      <c r="C58" s="56" t="s">
        <v>158</v>
      </c>
      <c r="D58" s="56" t="s">
        <v>315</v>
      </c>
      <c r="E58" s="56" t="s">
        <v>141</v>
      </c>
      <c r="F58" s="56" t="s">
        <v>336</v>
      </c>
      <c r="G58" s="73" t="n">
        <f aca="false">SUMIFS(DRE_por_UN!$F:$F,DRE_por_UN!$C:$C,$C58,DRE_por_UN!$E:$E,$E58)*VLOOKUP($D58,$A$25:$H$36,4,0)</f>
        <v>27164.5275</v>
      </c>
      <c r="H58" s="61" t="n">
        <f aca="false">VLOOKUP($D58,$A$25:$H$36,5,0)*(1+$B$5)^($A58-2025)*INDEX($B$40:$M$44,MATCH($E58,$A$40:$A$44,0),$B58)</f>
        <v>25820</v>
      </c>
      <c r="I58" s="62" t="n">
        <f aca="false">IF(H58=0,0,G58/H58)</f>
        <v>1.05207310224632</v>
      </c>
      <c r="J58" s="61" t="n">
        <f aca="false">G58-H58</f>
        <v>1344.5275</v>
      </c>
      <c r="K58" s="61" t="n">
        <f aca="false">SUMIFS($G$48:$G$479,$D$48:$D$479,$D58,$A$48:$A$479,$A58,$B$48:$B$479,"&lt;="&amp;$B58)</f>
        <v>247409.943</v>
      </c>
      <c r="L58" s="61" t="n">
        <f aca="false">SUMIFS($H$48:$H$479,$D$48:$D$479,$D58,$A$48:$A$479,$A58,$B$48:$B$479,"&lt;="&amp;$B58)</f>
        <v>235091.1</v>
      </c>
      <c r="M58" s="62" t="n">
        <f aca="false">IF(L58=0,0,K58/L58)</f>
        <v>1.05240029503456</v>
      </c>
    </row>
    <row r="59" customFormat="false" ht="15" hidden="false" customHeight="false" outlineLevel="0" collapsed="false">
      <c r="A59" s="56" t="n">
        <v>2025</v>
      </c>
      <c r="B59" s="56" t="n">
        <v>12</v>
      </c>
      <c r="C59" s="56" t="s">
        <v>159</v>
      </c>
      <c r="D59" s="56" t="s">
        <v>315</v>
      </c>
      <c r="E59" s="56" t="s">
        <v>141</v>
      </c>
      <c r="F59" s="56" t="s">
        <v>336</v>
      </c>
      <c r="G59" s="73" t="n">
        <f aca="false">SUMIFS(DRE_por_UN!$F:$F,DRE_por_UN!$C:$C,$C59,DRE_por_UN!$E:$E,$E59)*VLOOKUP($D59,$A$25:$H$36,4,0)</f>
        <v>24352.592</v>
      </c>
      <c r="H59" s="61" t="n">
        <f aca="false">VLOOKUP($D59,$A$25:$H$36,5,0)*(1+$B$5)^($A59-2025)*INDEX($B$40:$M$44,MATCH($E59,$A$40:$A$44,0),$B59)</f>
        <v>23134.72</v>
      </c>
      <c r="I59" s="62" t="n">
        <f aca="false">IF(H59=0,0,G59/H59)</f>
        <v>1.05264260816643</v>
      </c>
      <c r="J59" s="61" t="n">
        <f aca="false">G59-H59</f>
        <v>1217.872</v>
      </c>
      <c r="K59" s="61" t="n">
        <f aca="false">SUMIFS($G$48:$G$479,$D$48:$D$479,$D59,$A$48:$A$479,$A59,$B$48:$B$479,"&lt;="&amp;$B59)</f>
        <v>271762.535</v>
      </c>
      <c r="L59" s="61" t="n">
        <f aca="false">SUMIFS($H$48:$H$479,$D$48:$D$479,$D59,$A$48:$A$479,$A59,$B$48:$B$479,"&lt;="&amp;$B59)</f>
        <v>258225.82</v>
      </c>
      <c r="M59" s="62" t="n">
        <f aca="false">IF(L59=0,0,K59/L59)</f>
        <v>1.05242200412027</v>
      </c>
    </row>
    <row r="60" customFormat="false" ht="15" hidden="false" customHeight="false" outlineLevel="0" collapsed="false">
      <c r="A60" s="56" t="n">
        <v>2026</v>
      </c>
      <c r="B60" s="56" t="n">
        <v>1</v>
      </c>
      <c r="C60" s="56" t="s">
        <v>160</v>
      </c>
      <c r="D60" s="56" t="s">
        <v>315</v>
      </c>
      <c r="E60" s="56" t="s">
        <v>141</v>
      </c>
      <c r="F60" s="56" t="s">
        <v>336</v>
      </c>
      <c r="G60" s="73" t="n">
        <f aca="false">SUMIFS(DRE_por_UN!$F:$F,DRE_por_UN!$C:$C,$C60,DRE_por_UN!$E:$E,$E60)*VLOOKUP($D60,$A$25:$H$36,4,0)</f>
        <v>18574.5285</v>
      </c>
      <c r="H60" s="61" t="n">
        <f aca="false">VLOOKUP($D60,$A$25:$H$36,5,0)*(1+$B$5)^($A60-2025)*INDEX($B$40:$M$44,MATCH($E60,$A$40:$A$44,0),$B60)</f>
        <v>15682.5516</v>
      </c>
      <c r="I60" s="62" t="n">
        <f aca="false">IF(H60=0,0,G60/H60)</f>
        <v>1.18440729377227</v>
      </c>
      <c r="J60" s="61" t="n">
        <f aca="false">G60-H60</f>
        <v>2891.97690000001</v>
      </c>
      <c r="K60" s="61" t="n">
        <f aca="false">SUMIFS($G$48:$G$479,$D$48:$D$479,$D60,$A$48:$A$479,$A60,$B$48:$B$479,"&lt;="&amp;$B60)</f>
        <v>18574.5285</v>
      </c>
      <c r="L60" s="61" t="n">
        <f aca="false">SUMIFS($H$48:$H$479,$D$48:$D$479,$D60,$A$48:$A$479,$A60,$B$48:$B$479,"&lt;="&amp;$B60)</f>
        <v>15682.5516</v>
      </c>
      <c r="M60" s="62" t="n">
        <f aca="false">IF(L60=0,0,K60/L60)</f>
        <v>1.18440729377227</v>
      </c>
    </row>
    <row r="61" customFormat="false" ht="15" hidden="false" customHeight="false" outlineLevel="0" collapsed="false">
      <c r="A61" s="56" t="n">
        <v>2026</v>
      </c>
      <c r="B61" s="56" t="n">
        <v>2</v>
      </c>
      <c r="C61" s="56" t="s">
        <v>161</v>
      </c>
      <c r="D61" s="56" t="s">
        <v>315</v>
      </c>
      <c r="E61" s="56" t="s">
        <v>141</v>
      </c>
      <c r="F61" s="56" t="s">
        <v>336</v>
      </c>
      <c r="G61" s="73" t="n">
        <f aca="false">SUMIFS(DRE_por_UN!$F:$F,DRE_por_UN!$C:$C,$C61,DRE_por_UN!$E:$E,$E61)*VLOOKUP($D61,$A$25:$H$36,4,0)</f>
        <v>15924.5185</v>
      </c>
      <c r="H61" s="61" t="n">
        <f aca="false">VLOOKUP($D61,$A$25:$H$36,5,0)*(1+$B$5)^($A61-2025)*INDEX($B$40:$M$44,MATCH($E61,$A$40:$A$44,0),$B61)</f>
        <v>22716.436</v>
      </c>
      <c r="I61" s="62" t="n">
        <f aca="false">IF(H61=0,0,G61/H61)</f>
        <v>0.701013068247149</v>
      </c>
      <c r="J61" s="61" t="n">
        <f aca="false">G61-H61</f>
        <v>-6791.9175</v>
      </c>
      <c r="K61" s="61" t="n">
        <f aca="false">SUMIFS($G$48:$G$479,$D$48:$D$479,$D61,$A$48:$A$479,$A61,$B$48:$B$479,"&lt;="&amp;$B61)</f>
        <v>34499.047</v>
      </c>
      <c r="L61" s="61" t="n">
        <f aca="false">SUMIFS($H$48:$H$479,$D$48:$D$479,$D61,$A$48:$A$479,$A61,$B$48:$B$479,"&lt;="&amp;$B61)</f>
        <v>38398.9876</v>
      </c>
      <c r="M61" s="62" t="n">
        <f aca="false">IF(L61=0,0,K61/L61)</f>
        <v>0.898436369192192</v>
      </c>
    </row>
    <row r="62" customFormat="false" ht="15" hidden="false" customHeight="false" outlineLevel="0" collapsed="false">
      <c r="A62" s="56" t="n">
        <v>2026</v>
      </c>
      <c r="B62" s="56" t="n">
        <v>3</v>
      </c>
      <c r="C62" s="56" t="s">
        <v>162</v>
      </c>
      <c r="D62" s="56" t="s">
        <v>315</v>
      </c>
      <c r="E62" s="56" t="s">
        <v>141</v>
      </c>
      <c r="F62" s="56" t="s">
        <v>336</v>
      </c>
      <c r="G62" s="73" t="n">
        <f aca="false">SUMIFS(DRE_por_UN!$F:$F,DRE_por_UN!$C:$C,$C62,DRE_por_UN!$E:$E,$E62)*VLOOKUP($D62,$A$25:$H$36,4,0)</f>
        <v>23401.3285</v>
      </c>
      <c r="H62" s="61" t="n">
        <f aca="false">VLOOKUP($D62,$A$25:$H$36,5,0)*(1+$B$5)^($A62-2025)*INDEX($B$40:$M$44,MATCH($E62,$A$40:$A$44,0),$B62)</f>
        <v>22962.7588</v>
      </c>
      <c r="I62" s="62" t="n">
        <f aca="false">IF(H62=0,0,G62/H62)</f>
        <v>1.01909917287465</v>
      </c>
      <c r="J62" s="61" t="n">
        <f aca="false">G62-H62</f>
        <v>438.569700000004</v>
      </c>
      <c r="K62" s="61" t="n">
        <f aca="false">SUMIFS($G$48:$G$479,$D$48:$D$479,$D62,$A$48:$A$479,$A62,$B$48:$B$479,"&lt;="&amp;$B62)</f>
        <v>57900.3755</v>
      </c>
      <c r="L62" s="61" t="n">
        <f aca="false">SUMIFS($H$48:$H$479,$D$48:$D$479,$D62,$A$48:$A$479,$A62,$B$48:$B$479,"&lt;="&amp;$B62)</f>
        <v>61361.7464</v>
      </c>
      <c r="M62" s="62" t="n">
        <f aca="false">IF(L62=0,0,K62/L62)</f>
        <v>0.943590736850345</v>
      </c>
    </row>
    <row r="63" customFormat="false" ht="15" hidden="false" customHeight="false" outlineLevel="0" collapsed="false">
      <c r="A63" s="56" t="n">
        <v>2026</v>
      </c>
      <c r="B63" s="56" t="n">
        <v>4</v>
      </c>
      <c r="C63" s="56" t="s">
        <v>163</v>
      </c>
      <c r="D63" s="56" t="s">
        <v>315</v>
      </c>
      <c r="E63" s="56" t="s">
        <v>141</v>
      </c>
      <c r="F63" s="56" t="s">
        <v>336</v>
      </c>
      <c r="G63" s="73" t="n">
        <f aca="false">SUMIFS(DRE_por_UN!$F:$F,DRE_por_UN!$C:$C,$C63,DRE_por_UN!$E:$E,$E63)*VLOOKUP($D63,$A$25:$H$36,4,0)</f>
        <v>18086.3265</v>
      </c>
      <c r="H63" s="61" t="n">
        <f aca="false">VLOOKUP($D63,$A$25:$H$36,5,0)*(1+$B$5)^($A63-2025)*INDEX($B$40:$M$44,MATCH($E63,$A$40:$A$44,0),$B63)</f>
        <v>17571.0264</v>
      </c>
      <c r="I63" s="62" t="n">
        <f aca="false">IF(H63=0,0,G63/H63)</f>
        <v>1.02932669317485</v>
      </c>
      <c r="J63" s="61" t="n">
        <f aca="false">G63-H63</f>
        <v>515.300100000004</v>
      </c>
      <c r="K63" s="61" t="n">
        <f aca="false">SUMIFS($G$48:$G$479,$D$48:$D$479,$D63,$A$48:$A$479,$A63,$B$48:$B$479,"&lt;="&amp;$B63)</f>
        <v>75986.702</v>
      </c>
      <c r="L63" s="61" t="n">
        <f aca="false">SUMIFS($H$48:$H$479,$D$48:$D$479,$D63,$A$48:$A$479,$A63,$B$48:$B$479,"&lt;="&amp;$B63)</f>
        <v>78932.7728</v>
      </c>
      <c r="M63" s="62" t="n">
        <f aca="false">IF(L63=0,0,K63/L63)</f>
        <v>0.962676202856008</v>
      </c>
    </row>
    <row r="64" customFormat="false" ht="15" hidden="false" customHeight="false" outlineLevel="0" collapsed="false">
      <c r="A64" s="56" t="n">
        <v>2026</v>
      </c>
      <c r="B64" s="56" t="n">
        <v>5</v>
      </c>
      <c r="C64" s="56" t="s">
        <v>164</v>
      </c>
      <c r="D64" s="56" t="s">
        <v>315</v>
      </c>
      <c r="E64" s="56" t="s">
        <v>141</v>
      </c>
      <c r="F64" s="56" t="s">
        <v>336</v>
      </c>
      <c r="G64" s="73" t="n">
        <f aca="false">SUMIFS(DRE_por_UN!$F:$F,DRE_por_UN!$C:$C,$C64,DRE_por_UN!$E:$E,$E64)*VLOOKUP($D64,$A$25:$H$36,4,0)</f>
        <v>23351.768</v>
      </c>
      <c r="H64" s="61" t="n">
        <f aca="false">VLOOKUP($D64,$A$25:$H$36,5,0)*(1+$B$5)^($A64-2025)*INDEX($B$40:$M$44,MATCH($E64,$A$40:$A$44,0),$B64)</f>
        <v>25425.9868</v>
      </c>
      <c r="I64" s="62" t="n">
        <f aca="false">IF(H64=0,0,G64/H64)</f>
        <v>0.918421305874351</v>
      </c>
      <c r="J64" s="61" t="n">
        <f aca="false">G64-H64</f>
        <v>-2074.2188</v>
      </c>
      <c r="K64" s="61" t="n">
        <f aca="false">SUMIFS($G$48:$G$479,$D$48:$D$479,$D64,$A$48:$A$479,$A64,$B$48:$B$479,"&lt;="&amp;$B64)</f>
        <v>99338.47</v>
      </c>
      <c r="L64" s="61" t="n">
        <f aca="false">SUMIFS($H$48:$H$479,$D$48:$D$479,$D64,$A$48:$A$479,$A64,$B$48:$B$479,"&lt;="&amp;$B64)</f>
        <v>104358.7596</v>
      </c>
      <c r="M64" s="62" t="n">
        <f aca="false">IF(L64=0,0,K64/L64)</f>
        <v>0.9518939318631</v>
      </c>
    </row>
    <row r="65" customFormat="false" ht="15" hidden="false" customHeight="false" outlineLevel="0" collapsed="false">
      <c r="A65" s="56" t="n">
        <v>2026</v>
      </c>
      <c r="B65" s="56" t="n">
        <v>6</v>
      </c>
      <c r="C65" s="56" t="s">
        <v>165</v>
      </c>
      <c r="D65" s="56" t="s">
        <v>315</v>
      </c>
      <c r="E65" s="56" t="s">
        <v>141</v>
      </c>
      <c r="F65" s="56" t="s">
        <v>336</v>
      </c>
      <c r="G65" s="73" t="n">
        <f aca="false">SUMIFS(DRE_por_UN!$F:$F,DRE_por_UN!$C:$C,$C65,DRE_por_UN!$E:$E,$E65)*VLOOKUP($D65,$A$25:$H$36,4,0)</f>
        <v>19939.7935</v>
      </c>
      <c r="H65" s="61" t="n">
        <f aca="false">VLOOKUP($D65,$A$25:$H$36,5,0)*(1+$B$5)^($A65-2025)*INDEX($B$40:$M$44,MATCH($E65,$A$40:$A$44,0),$B65)</f>
        <v>24440.6956</v>
      </c>
      <c r="I65" s="62" t="n">
        <f aca="false">IF(H65=0,0,G65/H65)</f>
        <v>0.815843944310652</v>
      </c>
      <c r="J65" s="61" t="n">
        <f aca="false">G65-H65</f>
        <v>-4500.9021</v>
      </c>
      <c r="K65" s="61" t="n">
        <f aca="false">SUMIFS($G$48:$G$479,$D$48:$D$479,$D65,$A$48:$A$479,$A65,$B$48:$B$479,"&lt;="&amp;$B65)</f>
        <v>119278.2635</v>
      </c>
      <c r="L65" s="61" t="n">
        <f aca="false">SUMIFS($H$48:$H$479,$D$48:$D$479,$D65,$A$48:$A$479,$A65,$B$48:$B$479,"&lt;="&amp;$B65)</f>
        <v>128799.4552</v>
      </c>
      <c r="M65" s="62" t="n">
        <f aca="false">IF(L65=0,0,K65/L65)</f>
        <v>0.926077391513687</v>
      </c>
    </row>
    <row r="66" customFormat="false" ht="15" hidden="false" customHeight="false" outlineLevel="0" collapsed="false">
      <c r="A66" s="56" t="n">
        <v>2026</v>
      </c>
      <c r="B66" s="56" t="n">
        <v>7</v>
      </c>
      <c r="C66" s="56" t="s">
        <v>166</v>
      </c>
      <c r="D66" s="56" t="s">
        <v>315</v>
      </c>
      <c r="E66" s="56" t="s">
        <v>141</v>
      </c>
      <c r="F66" s="56" t="s">
        <v>336</v>
      </c>
      <c r="G66" s="73" t="n">
        <f aca="false">SUMIFS(DRE_por_UN!$F:$F,DRE_por_UN!$C:$C,$C66,DRE_por_UN!$E:$E,$E66)*VLOOKUP($D66,$A$25:$H$36,4,0)</f>
        <v>28593.62</v>
      </c>
      <c r="H66" s="61" t="n">
        <f aca="false">VLOOKUP($D66,$A$25:$H$36,5,0)*(1+$B$5)^($A66-2025)*INDEX($B$40:$M$44,MATCH($E66,$A$40:$A$44,0),$B66)</f>
        <v>25562.8328</v>
      </c>
      <c r="I66" s="62" t="n">
        <f aca="false">IF(H66=0,0,G66/H66)</f>
        <v>1.11856225887453</v>
      </c>
      <c r="J66" s="61" t="n">
        <f aca="false">G66-H66</f>
        <v>3030.7872</v>
      </c>
      <c r="K66" s="61" t="n">
        <f aca="false">SUMIFS($G$48:$G$479,$D$48:$D$479,$D66,$A$48:$A$479,$A66,$B$48:$B$479,"&lt;="&amp;$B66)</f>
        <v>147871.8835</v>
      </c>
      <c r="L66" s="61" t="n">
        <f aca="false">SUMIFS($H$48:$H$479,$D$48:$D$479,$D66,$A$48:$A$479,$A66,$B$48:$B$479,"&lt;="&amp;$B66)</f>
        <v>154362.288</v>
      </c>
      <c r="M66" s="62" t="n">
        <f aca="false">IF(L66=0,0,K66/L66)</f>
        <v>0.957953431605005</v>
      </c>
    </row>
    <row r="67" customFormat="false" ht="15" hidden="false" customHeight="false" outlineLevel="0" collapsed="false">
      <c r="A67" s="56" t="n">
        <v>2026</v>
      </c>
      <c r="B67" s="56" t="n">
        <v>8</v>
      </c>
      <c r="C67" s="56" t="s">
        <v>167</v>
      </c>
      <c r="D67" s="56" t="s">
        <v>315</v>
      </c>
      <c r="E67" s="56" t="s">
        <v>141</v>
      </c>
      <c r="F67" s="56" t="s">
        <v>336</v>
      </c>
      <c r="G67" s="73" t="n">
        <f aca="false">SUMIFS(DRE_por_UN!$F:$F,DRE_por_UN!$C:$C,$C67,DRE_por_UN!$E:$E,$E67)*VLOOKUP($D67,$A$25:$H$36,4,0)</f>
        <v>25451.613</v>
      </c>
      <c r="H67" s="61" t="n">
        <f aca="false">VLOOKUP($D67,$A$25:$H$36,5,0)*(1+$B$5)^($A67-2025)*INDEX($B$40:$M$44,MATCH($E67,$A$40:$A$44,0),$B67)</f>
        <v>20964.8072</v>
      </c>
      <c r="I67" s="62" t="n">
        <f aca="false">IF(H67=0,0,G67/H67)</f>
        <v>1.21401607738134</v>
      </c>
      <c r="J67" s="61" t="n">
        <f aca="false">G67-H67</f>
        <v>4486.80580000001</v>
      </c>
      <c r="K67" s="61" t="n">
        <f aca="false">SUMIFS($G$48:$G$479,$D$48:$D$479,$D67,$A$48:$A$479,$A67,$B$48:$B$479,"&lt;="&amp;$B67)</f>
        <v>173323.4965</v>
      </c>
      <c r="L67" s="61" t="n">
        <f aca="false">SUMIFS($H$48:$H$479,$D$48:$D$479,$D67,$A$48:$A$479,$A67,$B$48:$B$479,"&lt;="&amp;$B67)</f>
        <v>175327.0952</v>
      </c>
      <c r="M67" s="62" t="n">
        <f aca="false">IF(L67=0,0,K67/L67)</f>
        <v>0.988572224403111</v>
      </c>
    </row>
    <row r="68" customFormat="false" ht="15" hidden="false" customHeight="false" outlineLevel="0" collapsed="false">
      <c r="A68" s="56" t="n">
        <v>2026</v>
      </c>
      <c r="B68" s="56" t="n">
        <v>9</v>
      </c>
      <c r="C68" s="56" t="s">
        <v>168</v>
      </c>
      <c r="D68" s="56" t="s">
        <v>315</v>
      </c>
      <c r="E68" s="56" t="s">
        <v>141</v>
      </c>
      <c r="F68" s="56" t="s">
        <v>336</v>
      </c>
      <c r="G68" s="73" t="n">
        <f aca="false">SUMIFS(DRE_por_UN!$F:$F,DRE_por_UN!$C:$C,$C68,DRE_por_UN!$E:$E,$E68)*VLOOKUP($D68,$A$25:$H$36,4,0)</f>
        <v>25596.307</v>
      </c>
      <c r="H68" s="61" t="n">
        <f aca="false">VLOOKUP($D68,$A$25:$H$36,5,0)*(1+$B$5)^($A68-2025)*INDEX($B$40:$M$44,MATCH($E68,$A$40:$A$44,0),$B68)</f>
        <v>17926.826</v>
      </c>
      <c r="I68" s="62" t="n">
        <f aca="false">IF(H68=0,0,G68/H68)</f>
        <v>1.42782146711303</v>
      </c>
      <c r="J68" s="61" t="n">
        <f aca="false">G68-H68</f>
        <v>7669.481</v>
      </c>
      <c r="K68" s="61" t="n">
        <f aca="false">SUMIFS($G$48:$G$479,$D$48:$D$479,$D68,$A$48:$A$479,$A68,$B$48:$B$479,"&lt;="&amp;$B68)</f>
        <v>198919.8035</v>
      </c>
      <c r="L68" s="61" t="n">
        <f aca="false">SUMIFS($H$48:$H$479,$D$48:$D$479,$D68,$A$48:$A$479,$A68,$B$48:$B$479,"&lt;="&amp;$B68)</f>
        <v>193253.9212</v>
      </c>
      <c r="M68" s="62" t="n">
        <f aca="false">IF(L68=0,0,K68/L68)</f>
        <v>1.02931833033357</v>
      </c>
    </row>
    <row r="69" customFormat="false" ht="15" hidden="false" customHeight="false" outlineLevel="0" collapsed="false">
      <c r="A69" s="56" t="n">
        <v>2026</v>
      </c>
      <c r="B69" s="56" t="n">
        <v>10</v>
      </c>
      <c r="C69" s="56" t="s">
        <v>169</v>
      </c>
      <c r="D69" s="56" t="s">
        <v>315</v>
      </c>
      <c r="E69" s="56" t="s">
        <v>141</v>
      </c>
      <c r="F69" s="56" t="s">
        <v>336</v>
      </c>
      <c r="G69" s="73" t="n">
        <f aca="false">SUMIFS(DRE_por_UN!$F:$F,DRE_por_UN!$C:$C,$C69,DRE_por_UN!$E:$E,$E69)*VLOOKUP($D69,$A$25:$H$36,4,0)</f>
        <v>26229.3075</v>
      </c>
      <c r="H69" s="61" t="n">
        <f aca="false">VLOOKUP($D69,$A$25:$H$36,5,0)*(1+$B$5)^($A69-2025)*INDEX($B$40:$M$44,MATCH($E69,$A$40:$A$44,0),$B69)</f>
        <v>28573.4448</v>
      </c>
      <c r="I69" s="62" t="n">
        <f aca="false">IF(H69=0,0,G69/H69)</f>
        <v>0.917960983829293</v>
      </c>
      <c r="J69" s="61" t="n">
        <f aca="false">G69-H69</f>
        <v>-2344.1373</v>
      </c>
      <c r="K69" s="61" t="n">
        <f aca="false">SUMIFS($G$48:$G$479,$D$48:$D$479,$D69,$A$48:$A$479,$A69,$B$48:$B$479,"&lt;="&amp;$B69)</f>
        <v>225149.111</v>
      </c>
      <c r="L69" s="61" t="n">
        <f aca="false">SUMIFS($H$48:$H$479,$D$48:$D$479,$D69,$A$48:$A$479,$A69,$B$48:$B$479,"&lt;="&amp;$B69)</f>
        <v>221827.366</v>
      </c>
      <c r="M69" s="62" t="n">
        <f aca="false">IF(L69=0,0,K69/L69)</f>
        <v>1.01497445991402</v>
      </c>
    </row>
    <row r="70" customFormat="false" ht="15" hidden="false" customHeight="false" outlineLevel="0" collapsed="false">
      <c r="A70" s="56" t="n">
        <v>2026</v>
      </c>
      <c r="B70" s="56" t="n">
        <v>11</v>
      </c>
      <c r="C70" s="56" t="s">
        <v>170</v>
      </c>
      <c r="D70" s="56" t="s">
        <v>315</v>
      </c>
      <c r="E70" s="56" t="s">
        <v>141</v>
      </c>
      <c r="F70" s="56" t="s">
        <v>336</v>
      </c>
      <c r="G70" s="73" t="n">
        <f aca="false">SUMIFS(DRE_por_UN!$F:$F,DRE_por_UN!$C:$C,$C70,DRE_por_UN!$E:$E,$E70)*VLOOKUP($D70,$A$25:$H$36,4,0)</f>
        <v>30436.89</v>
      </c>
      <c r="H70" s="61" t="n">
        <f aca="false">VLOOKUP($D70,$A$25:$H$36,5,0)*(1+$B$5)^($A70-2025)*INDEX($B$40:$M$44,MATCH($E70,$A$40:$A$44,0),$B70)</f>
        <v>27369.2</v>
      </c>
      <c r="I70" s="62" t="n">
        <f aca="false">IF(H70=0,0,G70/H70)</f>
        <v>1.11208548295164</v>
      </c>
      <c r="J70" s="61" t="n">
        <f aca="false">G70-H70</f>
        <v>3067.69</v>
      </c>
      <c r="K70" s="61" t="n">
        <f aca="false">SUMIFS($G$48:$G$479,$D$48:$D$479,$D70,$A$48:$A$479,$A70,$B$48:$B$479,"&lt;="&amp;$B70)</f>
        <v>255586.001</v>
      </c>
      <c r="L70" s="61" t="n">
        <f aca="false">SUMIFS($H$48:$H$479,$D$48:$D$479,$D70,$A$48:$A$479,$A70,$B$48:$B$479,"&lt;="&amp;$B70)</f>
        <v>249196.566</v>
      </c>
      <c r="M70" s="62" t="n">
        <f aca="false">IF(L70=0,0,K70/L70)</f>
        <v>1.02564014064303</v>
      </c>
    </row>
    <row r="71" customFormat="false" ht="15" hidden="false" customHeight="false" outlineLevel="0" collapsed="false">
      <c r="A71" s="56" t="n">
        <v>2026</v>
      </c>
      <c r="B71" s="56" t="n">
        <v>12</v>
      </c>
      <c r="C71" s="56" t="s">
        <v>171</v>
      </c>
      <c r="D71" s="56" t="s">
        <v>315</v>
      </c>
      <c r="E71" s="56" t="s">
        <v>141</v>
      </c>
      <c r="F71" s="56" t="s">
        <v>336</v>
      </c>
      <c r="G71" s="73" t="n">
        <f aca="false">SUMIFS(DRE_por_UN!$F:$F,DRE_por_UN!$C:$C,$C71,DRE_por_UN!$E:$E,$E71)*VLOOKUP($D71,$A$25:$H$36,4,0)</f>
        <v>30949.424</v>
      </c>
      <c r="H71" s="61" t="n">
        <f aca="false">VLOOKUP($D71,$A$25:$H$36,5,0)*(1+$B$5)^($A71-2025)*INDEX($B$40:$M$44,MATCH($E71,$A$40:$A$44,0),$B71)</f>
        <v>24522.8032</v>
      </c>
      <c r="I71" s="62" t="n">
        <f aca="false">IF(H71=0,0,G71/H71)</f>
        <v>1.26206713594635</v>
      </c>
      <c r="J71" s="61" t="n">
        <f aca="false">G71-H71</f>
        <v>6426.6208</v>
      </c>
      <c r="K71" s="61" t="n">
        <f aca="false">SUMIFS($G$48:$G$479,$D$48:$D$479,$D71,$A$48:$A$479,$A71,$B$48:$B$479,"&lt;="&amp;$B71)</f>
        <v>286535.425</v>
      </c>
      <c r="L71" s="61" t="n">
        <f aca="false">SUMIFS($H$48:$H$479,$D$48:$D$479,$D71,$A$48:$A$479,$A71,$B$48:$B$479,"&lt;="&amp;$B71)</f>
        <v>273719.3692</v>
      </c>
      <c r="M71" s="62" t="n">
        <f aca="false">IF(L71=0,0,K71/L71)</f>
        <v>1.04682188124815</v>
      </c>
    </row>
    <row r="72" customFormat="false" ht="15" hidden="false" customHeight="false" outlineLevel="0" collapsed="false">
      <c r="A72" s="56" t="n">
        <v>2027</v>
      </c>
      <c r="B72" s="56" t="n">
        <v>1</v>
      </c>
      <c r="C72" s="56" t="s">
        <v>172</v>
      </c>
      <c r="D72" s="56" t="s">
        <v>315</v>
      </c>
      <c r="E72" s="56" t="s">
        <v>141</v>
      </c>
      <c r="F72" s="56" t="s">
        <v>336</v>
      </c>
      <c r="G72" s="73" t="n">
        <f aca="false">SUMIFS(DRE_por_UN!$F:$F,DRE_por_UN!$C:$C,$C72,DRE_por_UN!$E:$E,$E72)*VLOOKUP($D72,$A$25:$H$36,4,0)</f>
        <v>20060.49078</v>
      </c>
      <c r="H72" s="61" t="n">
        <f aca="false">VLOOKUP($D72,$A$25:$H$36,5,0)*(1+$B$5)^($A72-2025)*INDEX($B$40:$M$44,MATCH($E72,$A$40:$A$44,0),$B72)</f>
        <v>16623.504696</v>
      </c>
      <c r="I72" s="62" t="n">
        <f aca="false">IF(H72=0,0,G72/H72)</f>
        <v>1.20675460120194</v>
      </c>
      <c r="J72" s="61" t="n">
        <f aca="false">G72-H72</f>
        <v>3436.986084</v>
      </c>
      <c r="K72" s="61" t="n">
        <f aca="false">SUMIFS($G$48:$G$479,$D$48:$D$479,$D72,$A$48:$A$479,$A72,$B$48:$B$479,"&lt;="&amp;$B72)</f>
        <v>20060.49078</v>
      </c>
      <c r="L72" s="61" t="n">
        <f aca="false">SUMIFS($H$48:$H$479,$D$48:$D$479,$D72,$A$48:$A$479,$A72,$B$48:$B$479,"&lt;="&amp;$B72)</f>
        <v>16623.504696</v>
      </c>
      <c r="M72" s="62" t="n">
        <f aca="false">IF(L72=0,0,K72/L72)</f>
        <v>1.20675460120194</v>
      </c>
    </row>
    <row r="73" customFormat="false" ht="15" hidden="false" customHeight="false" outlineLevel="0" collapsed="false">
      <c r="A73" s="56" t="n">
        <v>2027</v>
      </c>
      <c r="B73" s="56" t="n">
        <v>2</v>
      </c>
      <c r="C73" s="56" t="s">
        <v>173</v>
      </c>
      <c r="D73" s="56" t="s">
        <v>315</v>
      </c>
      <c r="E73" s="56" t="s">
        <v>141</v>
      </c>
      <c r="F73" s="56" t="s">
        <v>336</v>
      </c>
      <c r="G73" s="73" t="n">
        <f aca="false">SUMIFS(DRE_por_UN!$F:$F,DRE_por_UN!$C:$C,$C73,DRE_por_UN!$E:$E,$E73)*VLOOKUP($D73,$A$25:$H$36,4,0)</f>
        <v>17198.47998</v>
      </c>
      <c r="H73" s="61" t="n">
        <f aca="false">VLOOKUP($D73,$A$25:$H$36,5,0)*(1+$B$5)^($A73-2025)*INDEX($B$40:$M$44,MATCH($E73,$A$40:$A$44,0),$B73)</f>
        <v>24079.42216</v>
      </c>
      <c r="I73" s="62" t="n">
        <f aca="false">IF(H73=0,0,G73/H73)</f>
        <v>0.71423972991219</v>
      </c>
      <c r="J73" s="61" t="n">
        <f aca="false">G73-H73</f>
        <v>-6880.94218</v>
      </c>
      <c r="K73" s="61" t="n">
        <f aca="false">SUMIFS($G$48:$G$479,$D$48:$D$479,$D73,$A$48:$A$479,$A73,$B$48:$B$479,"&lt;="&amp;$B73)</f>
        <v>37258.97076</v>
      </c>
      <c r="L73" s="61" t="n">
        <f aca="false">SUMIFS($H$48:$H$479,$D$48:$D$479,$D73,$A$48:$A$479,$A73,$B$48:$B$479,"&lt;="&amp;$B73)</f>
        <v>40702.926856</v>
      </c>
      <c r="M73" s="62" t="n">
        <f aca="false">IF(L73=0,0,K73/L73)</f>
        <v>0.915387998799592</v>
      </c>
    </row>
    <row r="74" customFormat="false" ht="15" hidden="false" customHeight="false" outlineLevel="0" collapsed="false">
      <c r="A74" s="56" t="n">
        <v>2027</v>
      </c>
      <c r="B74" s="56" t="n">
        <v>3</v>
      </c>
      <c r="C74" s="56" t="s">
        <v>174</v>
      </c>
      <c r="D74" s="56" t="s">
        <v>315</v>
      </c>
      <c r="E74" s="56" t="s">
        <v>141</v>
      </c>
      <c r="F74" s="56" t="s">
        <v>336</v>
      </c>
      <c r="G74" s="73" t="n">
        <f aca="false">SUMIFS(DRE_por_UN!$F:$F,DRE_por_UN!$C:$C,$C74,DRE_por_UN!$E:$E,$E74)*VLOOKUP($D74,$A$25:$H$36,4,0)</f>
        <v>25273.43478</v>
      </c>
      <c r="H74" s="61" t="n">
        <f aca="false">VLOOKUP($D74,$A$25:$H$36,5,0)*(1+$B$5)^($A74-2025)*INDEX($B$40:$M$44,MATCH($E74,$A$40:$A$44,0),$B74)</f>
        <v>24340.524328</v>
      </c>
      <c r="I74" s="62" t="n">
        <f aca="false">IF(H74=0,0,G74/H74)</f>
        <v>1.0383274591553</v>
      </c>
      <c r="J74" s="61" t="n">
        <f aca="false">G74-H74</f>
        <v>932.910452000004</v>
      </c>
      <c r="K74" s="61" t="n">
        <f aca="false">SUMIFS($G$48:$G$479,$D$48:$D$479,$D74,$A$48:$A$479,$A74,$B$48:$B$479,"&lt;="&amp;$B74)</f>
        <v>62532.40554</v>
      </c>
      <c r="L74" s="61" t="n">
        <f aca="false">SUMIFS($H$48:$H$479,$D$48:$D$479,$D74,$A$48:$A$479,$A74,$B$48:$B$479,"&lt;="&amp;$B74)</f>
        <v>65043.451184</v>
      </c>
      <c r="M74" s="62" t="n">
        <f aca="false">IF(L74=0,0,K74/L74)</f>
        <v>0.961394335658842</v>
      </c>
    </row>
    <row r="75" customFormat="false" ht="15" hidden="false" customHeight="false" outlineLevel="0" collapsed="false">
      <c r="A75" s="56" t="n">
        <v>2027</v>
      </c>
      <c r="B75" s="56" t="n">
        <v>4</v>
      </c>
      <c r="C75" s="56" t="s">
        <v>175</v>
      </c>
      <c r="D75" s="56" t="s">
        <v>315</v>
      </c>
      <c r="E75" s="56" t="s">
        <v>141</v>
      </c>
      <c r="F75" s="56" t="s">
        <v>336</v>
      </c>
      <c r="G75" s="73" t="n">
        <f aca="false">SUMIFS(DRE_por_UN!$F:$F,DRE_por_UN!$C:$C,$C75,DRE_por_UN!$E:$E,$E75)*VLOOKUP($D75,$A$25:$H$36,4,0)</f>
        <v>19533.23262</v>
      </c>
      <c r="H75" s="61" t="n">
        <f aca="false">VLOOKUP($D75,$A$25:$H$36,5,0)*(1+$B$5)^($A75-2025)*INDEX($B$40:$M$44,MATCH($E75,$A$40:$A$44,0),$B75)</f>
        <v>18625.287984</v>
      </c>
      <c r="I75" s="62" t="n">
        <f aca="false">IF(H75=0,0,G75/H75)</f>
        <v>1.04874795153664</v>
      </c>
      <c r="J75" s="61" t="n">
        <f aca="false">G75-H75</f>
        <v>907.944636000007</v>
      </c>
      <c r="K75" s="61" t="n">
        <f aca="false">SUMIFS($G$48:$G$479,$D$48:$D$479,$D75,$A$48:$A$479,$A75,$B$48:$B$479,"&lt;="&amp;$B75)</f>
        <v>82065.63816</v>
      </c>
      <c r="L75" s="61" t="n">
        <f aca="false">SUMIFS($H$48:$H$479,$D$48:$D$479,$D75,$A$48:$A$479,$A75,$B$48:$B$479,"&lt;="&amp;$B75)</f>
        <v>83668.739168</v>
      </c>
      <c r="M75" s="62" t="n">
        <f aca="false">IF(L75=0,0,K75/L75)</f>
        <v>0.980839904796688</v>
      </c>
    </row>
    <row r="76" customFormat="false" ht="15" hidden="false" customHeight="false" outlineLevel="0" collapsed="false">
      <c r="A76" s="56" t="n">
        <v>2027</v>
      </c>
      <c r="B76" s="56" t="n">
        <v>5</v>
      </c>
      <c r="C76" s="56" t="s">
        <v>176</v>
      </c>
      <c r="D76" s="56" t="s">
        <v>315</v>
      </c>
      <c r="E76" s="56" t="s">
        <v>141</v>
      </c>
      <c r="F76" s="56" t="s">
        <v>336</v>
      </c>
      <c r="G76" s="73" t="n">
        <f aca="false">SUMIFS(DRE_por_UN!$F:$F,DRE_por_UN!$C:$C,$C76,DRE_por_UN!$E:$E,$E76)*VLOOKUP($D76,$A$25:$H$36,4,0)</f>
        <v>25219.90944</v>
      </c>
      <c r="H76" s="61" t="n">
        <f aca="false">VLOOKUP($D76,$A$25:$H$36,5,0)*(1+$B$5)^($A76-2025)*INDEX($B$40:$M$44,MATCH($E76,$A$40:$A$44,0),$B76)</f>
        <v>26951.546008</v>
      </c>
      <c r="I76" s="62" t="n">
        <f aca="false">IF(H76=0,0,G76/H76)</f>
        <v>0.935750009758773</v>
      </c>
      <c r="J76" s="61" t="n">
        <f aca="false">G76-H76</f>
        <v>-1731.63656799999</v>
      </c>
      <c r="K76" s="61" t="n">
        <f aca="false">SUMIFS($G$48:$G$479,$D$48:$D$479,$D76,$A$48:$A$479,$A76,$B$48:$B$479,"&lt;="&amp;$B76)</f>
        <v>107285.5476</v>
      </c>
      <c r="L76" s="61" t="n">
        <f aca="false">SUMIFS($H$48:$H$479,$D$48:$D$479,$D76,$A$48:$A$479,$A76,$B$48:$B$479,"&lt;="&amp;$B76)</f>
        <v>110620.285176</v>
      </c>
      <c r="M76" s="62" t="n">
        <f aca="false">IF(L76=0,0,K76/L76)</f>
        <v>0.969854194728441</v>
      </c>
    </row>
    <row r="77" customFormat="false" ht="15" hidden="false" customHeight="false" outlineLevel="0" collapsed="false">
      <c r="A77" s="56" t="n">
        <v>2027</v>
      </c>
      <c r="B77" s="56" t="n">
        <v>6</v>
      </c>
      <c r="C77" s="56" t="s">
        <v>177</v>
      </c>
      <c r="D77" s="56" t="s">
        <v>315</v>
      </c>
      <c r="E77" s="56" t="s">
        <v>141</v>
      </c>
      <c r="F77" s="56" t="s">
        <v>336</v>
      </c>
      <c r="G77" s="73" t="n">
        <f aca="false">SUMIFS(DRE_por_UN!$F:$F,DRE_por_UN!$C:$C,$C77,DRE_por_UN!$E:$E,$E77)*VLOOKUP($D77,$A$25:$H$36,4,0)</f>
        <v>21534.97698</v>
      </c>
      <c r="H77" s="61" t="n">
        <f aca="false">VLOOKUP($D77,$A$25:$H$36,5,0)*(1+$B$5)^($A77-2025)*INDEX($B$40:$M$44,MATCH($E77,$A$40:$A$44,0),$B77)</f>
        <v>25907.137336</v>
      </c>
      <c r="I77" s="62" t="n">
        <f aca="false">IF(H77=0,0,G77/H77)</f>
        <v>0.831237226278778</v>
      </c>
      <c r="J77" s="61" t="n">
        <f aca="false">G77-H77</f>
        <v>-4372.160356</v>
      </c>
      <c r="K77" s="61" t="n">
        <f aca="false">SUMIFS($G$48:$G$479,$D$48:$D$479,$D77,$A$48:$A$479,$A77,$B$48:$B$479,"&lt;="&amp;$B77)</f>
        <v>128820.52458</v>
      </c>
      <c r="L77" s="61" t="n">
        <f aca="false">SUMIFS($H$48:$H$479,$D$48:$D$479,$D77,$A$48:$A$479,$A77,$B$48:$B$479,"&lt;="&amp;$B77)</f>
        <v>136527.422512</v>
      </c>
      <c r="M77" s="62" t="n">
        <f aca="false">IF(L77=0,0,K77/L77)</f>
        <v>0.943550549844134</v>
      </c>
    </row>
    <row r="78" customFormat="false" ht="15" hidden="false" customHeight="false" outlineLevel="0" collapsed="false">
      <c r="A78" s="56" t="n">
        <v>2027</v>
      </c>
      <c r="B78" s="56" t="n">
        <v>7</v>
      </c>
      <c r="C78" s="56" t="s">
        <v>178</v>
      </c>
      <c r="D78" s="56" t="s">
        <v>315</v>
      </c>
      <c r="E78" s="56" t="s">
        <v>141</v>
      </c>
      <c r="F78" s="56" t="s">
        <v>336</v>
      </c>
      <c r="G78" s="73" t="n">
        <f aca="false">SUMIFS(DRE_por_UN!$F:$F,DRE_por_UN!$C:$C,$C78,DRE_por_UN!$E:$E,$E78)*VLOOKUP($D78,$A$25:$H$36,4,0)</f>
        <v>30881.1096</v>
      </c>
      <c r="H78" s="61" t="n">
        <f aca="false">VLOOKUP($D78,$A$25:$H$36,5,0)*(1+$B$5)^($A78-2025)*INDEX($B$40:$M$44,MATCH($E78,$A$40:$A$44,0),$B78)</f>
        <v>27096.602768</v>
      </c>
      <c r="I78" s="62" t="n">
        <f aca="false">IF(H78=0,0,G78/H78)</f>
        <v>1.13966720715518</v>
      </c>
      <c r="J78" s="61" t="n">
        <f aca="false">G78-H78</f>
        <v>3784.50683200001</v>
      </c>
      <c r="K78" s="61" t="n">
        <f aca="false">SUMIFS($G$48:$G$479,$D$48:$D$479,$D78,$A$48:$A$479,$A78,$B$48:$B$479,"&lt;="&amp;$B78)</f>
        <v>159701.63418</v>
      </c>
      <c r="L78" s="61" t="n">
        <f aca="false">SUMIFS($H$48:$H$479,$D$48:$D$479,$D78,$A$48:$A$479,$A78,$B$48:$B$479,"&lt;="&amp;$B78)</f>
        <v>163624.02528</v>
      </c>
      <c r="M78" s="62" t="n">
        <f aca="false">IF(L78=0,0,K78/L78)</f>
        <v>0.976028024654156</v>
      </c>
    </row>
    <row r="79" customFormat="false" ht="15" hidden="false" customHeight="false" outlineLevel="0" collapsed="false">
      <c r="A79" s="56" t="n">
        <v>2027</v>
      </c>
      <c r="B79" s="56" t="n">
        <v>8</v>
      </c>
      <c r="C79" s="56" t="s">
        <v>179</v>
      </c>
      <c r="D79" s="56" t="s">
        <v>315</v>
      </c>
      <c r="E79" s="56" t="s">
        <v>141</v>
      </c>
      <c r="F79" s="56" t="s">
        <v>336</v>
      </c>
      <c r="G79" s="73" t="n">
        <f aca="false">SUMIFS(DRE_por_UN!$F:$F,DRE_por_UN!$C:$C,$C79,DRE_por_UN!$E:$E,$E79)*VLOOKUP($D79,$A$25:$H$36,4,0)</f>
        <v>27487.74204</v>
      </c>
      <c r="H79" s="61" t="n">
        <f aca="false">VLOOKUP($D79,$A$25:$H$36,5,0)*(1+$B$5)^($A79-2025)*INDEX($B$40:$M$44,MATCH($E79,$A$40:$A$44,0),$B79)</f>
        <v>22222.695632</v>
      </c>
      <c r="I79" s="62" t="n">
        <f aca="false">IF(H79=0,0,G79/H79)</f>
        <v>1.23692204110551</v>
      </c>
      <c r="J79" s="61" t="n">
        <f aca="false">G79-H79</f>
        <v>5265.04640800001</v>
      </c>
      <c r="K79" s="61" t="n">
        <f aca="false">SUMIFS($G$48:$G$479,$D$48:$D$479,$D79,$A$48:$A$479,$A79,$B$48:$B$479,"&lt;="&amp;$B79)</f>
        <v>187189.37622</v>
      </c>
      <c r="L79" s="61" t="n">
        <f aca="false">SUMIFS($H$48:$H$479,$D$48:$D$479,$D79,$A$48:$A$479,$A79,$B$48:$B$479,"&lt;="&amp;$B79)</f>
        <v>185846.720912</v>
      </c>
      <c r="M79" s="62" t="n">
        <f aca="false">IF(L79=0,0,K79/L79)</f>
        <v>1.00722453052392</v>
      </c>
    </row>
    <row r="80" customFormat="false" ht="15" hidden="false" customHeight="false" outlineLevel="0" collapsed="false">
      <c r="A80" s="56" t="n">
        <v>2027</v>
      </c>
      <c r="B80" s="56" t="n">
        <v>9</v>
      </c>
      <c r="C80" s="56" t="s">
        <v>180</v>
      </c>
      <c r="D80" s="56" t="s">
        <v>315</v>
      </c>
      <c r="E80" s="56" t="s">
        <v>141</v>
      </c>
      <c r="F80" s="56" t="s">
        <v>336</v>
      </c>
      <c r="G80" s="73" t="n">
        <f aca="false">SUMIFS(DRE_por_UN!$F:$F,DRE_por_UN!$C:$C,$C80,DRE_por_UN!$E:$E,$E80)*VLOOKUP($D80,$A$25:$H$36,4,0)</f>
        <v>27644.01156</v>
      </c>
      <c r="H80" s="61" t="n">
        <f aca="false">VLOOKUP($D80,$A$25:$H$36,5,0)*(1+$B$5)^($A80-2025)*INDEX($B$40:$M$44,MATCH($E80,$A$40:$A$44,0),$B80)</f>
        <v>19002.43556</v>
      </c>
      <c r="I80" s="62" t="n">
        <f aca="false">IF(H80=0,0,G80/H80)</f>
        <v>1.45476149479441</v>
      </c>
      <c r="J80" s="61" t="n">
        <f aca="false">G80-H80</f>
        <v>8641.576</v>
      </c>
      <c r="K80" s="61" t="n">
        <f aca="false">SUMIFS($G$48:$G$479,$D$48:$D$479,$D80,$A$48:$A$479,$A80,$B$48:$B$479,"&lt;="&amp;$B80)</f>
        <v>214833.38778</v>
      </c>
      <c r="L80" s="61" t="n">
        <f aca="false">SUMIFS($H$48:$H$479,$D$48:$D$479,$D80,$A$48:$A$479,$A80,$B$48:$B$479,"&lt;="&amp;$B80)</f>
        <v>204849.156472</v>
      </c>
      <c r="M80" s="62" t="n">
        <f aca="false">IF(L80=0,0,K80/L80)</f>
        <v>1.04873943090591</v>
      </c>
    </row>
    <row r="81" customFormat="false" ht="15" hidden="false" customHeight="false" outlineLevel="0" collapsed="false">
      <c r="A81" s="56" t="n">
        <v>2027</v>
      </c>
      <c r="B81" s="56" t="n">
        <v>10</v>
      </c>
      <c r="C81" s="56" t="s">
        <v>181</v>
      </c>
      <c r="D81" s="56" t="s">
        <v>315</v>
      </c>
      <c r="E81" s="56" t="s">
        <v>141</v>
      </c>
      <c r="F81" s="56" t="s">
        <v>336</v>
      </c>
      <c r="G81" s="73" t="n">
        <f aca="false">SUMIFS(DRE_por_UN!$F:$F,DRE_por_UN!$C:$C,$C81,DRE_por_UN!$E:$E,$E81)*VLOOKUP($D81,$A$25:$H$36,4,0)</f>
        <v>28327.6521</v>
      </c>
      <c r="H81" s="61" t="n">
        <f aca="false">VLOOKUP($D81,$A$25:$H$36,5,0)*(1+$B$5)^($A81-2025)*INDEX($B$40:$M$44,MATCH($E81,$A$40:$A$44,0),$B81)</f>
        <v>30287.851488</v>
      </c>
      <c r="I81" s="62" t="n">
        <f aca="false">IF(H81=0,0,G81/H81)</f>
        <v>0.93528100239211</v>
      </c>
      <c r="J81" s="61" t="n">
        <f aca="false">G81-H81</f>
        <v>-1960.199388</v>
      </c>
      <c r="K81" s="61" t="n">
        <f aca="false">SUMIFS($G$48:$G$479,$D$48:$D$479,$D81,$A$48:$A$479,$A81,$B$48:$B$479,"&lt;="&amp;$B81)</f>
        <v>243161.03988</v>
      </c>
      <c r="L81" s="61" t="n">
        <f aca="false">SUMIFS($H$48:$H$479,$D$48:$D$479,$D81,$A$48:$A$479,$A81,$B$48:$B$479,"&lt;="&amp;$B81)</f>
        <v>235137.00796</v>
      </c>
      <c r="M81" s="62" t="n">
        <f aca="false">IF(L81=0,0,K81/L81)</f>
        <v>1.03412492142183</v>
      </c>
    </row>
    <row r="82" customFormat="false" ht="15" hidden="false" customHeight="false" outlineLevel="0" collapsed="false">
      <c r="A82" s="56" t="n">
        <v>2027</v>
      </c>
      <c r="B82" s="56" t="n">
        <v>11</v>
      </c>
      <c r="C82" s="56" t="s">
        <v>182</v>
      </c>
      <c r="D82" s="56" t="s">
        <v>315</v>
      </c>
      <c r="E82" s="56" t="s">
        <v>141</v>
      </c>
      <c r="F82" s="56" t="s">
        <v>336</v>
      </c>
      <c r="G82" s="73" t="n">
        <f aca="false">SUMIFS(DRE_por_UN!$F:$F,DRE_por_UN!$C:$C,$C82,DRE_por_UN!$E:$E,$E82)*VLOOKUP($D82,$A$25:$H$36,4,0)</f>
        <v>32871.8412</v>
      </c>
      <c r="H82" s="61" t="n">
        <f aca="false">VLOOKUP($D82,$A$25:$H$36,5,0)*(1+$B$5)^($A82-2025)*INDEX($B$40:$M$44,MATCH($E82,$A$40:$A$44,0),$B82)</f>
        <v>29011.352</v>
      </c>
      <c r="I82" s="62" t="n">
        <f aca="false">IF(H82=0,0,G82/H82)</f>
        <v>1.13306822791299</v>
      </c>
      <c r="J82" s="61" t="n">
        <f aca="false">G82-H82</f>
        <v>3860.4892</v>
      </c>
      <c r="K82" s="61" t="n">
        <f aca="false">SUMIFS($G$48:$G$479,$D$48:$D$479,$D82,$A$48:$A$479,$A82,$B$48:$B$479,"&lt;="&amp;$B82)</f>
        <v>276032.88108</v>
      </c>
      <c r="L82" s="61" t="n">
        <f aca="false">SUMIFS($H$48:$H$479,$D$48:$D$479,$D82,$A$48:$A$479,$A82,$B$48:$B$479,"&lt;="&amp;$B82)</f>
        <v>264148.35996</v>
      </c>
      <c r="M82" s="62" t="n">
        <f aca="false">IF(L82=0,0,K82/L82)</f>
        <v>1.04499184140988</v>
      </c>
    </row>
    <row r="83" customFormat="false" ht="15" hidden="false" customHeight="false" outlineLevel="0" collapsed="false">
      <c r="A83" s="56" t="n">
        <v>2027</v>
      </c>
      <c r="B83" s="56" t="n">
        <v>12</v>
      </c>
      <c r="C83" s="56" t="s">
        <v>183</v>
      </c>
      <c r="D83" s="56" t="s">
        <v>315</v>
      </c>
      <c r="E83" s="56" t="s">
        <v>141</v>
      </c>
      <c r="F83" s="56" t="s">
        <v>336</v>
      </c>
      <c r="G83" s="73" t="n">
        <f aca="false">SUMIFS(DRE_por_UN!$F:$F,DRE_por_UN!$C:$C,$C83,DRE_por_UN!$E:$E,$E83)*VLOOKUP($D83,$A$25:$H$36,4,0)</f>
        <v>33425.37792</v>
      </c>
      <c r="H83" s="61" t="n">
        <f aca="false">VLOOKUP($D83,$A$25:$H$36,5,0)*(1+$B$5)^($A83-2025)*INDEX($B$40:$M$44,MATCH($E83,$A$40:$A$44,0),$B83)</f>
        <v>25994.171392</v>
      </c>
      <c r="I83" s="62" t="n">
        <f aca="false">IF(H83=0,0,G83/H83)</f>
        <v>1.28587972341704</v>
      </c>
      <c r="J83" s="61" t="n">
        <f aca="false">G83-H83</f>
        <v>7431.20652800001</v>
      </c>
      <c r="K83" s="61" t="n">
        <f aca="false">SUMIFS($G$48:$G$479,$D$48:$D$479,$D83,$A$48:$A$479,$A83,$B$48:$B$479,"&lt;="&amp;$B83)</f>
        <v>309458.259</v>
      </c>
      <c r="L83" s="61" t="n">
        <f aca="false">SUMIFS($H$48:$H$479,$D$48:$D$479,$D83,$A$48:$A$479,$A83,$B$48:$B$479,"&lt;="&amp;$B83)</f>
        <v>290142.531352</v>
      </c>
      <c r="M83" s="62" t="n">
        <f aca="false">IF(L83=0,0,K83/L83)</f>
        <v>1.06657323749811</v>
      </c>
    </row>
    <row r="84" customFormat="false" ht="15" hidden="false" customHeight="false" outlineLevel="0" collapsed="false">
      <c r="A84" s="56" t="n">
        <v>2025</v>
      </c>
      <c r="B84" s="56" t="n">
        <v>1</v>
      </c>
      <c r="C84" s="56" t="s">
        <v>148</v>
      </c>
      <c r="D84" s="56" t="s">
        <v>316</v>
      </c>
      <c r="E84" s="56" t="s">
        <v>141</v>
      </c>
      <c r="F84" s="56" t="s">
        <v>337</v>
      </c>
      <c r="G84" s="73" t="n">
        <f aca="false">SUMIFS(DRE_por_UN!$F:$F,DRE_por_UN!$C:$C,$C84,DRE_por_UN!$E:$E,$E84)*VLOOKUP($D84,$A$25:$H$36,4,0)</f>
        <v>12750.165</v>
      </c>
      <c r="H84" s="61" t="n">
        <f aca="false">VLOOKUP($D84,$A$25:$H$36,5,0)*(1+$B$5)^($A84-2025)*INDEX($B$40:$M$44,MATCH($E84,$A$40:$A$44,0),$B84)</f>
        <v>14015.58</v>
      </c>
      <c r="I84" s="62" t="n">
        <f aca="false">IF(H84=0,0,G84/H84)</f>
        <v>0.909713690050644</v>
      </c>
      <c r="J84" s="61" t="n">
        <f aca="false">G84-H84</f>
        <v>-1265.415</v>
      </c>
      <c r="K84" s="61" t="n">
        <f aca="false">SUMIFS($G$48:$G$479,$D$48:$D$479,$D84,$A$48:$A$479,$A84,$B$48:$B$479,"&lt;="&amp;$B84)</f>
        <v>12750.165</v>
      </c>
      <c r="L84" s="61" t="n">
        <f aca="false">SUMIFS($H$48:$H$479,$D$48:$D$479,$D84,$A$48:$A$479,$A84,$B$48:$B$479,"&lt;="&amp;$B84)</f>
        <v>14015.58</v>
      </c>
      <c r="M84" s="62" t="n">
        <f aca="false">IF(L84=0,0,K84/L84)</f>
        <v>0.909713690050644</v>
      </c>
    </row>
    <row r="85" customFormat="false" ht="15" hidden="false" customHeight="false" outlineLevel="0" collapsed="false">
      <c r="A85" s="56" t="n">
        <v>2025</v>
      </c>
      <c r="B85" s="56" t="n">
        <v>2</v>
      </c>
      <c r="C85" s="56" t="s">
        <v>149</v>
      </c>
      <c r="D85" s="56" t="s">
        <v>316</v>
      </c>
      <c r="E85" s="56" t="s">
        <v>141</v>
      </c>
      <c r="F85" s="56" t="s">
        <v>337</v>
      </c>
      <c r="G85" s="73" t="n">
        <f aca="false">SUMIFS(DRE_por_UN!$F:$F,DRE_por_UN!$C:$C,$C85,DRE_por_UN!$E:$E,$E85)*VLOOKUP($D85,$A$25:$H$36,4,0)</f>
        <v>18449.235</v>
      </c>
      <c r="H85" s="61" t="n">
        <f aca="false">VLOOKUP($D85,$A$25:$H$36,5,0)*(1+$B$5)^($A85-2025)*INDEX($B$40:$M$44,MATCH($E85,$A$40:$A$44,0),$B85)</f>
        <v>20301.8</v>
      </c>
      <c r="I85" s="62" t="n">
        <f aca="false">IF(H85=0,0,G85/H85)</f>
        <v>0.908748731639559</v>
      </c>
      <c r="J85" s="61" t="n">
        <f aca="false">G85-H85</f>
        <v>-1852.565</v>
      </c>
      <c r="K85" s="61" t="n">
        <f aca="false">SUMIFS($G$48:$G$479,$D$48:$D$479,$D85,$A$48:$A$479,$A85,$B$48:$B$479,"&lt;="&amp;$B85)</f>
        <v>31199.4</v>
      </c>
      <c r="L85" s="61" t="n">
        <f aca="false">SUMIFS($H$48:$H$479,$D$48:$D$479,$D85,$A$48:$A$479,$A85,$B$48:$B$479,"&lt;="&amp;$B85)</f>
        <v>34317.38</v>
      </c>
      <c r="M85" s="62" t="n">
        <f aca="false">IF(L85=0,0,K85/L85)</f>
        <v>0.909142830833823</v>
      </c>
    </row>
    <row r="86" customFormat="false" ht="15" hidden="false" customHeight="false" outlineLevel="0" collapsed="false">
      <c r="A86" s="56" t="n">
        <v>2025</v>
      </c>
      <c r="B86" s="56" t="n">
        <v>3</v>
      </c>
      <c r="C86" s="56" t="s">
        <v>150</v>
      </c>
      <c r="D86" s="56" t="s">
        <v>316</v>
      </c>
      <c r="E86" s="56" t="s">
        <v>141</v>
      </c>
      <c r="F86" s="56" t="s">
        <v>337</v>
      </c>
      <c r="G86" s="73" t="n">
        <f aca="false">SUMIFS(DRE_por_UN!$F:$F,DRE_por_UN!$C:$C,$C86,DRE_por_UN!$E:$E,$E86)*VLOOKUP($D86,$A$25:$H$36,4,0)</f>
        <v>18657.162</v>
      </c>
      <c r="H86" s="61" t="n">
        <f aca="false">VLOOKUP($D86,$A$25:$H$36,5,0)*(1+$B$5)^($A86-2025)*INDEX($B$40:$M$44,MATCH($E86,$A$40:$A$44,0),$B86)</f>
        <v>20521.94</v>
      </c>
      <c r="I86" s="62" t="n">
        <f aca="false">IF(H86=0,0,G86/H86)</f>
        <v>0.90913246993218</v>
      </c>
      <c r="J86" s="61" t="n">
        <f aca="false">G86-H86</f>
        <v>-1864.778</v>
      </c>
      <c r="K86" s="61" t="n">
        <f aca="false">SUMIFS($G$48:$G$479,$D$48:$D$479,$D86,$A$48:$A$479,$A86,$B$48:$B$479,"&lt;="&amp;$B86)</f>
        <v>49856.562</v>
      </c>
      <c r="L86" s="61" t="n">
        <f aca="false">SUMIFS($H$48:$H$479,$D$48:$D$479,$D86,$A$48:$A$479,$A86,$B$48:$B$479,"&lt;="&amp;$B86)</f>
        <v>54839.32</v>
      </c>
      <c r="M86" s="62" t="n">
        <f aca="false">IF(L86=0,0,K86/L86)</f>
        <v>0.90913895358294</v>
      </c>
    </row>
    <row r="87" customFormat="false" ht="15" hidden="false" customHeight="false" outlineLevel="0" collapsed="false">
      <c r="A87" s="56" t="n">
        <v>2025</v>
      </c>
      <c r="B87" s="56" t="n">
        <v>4</v>
      </c>
      <c r="C87" s="56" t="s">
        <v>151</v>
      </c>
      <c r="D87" s="56" t="s">
        <v>316</v>
      </c>
      <c r="E87" s="56" t="s">
        <v>141</v>
      </c>
      <c r="F87" s="56" t="s">
        <v>337</v>
      </c>
      <c r="G87" s="73" t="n">
        <f aca="false">SUMIFS(DRE_por_UN!$F:$F,DRE_por_UN!$C:$C,$C87,DRE_por_UN!$E:$E,$E87)*VLOOKUP($D87,$A$25:$H$36,4,0)</f>
        <v>14273.541</v>
      </c>
      <c r="H87" s="61" t="n">
        <f aca="false">VLOOKUP($D87,$A$25:$H$36,5,0)*(1+$B$5)^($A87-2025)*INDEX($B$40:$M$44,MATCH($E87,$A$40:$A$44,0),$B87)</f>
        <v>15703.32</v>
      </c>
      <c r="I87" s="62" t="n">
        <f aca="false">IF(H87=0,0,G87/H87)</f>
        <v>0.908950527659119</v>
      </c>
      <c r="J87" s="61" t="n">
        <f aca="false">G87-H87</f>
        <v>-1429.779</v>
      </c>
      <c r="K87" s="61" t="n">
        <f aca="false">SUMIFS($G$48:$G$479,$D$48:$D$479,$D87,$A$48:$A$479,$A87,$B$48:$B$479,"&lt;="&amp;$B87)</f>
        <v>64130.103</v>
      </c>
      <c r="L87" s="61" t="n">
        <f aca="false">SUMIFS($H$48:$H$479,$D$48:$D$479,$D87,$A$48:$A$479,$A87,$B$48:$B$479,"&lt;="&amp;$B87)</f>
        <v>70542.64</v>
      </c>
      <c r="M87" s="62" t="n">
        <f aca="false">IF(L87=0,0,K87/L87)</f>
        <v>0.909097008561063</v>
      </c>
    </row>
    <row r="88" customFormat="false" ht="15" hidden="false" customHeight="false" outlineLevel="0" collapsed="false">
      <c r="A88" s="56" t="n">
        <v>2025</v>
      </c>
      <c r="B88" s="56" t="n">
        <v>5</v>
      </c>
      <c r="C88" s="56" t="s">
        <v>152</v>
      </c>
      <c r="D88" s="56" t="s">
        <v>316</v>
      </c>
      <c r="E88" s="56" t="s">
        <v>141</v>
      </c>
      <c r="F88" s="56" t="s">
        <v>337</v>
      </c>
      <c r="G88" s="73" t="n">
        <f aca="false">SUMIFS(DRE_por_UN!$F:$F,DRE_por_UN!$C:$C,$C88,DRE_por_UN!$E:$E,$E88)*VLOOKUP($D88,$A$25:$H$36,4,0)</f>
        <v>20656.1925</v>
      </c>
      <c r="H88" s="61" t="n">
        <f aca="false">VLOOKUP($D88,$A$25:$H$36,5,0)*(1+$B$5)^($A88-2025)*INDEX($B$40:$M$44,MATCH($E88,$A$40:$A$44,0),$B88)</f>
        <v>22723.34</v>
      </c>
      <c r="I88" s="62" t="n">
        <f aca="false">IF(H88=0,0,G88/H88)</f>
        <v>0.909029768511143</v>
      </c>
      <c r="J88" s="61" t="n">
        <f aca="false">G88-H88</f>
        <v>-2067.1475</v>
      </c>
      <c r="K88" s="61" t="n">
        <f aca="false">SUMIFS($G$48:$G$479,$D$48:$D$479,$D88,$A$48:$A$479,$A88,$B$48:$B$479,"&lt;="&amp;$B88)</f>
        <v>84786.2955</v>
      </c>
      <c r="L88" s="61" t="n">
        <f aca="false">SUMIFS($H$48:$H$479,$D$48:$D$479,$D88,$A$48:$A$479,$A88,$B$48:$B$479,"&lt;="&amp;$B88)</f>
        <v>93265.98</v>
      </c>
      <c r="M88" s="62" t="n">
        <f aca="false">IF(L88=0,0,K88/L88)</f>
        <v>0.909080626183309</v>
      </c>
    </row>
    <row r="89" customFormat="false" ht="15" hidden="false" customHeight="false" outlineLevel="0" collapsed="false">
      <c r="A89" s="56" t="n">
        <v>2025</v>
      </c>
      <c r="B89" s="56" t="n">
        <v>6</v>
      </c>
      <c r="C89" s="56" t="s">
        <v>153</v>
      </c>
      <c r="D89" s="56" t="s">
        <v>316</v>
      </c>
      <c r="E89" s="56" t="s">
        <v>141</v>
      </c>
      <c r="F89" s="56" t="s">
        <v>337</v>
      </c>
      <c r="G89" s="73" t="n">
        <f aca="false">SUMIFS(DRE_por_UN!$F:$F,DRE_por_UN!$C:$C,$C89,DRE_por_UN!$E:$E,$E89)*VLOOKUP($D89,$A$25:$H$36,4,0)</f>
        <v>19855.7955</v>
      </c>
      <c r="H89" s="61" t="n">
        <f aca="false">VLOOKUP($D89,$A$25:$H$36,5,0)*(1+$B$5)^($A89-2025)*INDEX($B$40:$M$44,MATCH($E89,$A$40:$A$44,0),$B89)</f>
        <v>21842.78</v>
      </c>
      <c r="I89" s="62" t="n">
        <f aca="false">IF(H89=0,0,G89/H89)</f>
        <v>0.909032435431754</v>
      </c>
      <c r="J89" s="61" t="n">
        <f aca="false">G89-H89</f>
        <v>-1986.9845</v>
      </c>
      <c r="K89" s="61" t="n">
        <f aca="false">SUMIFS($G$48:$G$479,$D$48:$D$479,$D89,$A$48:$A$479,$A89,$B$48:$B$479,"&lt;="&amp;$B89)</f>
        <v>104642.091</v>
      </c>
      <c r="L89" s="61" t="n">
        <f aca="false">SUMIFS($H$48:$H$479,$D$48:$D$479,$D89,$A$48:$A$479,$A89,$B$48:$B$479,"&lt;="&amp;$B89)</f>
        <v>115108.76</v>
      </c>
      <c r="M89" s="62" t="n">
        <f aca="false">IF(L89=0,0,K89/L89)</f>
        <v>0.909071481614431</v>
      </c>
    </row>
    <row r="90" customFormat="false" ht="15" hidden="false" customHeight="false" outlineLevel="0" collapsed="false">
      <c r="A90" s="56" t="n">
        <v>2025</v>
      </c>
      <c r="B90" s="56" t="n">
        <v>7</v>
      </c>
      <c r="C90" s="56" t="s">
        <v>154</v>
      </c>
      <c r="D90" s="56" t="s">
        <v>316</v>
      </c>
      <c r="E90" s="56" t="s">
        <v>141</v>
      </c>
      <c r="F90" s="56" t="s">
        <v>337</v>
      </c>
      <c r="G90" s="73" t="n">
        <f aca="false">SUMIFS(DRE_por_UN!$F:$F,DRE_por_UN!$C:$C,$C90,DRE_por_UN!$E:$E,$E90)*VLOOKUP($D90,$A$25:$H$36,4,0)</f>
        <v>20767.3785</v>
      </c>
      <c r="H90" s="61" t="n">
        <f aca="false">VLOOKUP($D90,$A$25:$H$36,5,0)*(1+$B$5)^($A90-2025)*INDEX($B$40:$M$44,MATCH($E90,$A$40:$A$44,0),$B90)</f>
        <v>22845.64</v>
      </c>
      <c r="I90" s="62" t="n">
        <f aca="false">IF(H90=0,0,G90/H90)</f>
        <v>0.909030278862838</v>
      </c>
      <c r="J90" s="61" t="n">
        <f aca="false">G90-H90</f>
        <v>-2078.2615</v>
      </c>
      <c r="K90" s="61" t="n">
        <f aca="false">SUMIFS($G$48:$G$479,$D$48:$D$479,$D90,$A$48:$A$479,$A90,$B$48:$B$479,"&lt;="&amp;$B90)</f>
        <v>125409.4695</v>
      </c>
      <c r="L90" s="61" t="n">
        <f aca="false">SUMIFS($H$48:$H$479,$D$48:$D$479,$D90,$A$48:$A$479,$A90,$B$48:$B$479,"&lt;="&amp;$B90)</f>
        <v>137954.4</v>
      </c>
      <c r="M90" s="62" t="n">
        <f aca="false">IF(L90=0,0,K90/L90)</f>
        <v>0.90906465832188</v>
      </c>
    </row>
    <row r="91" customFormat="false" ht="15" hidden="false" customHeight="false" outlineLevel="0" collapsed="false">
      <c r="A91" s="56" t="n">
        <v>2025</v>
      </c>
      <c r="B91" s="56" t="n">
        <v>8</v>
      </c>
      <c r="C91" s="56" t="s">
        <v>155</v>
      </c>
      <c r="D91" s="56" t="s">
        <v>316</v>
      </c>
      <c r="E91" s="56" t="s">
        <v>141</v>
      </c>
      <c r="F91" s="56" t="s">
        <v>337</v>
      </c>
      <c r="G91" s="73" t="n">
        <f aca="false">SUMIFS(DRE_por_UN!$F:$F,DRE_por_UN!$C:$C,$C91,DRE_por_UN!$E:$E,$E91)*VLOOKUP($D91,$A$25:$H$36,4,0)</f>
        <v>17022.474</v>
      </c>
      <c r="H91" s="61" t="n">
        <f aca="false">VLOOKUP($D91,$A$25:$H$36,5,0)*(1+$B$5)^($A91-2025)*INDEX($B$40:$M$44,MATCH($E91,$A$40:$A$44,0),$B91)</f>
        <v>18736.36</v>
      </c>
      <c r="I91" s="62" t="n">
        <f aca="false">IF(H91=0,0,G91/H91)</f>
        <v>0.908526202528133</v>
      </c>
      <c r="J91" s="61" t="n">
        <f aca="false">G91-H91</f>
        <v>-1713.886</v>
      </c>
      <c r="K91" s="61" t="n">
        <f aca="false">SUMIFS($G$48:$G$479,$D$48:$D$479,$D91,$A$48:$A$479,$A91,$B$48:$B$479,"&lt;="&amp;$B91)</f>
        <v>142431.9435</v>
      </c>
      <c r="L91" s="61" t="n">
        <f aca="false">SUMIFS($H$48:$H$479,$D$48:$D$479,$D91,$A$48:$A$479,$A91,$B$48:$B$479,"&lt;="&amp;$B91)</f>
        <v>156690.76</v>
      </c>
      <c r="M91" s="62" t="n">
        <f aca="false">IF(L91=0,0,K91/L91)</f>
        <v>0.909000272256003</v>
      </c>
    </row>
    <row r="92" customFormat="false" ht="15" hidden="false" customHeight="false" outlineLevel="0" collapsed="false">
      <c r="A92" s="56" t="n">
        <v>2025</v>
      </c>
      <c r="B92" s="56" t="n">
        <v>9</v>
      </c>
      <c r="C92" s="56" t="s">
        <v>156</v>
      </c>
      <c r="D92" s="56" t="s">
        <v>316</v>
      </c>
      <c r="E92" s="56" t="s">
        <v>141</v>
      </c>
      <c r="F92" s="56" t="s">
        <v>337</v>
      </c>
      <c r="G92" s="73" t="n">
        <f aca="false">SUMIFS(DRE_por_UN!$F:$F,DRE_por_UN!$C:$C,$C92,DRE_por_UN!$E:$E,$E92)*VLOOKUP($D92,$A$25:$H$36,4,0)</f>
        <v>14554.9395</v>
      </c>
      <c r="H92" s="61" t="n">
        <f aca="false">VLOOKUP($D92,$A$25:$H$36,5,0)*(1+$B$5)^($A92-2025)*INDEX($B$40:$M$44,MATCH($E92,$A$40:$A$44,0),$B92)</f>
        <v>16021.3</v>
      </c>
      <c r="I92" s="62" t="n">
        <f aca="false">IF(H92=0,0,G92/H92)</f>
        <v>0.908474312321722</v>
      </c>
      <c r="J92" s="61" t="n">
        <f aca="false">G92-H92</f>
        <v>-1466.3605</v>
      </c>
      <c r="K92" s="61" t="n">
        <f aca="false">SUMIFS($G$48:$G$479,$D$48:$D$479,$D92,$A$48:$A$479,$A92,$B$48:$B$479,"&lt;="&amp;$B92)</f>
        <v>156986.883</v>
      </c>
      <c r="L92" s="61" t="n">
        <f aca="false">SUMIFS($H$48:$H$479,$D$48:$D$479,$D92,$A$48:$A$479,$A92,$B$48:$B$479,"&lt;="&amp;$B92)</f>
        <v>172712.06</v>
      </c>
      <c r="M92" s="62" t="n">
        <f aca="false">IF(L92=0,0,K92/L92)</f>
        <v>0.908951482600578</v>
      </c>
    </row>
    <row r="93" customFormat="false" ht="15" hidden="false" customHeight="false" outlineLevel="0" collapsed="false">
      <c r="A93" s="56" t="n">
        <v>2025</v>
      </c>
      <c r="B93" s="56" t="n">
        <v>10</v>
      </c>
      <c r="C93" s="56" t="s">
        <v>157</v>
      </c>
      <c r="D93" s="56" t="s">
        <v>316</v>
      </c>
      <c r="E93" s="56" t="s">
        <v>141</v>
      </c>
      <c r="F93" s="56" t="s">
        <v>337</v>
      </c>
      <c r="G93" s="73" t="n">
        <f aca="false">SUMIFS(DRE_por_UN!$F:$F,DRE_por_UN!$C:$C,$C93,DRE_por_UN!$E:$E,$E93)*VLOOKUP($D93,$A$25:$H$36,4,0)</f>
        <v>23213.9115</v>
      </c>
      <c r="H93" s="61" t="n">
        <f aca="false">VLOOKUP($D93,$A$25:$H$36,5,0)*(1+$B$5)^($A93-2025)*INDEX($B$40:$M$44,MATCH($E93,$A$40:$A$44,0),$B93)</f>
        <v>25536.24</v>
      </c>
      <c r="I93" s="62" t="n">
        <f aca="false">IF(H93=0,0,G93/H93)</f>
        <v>0.909057539402825</v>
      </c>
      <c r="J93" s="61" t="n">
        <f aca="false">G93-H93</f>
        <v>-2322.3285</v>
      </c>
      <c r="K93" s="61" t="n">
        <f aca="false">SUMIFS($G$48:$G$479,$D$48:$D$479,$D93,$A$48:$A$479,$A93,$B$48:$B$479,"&lt;="&amp;$B93)</f>
        <v>180200.7945</v>
      </c>
      <c r="L93" s="61" t="n">
        <f aca="false">SUMIFS($H$48:$H$479,$D$48:$D$479,$D93,$A$48:$A$479,$A93,$B$48:$B$479,"&lt;="&amp;$B93)</f>
        <v>198248.3</v>
      </c>
      <c r="M93" s="62" t="n">
        <f aca="false">IF(L93=0,0,K93/L93)</f>
        <v>0.908965143711195</v>
      </c>
    </row>
    <row r="94" customFormat="false" ht="15" hidden="false" customHeight="false" outlineLevel="0" collapsed="false">
      <c r="A94" s="56" t="n">
        <v>2025</v>
      </c>
      <c r="B94" s="56" t="n">
        <v>11</v>
      </c>
      <c r="C94" s="56" t="s">
        <v>158</v>
      </c>
      <c r="D94" s="56" t="s">
        <v>316</v>
      </c>
      <c r="E94" s="56" t="s">
        <v>141</v>
      </c>
      <c r="F94" s="56" t="s">
        <v>337</v>
      </c>
      <c r="G94" s="73" t="n">
        <f aca="false">SUMIFS(DRE_por_UN!$F:$F,DRE_por_UN!$C:$C,$C94,DRE_por_UN!$E:$E,$E94)*VLOOKUP($D94,$A$25:$H$36,4,0)</f>
        <v>22225.5225</v>
      </c>
      <c r="H94" s="61" t="n">
        <f aca="false">VLOOKUP($D94,$A$25:$H$36,5,0)*(1+$B$5)^($A94-2025)*INDEX($B$40:$M$44,MATCH($E94,$A$40:$A$44,0),$B94)</f>
        <v>24460</v>
      </c>
      <c r="I94" s="62" t="n">
        <f aca="false">IF(H94=0,0,G94/H94)</f>
        <v>0.908647690106296</v>
      </c>
      <c r="J94" s="61" t="n">
        <f aca="false">G94-H94</f>
        <v>-2234.4775</v>
      </c>
      <c r="K94" s="61" t="n">
        <f aca="false">SUMIFS($G$48:$G$479,$D$48:$D$479,$D94,$A$48:$A$479,$A94,$B$48:$B$479,"&lt;="&amp;$B94)</f>
        <v>202426.317</v>
      </c>
      <c r="L94" s="61" t="n">
        <f aca="false">SUMIFS($H$48:$H$479,$D$48:$D$479,$D94,$A$48:$A$479,$A94,$B$48:$B$479,"&lt;="&amp;$B94)</f>
        <v>222708.3</v>
      </c>
      <c r="M94" s="62" t="n">
        <f aca="false">IF(L94=0,0,K94/L94)</f>
        <v>0.90893027785673</v>
      </c>
    </row>
    <row r="95" customFormat="false" ht="15" hidden="false" customHeight="false" outlineLevel="0" collapsed="false">
      <c r="A95" s="56" t="n">
        <v>2025</v>
      </c>
      <c r="B95" s="56" t="n">
        <v>12</v>
      </c>
      <c r="C95" s="56" t="s">
        <v>159</v>
      </c>
      <c r="D95" s="56" t="s">
        <v>316</v>
      </c>
      <c r="E95" s="56" t="s">
        <v>141</v>
      </c>
      <c r="F95" s="56" t="s">
        <v>337</v>
      </c>
      <c r="G95" s="73" t="n">
        <f aca="false">SUMIFS(DRE_por_UN!$F:$F,DRE_por_UN!$C:$C,$C95,DRE_por_UN!$E:$E,$E95)*VLOOKUP($D95,$A$25:$H$36,4,0)</f>
        <v>19924.848</v>
      </c>
      <c r="H95" s="61" t="n">
        <f aca="false">VLOOKUP($D95,$A$25:$H$36,5,0)*(1+$B$5)^($A95-2025)*INDEX($B$40:$M$44,MATCH($E95,$A$40:$A$44,0),$B95)</f>
        <v>21916.16</v>
      </c>
      <c r="I95" s="62" t="n">
        <f aca="false">IF(H95=0,0,G95/H95)</f>
        <v>0.909139557294709</v>
      </c>
      <c r="J95" s="61" t="n">
        <f aca="false">G95-H95</f>
        <v>-1991.312</v>
      </c>
      <c r="K95" s="61" t="n">
        <f aca="false">SUMIFS($G$48:$G$479,$D$48:$D$479,$D95,$A$48:$A$479,$A95,$B$48:$B$479,"&lt;="&amp;$B95)</f>
        <v>222351.165</v>
      </c>
      <c r="L95" s="61" t="n">
        <f aca="false">SUMIFS($H$48:$H$479,$D$48:$D$479,$D95,$A$48:$A$479,$A95,$B$48:$B$479,"&lt;="&amp;$B95)</f>
        <v>244624.46</v>
      </c>
      <c r="M95" s="62" t="n">
        <f aca="false">IF(L95=0,0,K95/L95)</f>
        <v>0.908949027419417</v>
      </c>
    </row>
    <row r="96" customFormat="false" ht="15" hidden="false" customHeight="false" outlineLevel="0" collapsed="false">
      <c r="A96" s="56" t="n">
        <v>2026</v>
      </c>
      <c r="B96" s="56" t="n">
        <v>1</v>
      </c>
      <c r="C96" s="56" t="s">
        <v>160</v>
      </c>
      <c r="D96" s="56" t="s">
        <v>316</v>
      </c>
      <c r="E96" s="56" t="s">
        <v>141</v>
      </c>
      <c r="F96" s="56" t="s">
        <v>337</v>
      </c>
      <c r="G96" s="73" t="n">
        <f aca="false">SUMIFS(DRE_por_UN!$F:$F,DRE_por_UN!$C:$C,$C96,DRE_por_UN!$E:$E,$E96)*VLOOKUP($D96,$A$25:$H$36,4,0)</f>
        <v>15197.3415</v>
      </c>
      <c r="H96" s="61" t="n">
        <f aca="false">VLOOKUP($D96,$A$25:$H$36,5,0)*(1+$B$5)^($A96-2025)*INDEX($B$40:$M$44,MATCH($E96,$A$40:$A$44,0),$B96)</f>
        <v>14856.5148</v>
      </c>
      <c r="I96" s="62" t="n">
        <f aca="false">IF(H96=0,0,G96/H96)</f>
        <v>1.02294122845016</v>
      </c>
      <c r="J96" s="61" t="n">
        <f aca="false">G96-H96</f>
        <v>340.826700000003</v>
      </c>
      <c r="K96" s="61" t="n">
        <f aca="false">SUMIFS($G$48:$G$479,$D$48:$D$479,$D96,$A$48:$A$479,$A96,$B$48:$B$479,"&lt;="&amp;$B96)</f>
        <v>15197.3415</v>
      </c>
      <c r="L96" s="61" t="n">
        <f aca="false">SUMIFS($H$48:$H$479,$D$48:$D$479,$D96,$A$48:$A$479,$A96,$B$48:$B$479,"&lt;="&amp;$B96)</f>
        <v>14856.5148</v>
      </c>
      <c r="M96" s="62" t="n">
        <f aca="false">IF(L96=0,0,K96/L96)</f>
        <v>1.02294122845016</v>
      </c>
    </row>
    <row r="97" customFormat="false" ht="15" hidden="false" customHeight="false" outlineLevel="0" collapsed="false">
      <c r="A97" s="56" t="n">
        <v>2026</v>
      </c>
      <c r="B97" s="56" t="n">
        <v>2</v>
      </c>
      <c r="C97" s="56" t="s">
        <v>161</v>
      </c>
      <c r="D97" s="56" t="s">
        <v>316</v>
      </c>
      <c r="E97" s="56" t="s">
        <v>141</v>
      </c>
      <c r="F97" s="56" t="s">
        <v>337</v>
      </c>
      <c r="G97" s="73" t="n">
        <f aca="false">SUMIFS(DRE_por_UN!$F:$F,DRE_por_UN!$C:$C,$C97,DRE_por_UN!$E:$E,$E97)*VLOOKUP($D97,$A$25:$H$36,4,0)</f>
        <v>13029.1515</v>
      </c>
      <c r="H97" s="61" t="n">
        <f aca="false">VLOOKUP($D97,$A$25:$H$36,5,0)*(1+$B$5)^($A97-2025)*INDEX($B$40:$M$44,MATCH($E97,$A$40:$A$44,0),$B97)</f>
        <v>21519.908</v>
      </c>
      <c r="I97" s="62" t="n">
        <f aca="false">IF(H97=0,0,G97/H97)</f>
        <v>0.605446431276565</v>
      </c>
      <c r="J97" s="61" t="n">
        <f aca="false">G97-H97</f>
        <v>-8490.7565</v>
      </c>
      <c r="K97" s="61" t="n">
        <f aca="false">SUMIFS($G$48:$G$479,$D$48:$D$479,$D97,$A$48:$A$479,$A97,$B$48:$B$479,"&lt;="&amp;$B97)</f>
        <v>28226.493</v>
      </c>
      <c r="L97" s="61" t="n">
        <f aca="false">SUMIFS($H$48:$H$479,$D$48:$D$479,$D97,$A$48:$A$479,$A97,$B$48:$B$479,"&lt;="&amp;$B97)</f>
        <v>36376.4228</v>
      </c>
      <c r="M97" s="62" t="n">
        <f aca="false">IF(L97=0,0,K97/L97)</f>
        <v>0.775955710521377</v>
      </c>
    </row>
    <row r="98" customFormat="false" ht="15" hidden="false" customHeight="false" outlineLevel="0" collapsed="false">
      <c r="A98" s="56" t="n">
        <v>2026</v>
      </c>
      <c r="B98" s="56" t="n">
        <v>3</v>
      </c>
      <c r="C98" s="56" t="s">
        <v>162</v>
      </c>
      <c r="D98" s="56" t="s">
        <v>316</v>
      </c>
      <c r="E98" s="56" t="s">
        <v>141</v>
      </c>
      <c r="F98" s="56" t="s">
        <v>337</v>
      </c>
      <c r="G98" s="73" t="n">
        <f aca="false">SUMIFS(DRE_por_UN!$F:$F,DRE_por_UN!$C:$C,$C98,DRE_por_UN!$E:$E,$E98)*VLOOKUP($D98,$A$25:$H$36,4,0)</f>
        <v>19146.5415</v>
      </c>
      <c r="H98" s="61" t="n">
        <f aca="false">VLOOKUP($D98,$A$25:$H$36,5,0)*(1+$B$5)^($A98-2025)*INDEX($B$40:$M$44,MATCH($E98,$A$40:$A$44,0),$B98)</f>
        <v>21753.2564</v>
      </c>
      <c r="I98" s="62" t="n">
        <f aca="false">IF(H98=0,0,G98/H98)</f>
        <v>0.880168980125661</v>
      </c>
      <c r="J98" s="61" t="n">
        <f aca="false">G98-H98</f>
        <v>-2606.7149</v>
      </c>
      <c r="K98" s="61" t="n">
        <f aca="false">SUMIFS($G$48:$G$479,$D$48:$D$479,$D98,$A$48:$A$479,$A98,$B$48:$B$479,"&lt;="&amp;$B98)</f>
        <v>47373.0345</v>
      </c>
      <c r="L98" s="61" t="n">
        <f aca="false">SUMIFS($H$48:$H$479,$D$48:$D$479,$D98,$A$48:$A$479,$A98,$B$48:$B$479,"&lt;="&amp;$B98)</f>
        <v>58129.6792</v>
      </c>
      <c r="M98" s="62" t="n">
        <f aca="false">IF(L98=0,0,K98/L98)</f>
        <v>0.814954342634666</v>
      </c>
    </row>
    <row r="99" customFormat="false" ht="15" hidden="false" customHeight="false" outlineLevel="0" collapsed="false">
      <c r="A99" s="56" t="n">
        <v>2026</v>
      </c>
      <c r="B99" s="56" t="n">
        <v>4</v>
      </c>
      <c r="C99" s="56" t="s">
        <v>163</v>
      </c>
      <c r="D99" s="56" t="s">
        <v>316</v>
      </c>
      <c r="E99" s="56" t="s">
        <v>141</v>
      </c>
      <c r="F99" s="56" t="s">
        <v>337</v>
      </c>
      <c r="G99" s="73" t="n">
        <f aca="false">SUMIFS(DRE_por_UN!$F:$F,DRE_por_UN!$C:$C,$C99,DRE_por_UN!$E:$E,$E99)*VLOOKUP($D99,$A$25:$H$36,4,0)</f>
        <v>14797.9035</v>
      </c>
      <c r="H99" s="61" t="n">
        <f aca="false">VLOOKUP($D99,$A$25:$H$36,5,0)*(1+$B$5)^($A99-2025)*INDEX($B$40:$M$44,MATCH($E99,$A$40:$A$44,0),$B99)</f>
        <v>16645.5192</v>
      </c>
      <c r="I99" s="62" t="n">
        <f aca="false">IF(H99=0,0,G99/H99)</f>
        <v>0.889002218687177</v>
      </c>
      <c r="J99" s="61" t="n">
        <f aca="false">G99-H99</f>
        <v>-1847.6157</v>
      </c>
      <c r="K99" s="61" t="n">
        <f aca="false">SUMIFS($G$48:$G$479,$D$48:$D$479,$D99,$A$48:$A$479,$A99,$B$48:$B$479,"&lt;="&amp;$B99)</f>
        <v>62170.938</v>
      </c>
      <c r="L99" s="61" t="n">
        <f aca="false">SUMIFS($H$48:$H$479,$D$48:$D$479,$D99,$A$48:$A$479,$A99,$B$48:$B$479,"&lt;="&amp;$B99)</f>
        <v>74775.1984</v>
      </c>
      <c r="M99" s="62" t="n">
        <f aca="false">IF(L99=0,0,K99/L99)</f>
        <v>0.831437954432763</v>
      </c>
    </row>
    <row r="100" customFormat="false" ht="15" hidden="false" customHeight="false" outlineLevel="0" collapsed="false">
      <c r="A100" s="56" t="n">
        <v>2026</v>
      </c>
      <c r="B100" s="56" t="n">
        <v>5</v>
      </c>
      <c r="C100" s="56" t="s">
        <v>164</v>
      </c>
      <c r="D100" s="56" t="s">
        <v>316</v>
      </c>
      <c r="E100" s="56" t="s">
        <v>141</v>
      </c>
      <c r="F100" s="56" t="s">
        <v>337</v>
      </c>
      <c r="G100" s="73" t="n">
        <f aca="false">SUMIFS(DRE_por_UN!$F:$F,DRE_por_UN!$C:$C,$C100,DRE_por_UN!$E:$E,$E100)*VLOOKUP($D100,$A$25:$H$36,4,0)</f>
        <v>19105.992</v>
      </c>
      <c r="H100" s="61" t="n">
        <f aca="false">VLOOKUP($D100,$A$25:$H$36,5,0)*(1+$B$5)^($A100-2025)*INDEX($B$40:$M$44,MATCH($E100,$A$40:$A$44,0),$B100)</f>
        <v>24086.7404</v>
      </c>
      <c r="I100" s="62" t="n">
        <f aca="false">IF(H100=0,0,G100/H100)</f>
        <v>0.793216171333835</v>
      </c>
      <c r="J100" s="61" t="n">
        <f aca="false">G100-H100</f>
        <v>-4980.7484</v>
      </c>
      <c r="K100" s="61" t="n">
        <f aca="false">SUMIFS($G$48:$G$479,$D$48:$D$479,$D100,$A$48:$A$479,$A100,$B$48:$B$479,"&lt;="&amp;$B100)</f>
        <v>81276.93</v>
      </c>
      <c r="L100" s="61" t="n">
        <f aca="false">SUMIFS($H$48:$H$479,$D$48:$D$479,$D100,$A$48:$A$479,$A100,$B$48:$B$479,"&lt;="&amp;$B100)</f>
        <v>98861.9388</v>
      </c>
      <c r="M100" s="62" t="n">
        <f aca="false">IF(L100=0,0,K100/L100)</f>
        <v>0.822125592382172</v>
      </c>
    </row>
    <row r="101" customFormat="false" ht="15" hidden="false" customHeight="false" outlineLevel="0" collapsed="false">
      <c r="A101" s="56" t="n">
        <v>2026</v>
      </c>
      <c r="B101" s="56" t="n">
        <v>6</v>
      </c>
      <c r="C101" s="56" t="s">
        <v>165</v>
      </c>
      <c r="D101" s="56" t="s">
        <v>316</v>
      </c>
      <c r="E101" s="56" t="s">
        <v>141</v>
      </c>
      <c r="F101" s="56" t="s">
        <v>337</v>
      </c>
      <c r="G101" s="73" t="n">
        <f aca="false">SUMIFS(DRE_por_UN!$F:$F,DRE_por_UN!$C:$C,$C101,DRE_por_UN!$E:$E,$E101)*VLOOKUP($D101,$A$25:$H$36,4,0)</f>
        <v>16314.3765</v>
      </c>
      <c r="H101" s="61" t="n">
        <f aca="false">VLOOKUP($D101,$A$25:$H$36,5,0)*(1+$B$5)^($A101-2025)*INDEX($B$40:$M$44,MATCH($E101,$A$40:$A$44,0),$B101)</f>
        <v>23153.3468</v>
      </c>
      <c r="I101" s="62" t="n">
        <f aca="false">IF(H101=0,0,G101/H101)</f>
        <v>0.70462281936709</v>
      </c>
      <c r="J101" s="61" t="n">
        <f aca="false">G101-H101</f>
        <v>-6838.9703</v>
      </c>
      <c r="K101" s="61" t="n">
        <f aca="false">SUMIFS($G$48:$G$479,$D$48:$D$479,$D101,$A$48:$A$479,$A101,$B$48:$B$479,"&lt;="&amp;$B101)</f>
        <v>97591.3065</v>
      </c>
      <c r="L101" s="61" t="n">
        <f aca="false">SUMIFS($H$48:$H$479,$D$48:$D$479,$D101,$A$48:$A$479,$A101,$B$48:$B$479,"&lt;="&amp;$B101)</f>
        <v>122015.2856</v>
      </c>
      <c r="M101" s="62" t="n">
        <f aca="false">IF(L101=0,0,K101/L101)</f>
        <v>0.799828529844461</v>
      </c>
    </row>
    <row r="102" customFormat="false" ht="15" hidden="false" customHeight="false" outlineLevel="0" collapsed="false">
      <c r="A102" s="56" t="n">
        <v>2026</v>
      </c>
      <c r="B102" s="56" t="n">
        <v>7</v>
      </c>
      <c r="C102" s="56" t="s">
        <v>166</v>
      </c>
      <c r="D102" s="56" t="s">
        <v>316</v>
      </c>
      <c r="E102" s="56" t="s">
        <v>141</v>
      </c>
      <c r="F102" s="56" t="s">
        <v>337</v>
      </c>
      <c r="G102" s="73" t="n">
        <f aca="false">SUMIFS(DRE_por_UN!$F:$F,DRE_por_UN!$C:$C,$C102,DRE_por_UN!$E:$E,$E102)*VLOOKUP($D102,$A$25:$H$36,4,0)</f>
        <v>23394.78</v>
      </c>
      <c r="H102" s="61" t="n">
        <f aca="false">VLOOKUP($D102,$A$25:$H$36,5,0)*(1+$B$5)^($A102-2025)*INDEX($B$40:$M$44,MATCH($E102,$A$40:$A$44,0),$B102)</f>
        <v>24216.3784</v>
      </c>
      <c r="I102" s="62" t="n">
        <f aca="false">IF(H102=0,0,G102/H102)</f>
        <v>0.966072614722605</v>
      </c>
      <c r="J102" s="61" t="n">
        <f aca="false">G102-H102</f>
        <v>-821.598399999995</v>
      </c>
      <c r="K102" s="61" t="n">
        <f aca="false">SUMIFS($G$48:$G$479,$D$48:$D$479,$D102,$A$48:$A$479,$A102,$B$48:$B$479,"&lt;="&amp;$B102)</f>
        <v>120986.0865</v>
      </c>
      <c r="L102" s="61" t="n">
        <f aca="false">SUMIFS($H$48:$H$479,$D$48:$D$479,$D102,$A$48:$A$479,$A102,$B$48:$B$479,"&lt;="&amp;$B102)</f>
        <v>146231.664</v>
      </c>
      <c r="M102" s="62" t="n">
        <f aca="false">IF(L102=0,0,K102/L102)</f>
        <v>0.827359021914707</v>
      </c>
    </row>
    <row r="103" customFormat="false" ht="15" hidden="false" customHeight="false" outlineLevel="0" collapsed="false">
      <c r="A103" s="56" t="n">
        <v>2026</v>
      </c>
      <c r="B103" s="56" t="n">
        <v>8</v>
      </c>
      <c r="C103" s="56" t="s">
        <v>167</v>
      </c>
      <c r="D103" s="56" t="s">
        <v>316</v>
      </c>
      <c r="E103" s="56" t="s">
        <v>141</v>
      </c>
      <c r="F103" s="56" t="s">
        <v>337</v>
      </c>
      <c r="G103" s="73" t="n">
        <f aca="false">SUMIFS(DRE_por_UN!$F:$F,DRE_por_UN!$C:$C,$C103,DRE_por_UN!$E:$E,$E103)*VLOOKUP($D103,$A$25:$H$36,4,0)</f>
        <v>20824.047</v>
      </c>
      <c r="H103" s="61" t="n">
        <f aca="false">VLOOKUP($D103,$A$25:$H$36,5,0)*(1+$B$5)^($A103-2025)*INDEX($B$40:$M$44,MATCH($E103,$A$40:$A$44,0),$B103)</f>
        <v>19860.5416</v>
      </c>
      <c r="I103" s="62" t="n">
        <f aca="false">IF(H103=0,0,G103/H103)</f>
        <v>1.04851355111081</v>
      </c>
      <c r="J103" s="61" t="n">
        <f aca="false">G103-H103</f>
        <v>963.505400000002</v>
      </c>
      <c r="K103" s="61" t="n">
        <f aca="false">SUMIFS($G$48:$G$479,$D$48:$D$479,$D103,$A$48:$A$479,$A103,$B$48:$B$479,"&lt;="&amp;$B103)</f>
        <v>141810.1335</v>
      </c>
      <c r="L103" s="61" t="n">
        <f aca="false">SUMIFS($H$48:$H$479,$D$48:$D$479,$D103,$A$48:$A$479,$A103,$B$48:$B$479,"&lt;="&amp;$B103)</f>
        <v>166092.2056</v>
      </c>
      <c r="M103" s="62" t="n">
        <f aca="false">IF(L103=0,0,K103/L103)</f>
        <v>0.853803662777057</v>
      </c>
    </row>
    <row r="104" customFormat="false" ht="15" hidden="false" customHeight="false" outlineLevel="0" collapsed="false">
      <c r="A104" s="56" t="n">
        <v>2026</v>
      </c>
      <c r="B104" s="56" t="n">
        <v>9</v>
      </c>
      <c r="C104" s="56" t="s">
        <v>168</v>
      </c>
      <c r="D104" s="56" t="s">
        <v>316</v>
      </c>
      <c r="E104" s="56" t="s">
        <v>141</v>
      </c>
      <c r="F104" s="56" t="s">
        <v>337</v>
      </c>
      <c r="G104" s="73" t="n">
        <f aca="false">SUMIFS(DRE_por_UN!$F:$F,DRE_por_UN!$C:$C,$C104,DRE_por_UN!$E:$E,$E104)*VLOOKUP($D104,$A$25:$H$36,4,0)</f>
        <v>20942.433</v>
      </c>
      <c r="H104" s="61" t="n">
        <f aca="false">VLOOKUP($D104,$A$25:$H$36,5,0)*(1+$B$5)^($A104-2025)*INDEX($B$40:$M$44,MATCH($E104,$A$40:$A$44,0),$B104)</f>
        <v>16982.578</v>
      </c>
      <c r="I104" s="62" t="n">
        <f aca="false">IF(H104=0,0,G104/H104)</f>
        <v>1.23317160680787</v>
      </c>
      <c r="J104" s="61" t="n">
        <f aca="false">G104-H104</f>
        <v>3959.855</v>
      </c>
      <c r="K104" s="61" t="n">
        <f aca="false">SUMIFS($G$48:$G$479,$D$48:$D$479,$D104,$A$48:$A$479,$A104,$B$48:$B$479,"&lt;="&amp;$B104)</f>
        <v>162752.5665</v>
      </c>
      <c r="L104" s="61" t="n">
        <f aca="false">SUMIFS($H$48:$H$479,$D$48:$D$479,$D104,$A$48:$A$479,$A104,$B$48:$B$479,"&lt;="&amp;$B104)</f>
        <v>183074.7836</v>
      </c>
      <c r="M104" s="62" t="n">
        <f aca="false">IF(L104=0,0,K104/L104)</f>
        <v>0.88899499592253</v>
      </c>
    </row>
    <row r="105" customFormat="false" ht="15" hidden="false" customHeight="false" outlineLevel="0" collapsed="false">
      <c r="A105" s="56" t="n">
        <v>2026</v>
      </c>
      <c r="B105" s="56" t="n">
        <v>10</v>
      </c>
      <c r="C105" s="56" t="s">
        <v>169</v>
      </c>
      <c r="D105" s="56" t="s">
        <v>316</v>
      </c>
      <c r="E105" s="56" t="s">
        <v>141</v>
      </c>
      <c r="F105" s="56" t="s">
        <v>337</v>
      </c>
      <c r="G105" s="73" t="n">
        <f aca="false">SUMIFS(DRE_por_UN!$F:$F,DRE_por_UN!$C:$C,$C105,DRE_por_UN!$E:$E,$E105)*VLOOKUP($D105,$A$25:$H$36,4,0)</f>
        <v>21460.3425</v>
      </c>
      <c r="H105" s="61" t="n">
        <f aca="false">VLOOKUP($D105,$A$25:$H$36,5,0)*(1+$B$5)^($A105-2025)*INDEX($B$40:$M$44,MATCH($E105,$A$40:$A$44,0),$B105)</f>
        <v>27068.4144</v>
      </c>
      <c r="I105" s="62" t="n">
        <f aca="false">IF(H105=0,0,G105/H105)</f>
        <v>0.792818603368212</v>
      </c>
      <c r="J105" s="61" t="n">
        <f aca="false">G105-H105</f>
        <v>-5608.0719</v>
      </c>
      <c r="K105" s="61" t="n">
        <f aca="false">SUMIFS($G$48:$G$479,$D$48:$D$479,$D105,$A$48:$A$479,$A105,$B$48:$B$479,"&lt;="&amp;$B105)</f>
        <v>184212.909</v>
      </c>
      <c r="L105" s="61" t="n">
        <f aca="false">SUMIFS($H$48:$H$479,$D$48:$D$479,$D105,$A$48:$A$479,$A105,$B$48:$B$479,"&lt;="&amp;$B105)</f>
        <v>210143.198</v>
      </c>
      <c r="M105" s="62" t="n">
        <f aca="false">IF(L105=0,0,K105/L105)</f>
        <v>0.876606574722442</v>
      </c>
    </row>
    <row r="106" customFormat="false" ht="15" hidden="false" customHeight="false" outlineLevel="0" collapsed="false">
      <c r="A106" s="56" t="n">
        <v>2026</v>
      </c>
      <c r="B106" s="56" t="n">
        <v>11</v>
      </c>
      <c r="C106" s="56" t="s">
        <v>170</v>
      </c>
      <c r="D106" s="56" t="s">
        <v>316</v>
      </c>
      <c r="E106" s="56" t="s">
        <v>141</v>
      </c>
      <c r="F106" s="56" t="s">
        <v>337</v>
      </c>
      <c r="G106" s="73" t="n">
        <f aca="false">SUMIFS(DRE_por_UN!$F:$F,DRE_por_UN!$C:$C,$C106,DRE_por_UN!$E:$E,$E106)*VLOOKUP($D106,$A$25:$H$36,4,0)</f>
        <v>24902.91</v>
      </c>
      <c r="H106" s="61" t="n">
        <f aca="false">VLOOKUP($D106,$A$25:$H$36,5,0)*(1+$B$5)^($A106-2025)*INDEX($B$40:$M$44,MATCH($E106,$A$40:$A$44,0),$B106)</f>
        <v>25927.6</v>
      </c>
      <c r="I106" s="62" t="n">
        <f aca="false">IF(H106=0,0,G106/H106)</f>
        <v>0.960478794797822</v>
      </c>
      <c r="J106" s="61" t="n">
        <f aca="false">G106-H106</f>
        <v>-1024.69</v>
      </c>
      <c r="K106" s="61" t="n">
        <f aca="false">SUMIFS($G$48:$G$479,$D$48:$D$479,$D106,$A$48:$A$479,$A106,$B$48:$B$479,"&lt;="&amp;$B106)</f>
        <v>209115.819</v>
      </c>
      <c r="L106" s="61" t="n">
        <f aca="false">SUMIFS($H$48:$H$479,$D$48:$D$479,$D106,$A$48:$A$479,$A106,$B$48:$B$479,"&lt;="&amp;$B106)</f>
        <v>236070.798</v>
      </c>
      <c r="M106" s="62" t="n">
        <f aca="false">IF(L106=0,0,K106/L106)</f>
        <v>0.885818240848239</v>
      </c>
    </row>
    <row r="107" customFormat="false" ht="15" hidden="false" customHeight="false" outlineLevel="0" collapsed="false">
      <c r="A107" s="56" t="n">
        <v>2026</v>
      </c>
      <c r="B107" s="56" t="n">
        <v>12</v>
      </c>
      <c r="C107" s="56" t="s">
        <v>171</v>
      </c>
      <c r="D107" s="56" t="s">
        <v>316</v>
      </c>
      <c r="E107" s="56" t="s">
        <v>141</v>
      </c>
      <c r="F107" s="56" t="s">
        <v>337</v>
      </c>
      <c r="G107" s="73" t="n">
        <f aca="false">SUMIFS(DRE_por_UN!$F:$F,DRE_por_UN!$C:$C,$C107,DRE_por_UN!$E:$E,$E107)*VLOOKUP($D107,$A$25:$H$36,4,0)</f>
        <v>25322.256</v>
      </c>
      <c r="H107" s="61" t="n">
        <f aca="false">VLOOKUP($D107,$A$25:$H$36,5,0)*(1+$B$5)^($A107-2025)*INDEX($B$40:$M$44,MATCH($E107,$A$40:$A$44,0),$B107)</f>
        <v>23231.1296</v>
      </c>
      <c r="I107" s="62" t="n">
        <f aca="false">IF(H107=0,0,G107/H107)</f>
        <v>1.09001397848514</v>
      </c>
      <c r="J107" s="61" t="n">
        <f aca="false">G107-H107</f>
        <v>2091.1264</v>
      </c>
      <c r="K107" s="61" t="n">
        <f aca="false">SUMIFS($G$48:$G$479,$D$48:$D$479,$D107,$A$48:$A$479,$A107,$B$48:$B$479,"&lt;="&amp;$B107)</f>
        <v>234438.075</v>
      </c>
      <c r="L107" s="61" t="n">
        <f aca="false">SUMIFS($H$48:$H$479,$D$48:$D$479,$D107,$A$48:$A$479,$A107,$B$48:$B$479,"&lt;="&amp;$B107)</f>
        <v>259301.9276</v>
      </c>
      <c r="M107" s="62" t="n">
        <f aca="false">IF(L107=0,0,K107/L107)</f>
        <v>0.904112349529638</v>
      </c>
    </row>
    <row r="108" customFormat="false" ht="15" hidden="false" customHeight="false" outlineLevel="0" collapsed="false">
      <c r="A108" s="56" t="n">
        <v>2027</v>
      </c>
      <c r="B108" s="56" t="n">
        <v>1</v>
      </c>
      <c r="C108" s="56" t="s">
        <v>172</v>
      </c>
      <c r="D108" s="56" t="s">
        <v>316</v>
      </c>
      <c r="E108" s="56" t="s">
        <v>141</v>
      </c>
      <c r="F108" s="56" t="s">
        <v>337</v>
      </c>
      <c r="G108" s="73" t="n">
        <f aca="false">SUMIFS(DRE_por_UN!$F:$F,DRE_por_UN!$C:$C,$C108,DRE_por_UN!$E:$E,$E108)*VLOOKUP($D108,$A$25:$H$36,4,0)</f>
        <v>16413.12882</v>
      </c>
      <c r="H108" s="61" t="n">
        <f aca="false">VLOOKUP($D108,$A$25:$H$36,5,0)*(1+$B$5)^($A108-2025)*INDEX($B$40:$M$44,MATCH($E108,$A$40:$A$44,0),$B108)</f>
        <v>15747.905688</v>
      </c>
      <c r="I108" s="62" t="n">
        <f aca="false">IF(H108=0,0,G108/H108)</f>
        <v>1.04224200634545</v>
      </c>
      <c r="J108" s="61" t="n">
        <f aca="false">G108-H108</f>
        <v>665.223131999999</v>
      </c>
      <c r="K108" s="61" t="n">
        <f aca="false">SUMIFS($G$48:$G$479,$D$48:$D$479,$D108,$A$48:$A$479,$A108,$B$48:$B$479,"&lt;="&amp;$B108)</f>
        <v>16413.12882</v>
      </c>
      <c r="L108" s="61" t="n">
        <f aca="false">SUMIFS($H$48:$H$479,$D$48:$D$479,$D108,$A$48:$A$479,$A108,$B$48:$B$479,"&lt;="&amp;$B108)</f>
        <v>15747.905688</v>
      </c>
      <c r="M108" s="62" t="n">
        <f aca="false">IF(L108=0,0,K108/L108)</f>
        <v>1.04224200634545</v>
      </c>
    </row>
    <row r="109" customFormat="false" ht="15" hidden="false" customHeight="false" outlineLevel="0" collapsed="false">
      <c r="A109" s="56" t="n">
        <v>2027</v>
      </c>
      <c r="B109" s="56" t="n">
        <v>2</v>
      </c>
      <c r="C109" s="56" t="s">
        <v>173</v>
      </c>
      <c r="D109" s="56" t="s">
        <v>316</v>
      </c>
      <c r="E109" s="56" t="s">
        <v>141</v>
      </c>
      <c r="F109" s="56" t="s">
        <v>337</v>
      </c>
      <c r="G109" s="73" t="n">
        <f aca="false">SUMIFS(DRE_por_UN!$F:$F,DRE_por_UN!$C:$C,$C109,DRE_por_UN!$E:$E,$E109)*VLOOKUP($D109,$A$25:$H$36,4,0)</f>
        <v>14071.48362</v>
      </c>
      <c r="H109" s="61" t="n">
        <f aca="false">VLOOKUP($D109,$A$25:$H$36,5,0)*(1+$B$5)^($A109-2025)*INDEX($B$40:$M$44,MATCH($E109,$A$40:$A$44,0),$B109)</f>
        <v>22811.10248</v>
      </c>
      <c r="I109" s="62" t="n">
        <f aca="false">IF(H109=0,0,G109/H109)</f>
        <v>0.616869948847821</v>
      </c>
      <c r="J109" s="61" t="n">
        <f aca="false">G109-H109</f>
        <v>-8739.61886000001</v>
      </c>
      <c r="K109" s="61" t="n">
        <f aca="false">SUMIFS($G$48:$G$479,$D$48:$D$479,$D109,$A$48:$A$479,$A109,$B$48:$B$479,"&lt;="&amp;$B109)</f>
        <v>30484.61244</v>
      </c>
      <c r="L109" s="61" t="n">
        <f aca="false">SUMIFS($H$48:$H$479,$D$48:$D$479,$D109,$A$48:$A$479,$A109,$B$48:$B$479,"&lt;="&amp;$B109)</f>
        <v>38559.008168</v>
      </c>
      <c r="M109" s="62" t="n">
        <f aca="false">IF(L109=0,0,K109/L109)</f>
        <v>0.790596384304799</v>
      </c>
    </row>
    <row r="110" customFormat="false" ht="15" hidden="false" customHeight="false" outlineLevel="0" collapsed="false">
      <c r="A110" s="56" t="n">
        <v>2027</v>
      </c>
      <c r="B110" s="56" t="n">
        <v>3</v>
      </c>
      <c r="C110" s="56" t="s">
        <v>174</v>
      </c>
      <c r="D110" s="56" t="s">
        <v>316</v>
      </c>
      <c r="E110" s="56" t="s">
        <v>141</v>
      </c>
      <c r="F110" s="56" t="s">
        <v>337</v>
      </c>
      <c r="G110" s="73" t="n">
        <f aca="false">SUMIFS(DRE_por_UN!$F:$F,DRE_por_UN!$C:$C,$C110,DRE_por_UN!$E:$E,$E110)*VLOOKUP($D110,$A$25:$H$36,4,0)</f>
        <v>20678.26482</v>
      </c>
      <c r="H110" s="61" t="n">
        <f aca="false">VLOOKUP($D110,$A$25:$H$36,5,0)*(1+$B$5)^($A110-2025)*INDEX($B$40:$M$44,MATCH($E110,$A$40:$A$44,0),$B110)</f>
        <v>23058.451784</v>
      </c>
      <c r="I110" s="62" t="n">
        <f aca="false">IF(H110=0,0,G110/H110)</f>
        <v>0.896775942014824</v>
      </c>
      <c r="J110" s="61" t="n">
        <f aca="false">G110-H110</f>
        <v>-2380.186964</v>
      </c>
      <c r="K110" s="61" t="n">
        <f aca="false">SUMIFS($G$48:$G$479,$D$48:$D$479,$D110,$A$48:$A$479,$A110,$B$48:$B$479,"&lt;="&amp;$B110)</f>
        <v>51162.87726</v>
      </c>
      <c r="L110" s="61" t="n">
        <f aca="false">SUMIFS($H$48:$H$479,$D$48:$D$479,$D110,$A$48:$A$479,$A110,$B$48:$B$479,"&lt;="&amp;$B110)</f>
        <v>61617.459952</v>
      </c>
      <c r="M110" s="62" t="n">
        <f aca="false">IF(L110=0,0,K110/L110)</f>
        <v>0.830330839665509</v>
      </c>
    </row>
    <row r="111" customFormat="false" ht="15" hidden="false" customHeight="false" outlineLevel="0" collapsed="false">
      <c r="A111" s="56" t="n">
        <v>2027</v>
      </c>
      <c r="B111" s="56" t="n">
        <v>4</v>
      </c>
      <c r="C111" s="56" t="s">
        <v>175</v>
      </c>
      <c r="D111" s="56" t="s">
        <v>316</v>
      </c>
      <c r="E111" s="56" t="s">
        <v>141</v>
      </c>
      <c r="F111" s="56" t="s">
        <v>337</v>
      </c>
      <c r="G111" s="73" t="n">
        <f aca="false">SUMIFS(DRE_por_UN!$F:$F,DRE_por_UN!$C:$C,$C111,DRE_por_UN!$E:$E,$E111)*VLOOKUP($D111,$A$25:$H$36,4,0)</f>
        <v>15981.73578</v>
      </c>
      <c r="H111" s="61" t="n">
        <f aca="false">VLOOKUP($D111,$A$25:$H$36,5,0)*(1+$B$5)^($A111-2025)*INDEX($B$40:$M$44,MATCH($E111,$A$40:$A$44,0),$B111)</f>
        <v>17644.250352</v>
      </c>
      <c r="I111" s="62" t="n">
        <f aca="false">IF(H111=0,0,G111/H111)</f>
        <v>0.905775845454859</v>
      </c>
      <c r="J111" s="61" t="n">
        <f aca="false">G111-H111</f>
        <v>-1662.514572</v>
      </c>
      <c r="K111" s="61" t="n">
        <f aca="false">SUMIFS($G$48:$G$479,$D$48:$D$479,$D111,$A$48:$A$479,$A111,$B$48:$B$479,"&lt;="&amp;$B111)</f>
        <v>67144.61304</v>
      </c>
      <c r="L111" s="61" t="n">
        <f aca="false">SUMIFS($H$48:$H$479,$D$48:$D$479,$D111,$A$48:$A$479,$A111,$B$48:$B$479,"&lt;="&amp;$B111)</f>
        <v>79261.710304</v>
      </c>
      <c r="M111" s="62" t="n">
        <f aca="false">IF(L111=0,0,K111/L111)</f>
        <v>0.847125463006966</v>
      </c>
    </row>
    <row r="112" customFormat="false" ht="15" hidden="false" customHeight="false" outlineLevel="0" collapsed="false">
      <c r="A112" s="56" t="n">
        <v>2027</v>
      </c>
      <c r="B112" s="56" t="n">
        <v>5</v>
      </c>
      <c r="C112" s="56" t="s">
        <v>176</v>
      </c>
      <c r="D112" s="56" t="s">
        <v>316</v>
      </c>
      <c r="E112" s="56" t="s">
        <v>141</v>
      </c>
      <c r="F112" s="56" t="s">
        <v>337</v>
      </c>
      <c r="G112" s="73" t="n">
        <f aca="false">SUMIFS(DRE_por_UN!$F:$F,DRE_por_UN!$C:$C,$C112,DRE_por_UN!$E:$E,$E112)*VLOOKUP($D112,$A$25:$H$36,4,0)</f>
        <v>20634.47136</v>
      </c>
      <c r="H112" s="61" t="n">
        <f aca="false">VLOOKUP($D112,$A$25:$H$36,5,0)*(1+$B$5)^($A112-2025)*INDEX($B$40:$M$44,MATCH($E112,$A$40:$A$44,0),$B112)</f>
        <v>25531.944824</v>
      </c>
      <c r="I112" s="62" t="n">
        <f aca="false">IF(H112=0,0,G112/H112)</f>
        <v>0.80818251418919</v>
      </c>
      <c r="J112" s="61" t="n">
        <f aca="false">G112-H112</f>
        <v>-4897.473464</v>
      </c>
      <c r="K112" s="61" t="n">
        <f aca="false">SUMIFS($G$48:$G$479,$D$48:$D$479,$D112,$A$48:$A$479,$A112,$B$48:$B$479,"&lt;="&amp;$B112)</f>
        <v>87779.0844</v>
      </c>
      <c r="L112" s="61" t="n">
        <f aca="false">SUMIFS($H$48:$H$479,$D$48:$D$479,$D112,$A$48:$A$479,$A112,$B$48:$B$479,"&lt;="&amp;$B112)</f>
        <v>104793.655128</v>
      </c>
      <c r="M112" s="62" t="n">
        <f aca="false">IF(L112=0,0,K112/L112)</f>
        <v>0.837637396012024</v>
      </c>
    </row>
    <row r="113" customFormat="false" ht="15" hidden="false" customHeight="false" outlineLevel="0" collapsed="false">
      <c r="A113" s="56" t="n">
        <v>2027</v>
      </c>
      <c r="B113" s="56" t="n">
        <v>6</v>
      </c>
      <c r="C113" s="56" t="s">
        <v>177</v>
      </c>
      <c r="D113" s="56" t="s">
        <v>316</v>
      </c>
      <c r="E113" s="56" t="s">
        <v>141</v>
      </c>
      <c r="F113" s="56" t="s">
        <v>337</v>
      </c>
      <c r="G113" s="73" t="n">
        <f aca="false">SUMIFS(DRE_por_UN!$F:$F,DRE_por_UN!$C:$C,$C113,DRE_por_UN!$E:$E,$E113)*VLOOKUP($D113,$A$25:$H$36,4,0)</f>
        <v>17619.52662</v>
      </c>
      <c r="H113" s="61" t="n">
        <f aca="false">VLOOKUP($D113,$A$25:$H$36,5,0)*(1+$B$5)^($A113-2025)*INDEX($B$40:$M$44,MATCH($E113,$A$40:$A$44,0),$B113)</f>
        <v>24542.547608</v>
      </c>
      <c r="I113" s="62" t="n">
        <f aca="false">IF(H113=0,0,G113/H113)</f>
        <v>0.717917589543828</v>
      </c>
      <c r="J113" s="61" t="n">
        <f aca="false">G113-H113</f>
        <v>-6923.020988</v>
      </c>
      <c r="K113" s="61" t="n">
        <f aca="false">SUMIFS($G$48:$G$479,$D$48:$D$479,$D113,$A$48:$A$479,$A113,$B$48:$B$479,"&lt;="&amp;$B113)</f>
        <v>105398.61102</v>
      </c>
      <c r="L113" s="61" t="n">
        <f aca="false">SUMIFS($H$48:$H$479,$D$48:$D$479,$D113,$A$48:$A$479,$A113,$B$48:$B$479,"&lt;="&amp;$B113)</f>
        <v>129336.202736</v>
      </c>
      <c r="M113" s="62" t="n">
        <f aca="false">IF(L113=0,0,K113/L113)</f>
        <v>0.814919634181149</v>
      </c>
    </row>
    <row r="114" customFormat="false" ht="15" hidden="false" customHeight="false" outlineLevel="0" collapsed="false">
      <c r="A114" s="56" t="n">
        <v>2027</v>
      </c>
      <c r="B114" s="56" t="n">
        <v>7</v>
      </c>
      <c r="C114" s="56" t="s">
        <v>178</v>
      </c>
      <c r="D114" s="56" t="s">
        <v>316</v>
      </c>
      <c r="E114" s="56" t="s">
        <v>141</v>
      </c>
      <c r="F114" s="56" t="s">
        <v>337</v>
      </c>
      <c r="G114" s="73" t="n">
        <f aca="false">SUMIFS(DRE_por_UN!$F:$F,DRE_por_UN!$C:$C,$C114,DRE_por_UN!$E:$E,$E114)*VLOOKUP($D114,$A$25:$H$36,4,0)</f>
        <v>25266.3624</v>
      </c>
      <c r="H114" s="61" t="n">
        <f aca="false">VLOOKUP($D114,$A$25:$H$36,5,0)*(1+$B$5)^($A114-2025)*INDEX($B$40:$M$44,MATCH($E114,$A$40:$A$44,0),$B114)</f>
        <v>25669.361104</v>
      </c>
      <c r="I114" s="62" t="n">
        <f aca="false">IF(H114=0,0,G114/H114)</f>
        <v>0.98430039990605</v>
      </c>
      <c r="J114" s="61" t="n">
        <f aca="false">G114-H114</f>
        <v>-402.998703999998</v>
      </c>
      <c r="K114" s="61" t="n">
        <f aca="false">SUMIFS($G$48:$G$479,$D$48:$D$479,$D114,$A$48:$A$479,$A114,$B$48:$B$479,"&lt;="&amp;$B114)</f>
        <v>130664.97342</v>
      </c>
      <c r="L114" s="61" t="n">
        <f aca="false">SUMIFS($H$48:$H$479,$D$48:$D$479,$D114,$A$48:$A$479,$A114,$B$48:$B$479,"&lt;="&amp;$B114)</f>
        <v>155005.56384</v>
      </c>
      <c r="M114" s="62" t="n">
        <f aca="false">IF(L114=0,0,K114/L114)</f>
        <v>0.842969569498003</v>
      </c>
    </row>
    <row r="115" customFormat="false" ht="15" hidden="false" customHeight="false" outlineLevel="0" collapsed="false">
      <c r="A115" s="56" t="n">
        <v>2027</v>
      </c>
      <c r="B115" s="56" t="n">
        <v>8</v>
      </c>
      <c r="C115" s="56" t="s">
        <v>179</v>
      </c>
      <c r="D115" s="56" t="s">
        <v>316</v>
      </c>
      <c r="E115" s="56" t="s">
        <v>141</v>
      </c>
      <c r="F115" s="56" t="s">
        <v>337</v>
      </c>
      <c r="G115" s="73" t="n">
        <f aca="false">SUMIFS(DRE_por_UN!$F:$F,DRE_por_UN!$C:$C,$C115,DRE_por_UN!$E:$E,$E115)*VLOOKUP($D115,$A$25:$H$36,4,0)</f>
        <v>22489.97076</v>
      </c>
      <c r="H115" s="61" t="n">
        <f aca="false">VLOOKUP($D115,$A$25:$H$36,5,0)*(1+$B$5)^($A115-2025)*INDEX($B$40:$M$44,MATCH($E115,$A$40:$A$44,0),$B115)</f>
        <v>21052.174096</v>
      </c>
      <c r="I115" s="62" t="n">
        <f aca="false">IF(H115=0,0,G115/H115)</f>
        <v>1.06829682566007</v>
      </c>
      <c r="J115" s="61" t="n">
        <f aca="false">G115-H115</f>
        <v>1437.796664</v>
      </c>
      <c r="K115" s="61" t="n">
        <f aca="false">SUMIFS($G$48:$G$479,$D$48:$D$479,$D115,$A$48:$A$479,$A115,$B$48:$B$479,"&lt;="&amp;$B115)</f>
        <v>153154.94418</v>
      </c>
      <c r="L115" s="61" t="n">
        <f aca="false">SUMIFS($H$48:$H$479,$D$48:$D$479,$D115,$A$48:$A$479,$A115,$B$48:$B$479,"&lt;="&amp;$B115)</f>
        <v>176057.737936</v>
      </c>
      <c r="M115" s="62" t="n">
        <f aca="false">IF(L115=0,0,K115/L115)</f>
        <v>0.869913165848322</v>
      </c>
    </row>
    <row r="116" customFormat="false" ht="15" hidden="false" customHeight="false" outlineLevel="0" collapsed="false">
      <c r="A116" s="56" t="n">
        <v>2027</v>
      </c>
      <c r="B116" s="56" t="n">
        <v>9</v>
      </c>
      <c r="C116" s="56" t="s">
        <v>180</v>
      </c>
      <c r="D116" s="56" t="s">
        <v>316</v>
      </c>
      <c r="E116" s="56" t="s">
        <v>141</v>
      </c>
      <c r="F116" s="56" t="s">
        <v>337</v>
      </c>
      <c r="G116" s="73" t="n">
        <f aca="false">SUMIFS(DRE_por_UN!$F:$F,DRE_por_UN!$C:$C,$C116,DRE_por_UN!$E:$E,$E116)*VLOOKUP($D116,$A$25:$H$36,4,0)</f>
        <v>22617.82764</v>
      </c>
      <c r="H116" s="61" t="n">
        <f aca="false">VLOOKUP($D116,$A$25:$H$36,5,0)*(1+$B$5)^($A116-2025)*INDEX($B$40:$M$44,MATCH($E116,$A$40:$A$44,0),$B116)</f>
        <v>18001.53268</v>
      </c>
      <c r="I116" s="62" t="n">
        <f aca="false">IF(H116=0,0,G116/H116)</f>
        <v>1.25643899561557</v>
      </c>
      <c r="J116" s="61" t="n">
        <f aca="false">G116-H116</f>
        <v>4616.29496</v>
      </c>
      <c r="K116" s="61" t="n">
        <f aca="false">SUMIFS($G$48:$G$479,$D$48:$D$479,$D116,$A$48:$A$479,$A116,$B$48:$B$479,"&lt;="&amp;$B116)</f>
        <v>175772.77182</v>
      </c>
      <c r="L116" s="61" t="n">
        <f aca="false">SUMIFS($H$48:$H$479,$D$48:$D$479,$D116,$A$48:$A$479,$A116,$B$48:$B$479,"&lt;="&amp;$B116)</f>
        <v>194059.270616</v>
      </c>
      <c r="M116" s="62" t="n">
        <f aca="false">IF(L116=0,0,K116/L116)</f>
        <v>0.905768486411634</v>
      </c>
    </row>
    <row r="117" customFormat="false" ht="15" hidden="false" customHeight="false" outlineLevel="0" collapsed="false">
      <c r="A117" s="56" t="n">
        <v>2027</v>
      </c>
      <c r="B117" s="56" t="n">
        <v>10</v>
      </c>
      <c r="C117" s="56" t="s">
        <v>181</v>
      </c>
      <c r="D117" s="56" t="s">
        <v>316</v>
      </c>
      <c r="E117" s="56" t="s">
        <v>141</v>
      </c>
      <c r="F117" s="56" t="s">
        <v>337</v>
      </c>
      <c r="G117" s="73" t="n">
        <f aca="false">SUMIFS(DRE_por_UN!$F:$F,DRE_por_UN!$C:$C,$C117,DRE_por_UN!$E:$E,$E117)*VLOOKUP($D117,$A$25:$H$36,4,0)</f>
        <v>23177.1699</v>
      </c>
      <c r="H117" s="61" t="n">
        <f aca="false">VLOOKUP($D117,$A$25:$H$36,5,0)*(1+$B$5)^($A117-2025)*INDEX($B$40:$M$44,MATCH($E117,$A$40:$A$44,0),$B117)</f>
        <v>28692.519264</v>
      </c>
      <c r="I117" s="62" t="n">
        <f aca="false">IF(H117=0,0,G117/H117)</f>
        <v>0.807777444941197</v>
      </c>
      <c r="J117" s="61" t="n">
        <f aca="false">G117-H117</f>
        <v>-5515.349364</v>
      </c>
      <c r="K117" s="61" t="n">
        <f aca="false">SUMIFS($G$48:$G$479,$D$48:$D$479,$D117,$A$48:$A$479,$A117,$B$48:$B$479,"&lt;="&amp;$B117)</f>
        <v>198949.94172</v>
      </c>
      <c r="L117" s="61" t="n">
        <f aca="false">SUMIFS($H$48:$H$479,$D$48:$D$479,$D117,$A$48:$A$479,$A117,$B$48:$B$479,"&lt;="&amp;$B117)</f>
        <v>222751.78988</v>
      </c>
      <c r="M117" s="62" t="n">
        <f aca="false">IF(L117=0,0,K117/L117)</f>
        <v>0.893146321415319</v>
      </c>
    </row>
    <row r="118" customFormat="false" ht="15" hidden="false" customHeight="false" outlineLevel="0" collapsed="false">
      <c r="A118" s="56" t="n">
        <v>2027</v>
      </c>
      <c r="B118" s="56" t="n">
        <v>11</v>
      </c>
      <c r="C118" s="56" t="s">
        <v>182</v>
      </c>
      <c r="D118" s="56" t="s">
        <v>316</v>
      </c>
      <c r="E118" s="56" t="s">
        <v>141</v>
      </c>
      <c r="F118" s="56" t="s">
        <v>337</v>
      </c>
      <c r="G118" s="73" t="n">
        <f aca="false">SUMIFS(DRE_por_UN!$F:$F,DRE_por_UN!$C:$C,$C118,DRE_por_UN!$E:$E,$E118)*VLOOKUP($D118,$A$25:$H$36,4,0)</f>
        <v>26895.1428</v>
      </c>
      <c r="H118" s="61" t="n">
        <f aca="false">VLOOKUP($D118,$A$25:$H$36,5,0)*(1+$B$5)^($A118-2025)*INDEX($B$40:$M$44,MATCH($E118,$A$40:$A$44,0),$B118)</f>
        <v>27483.256</v>
      </c>
      <c r="I118" s="62" t="n">
        <f aca="false">IF(H118=0,0,G118/H118)</f>
        <v>0.978601036209101</v>
      </c>
      <c r="J118" s="61" t="n">
        <f aca="false">G118-H118</f>
        <v>-588.113200000007</v>
      </c>
      <c r="K118" s="61" t="n">
        <f aca="false">SUMIFS($G$48:$G$479,$D$48:$D$479,$D118,$A$48:$A$479,$A118,$B$48:$B$479,"&lt;="&amp;$B118)</f>
        <v>225845.08452</v>
      </c>
      <c r="L118" s="61" t="n">
        <f aca="false">SUMIFS($H$48:$H$479,$D$48:$D$479,$D118,$A$48:$A$479,$A118,$B$48:$B$479,"&lt;="&amp;$B118)</f>
        <v>250235.04588</v>
      </c>
      <c r="M118" s="62" t="n">
        <f aca="false">IF(L118=0,0,K118/L118)</f>
        <v>0.902531792562357</v>
      </c>
    </row>
    <row r="119" customFormat="false" ht="15" hidden="false" customHeight="false" outlineLevel="0" collapsed="false">
      <c r="A119" s="56" t="n">
        <v>2027</v>
      </c>
      <c r="B119" s="56" t="n">
        <v>12</v>
      </c>
      <c r="C119" s="56" t="s">
        <v>183</v>
      </c>
      <c r="D119" s="56" t="s">
        <v>316</v>
      </c>
      <c r="E119" s="56" t="s">
        <v>141</v>
      </c>
      <c r="F119" s="56" t="s">
        <v>337</v>
      </c>
      <c r="G119" s="73" t="n">
        <f aca="false">SUMIFS(DRE_por_UN!$F:$F,DRE_por_UN!$C:$C,$C119,DRE_por_UN!$E:$E,$E119)*VLOOKUP($D119,$A$25:$H$36,4,0)</f>
        <v>27348.03648</v>
      </c>
      <c r="H119" s="61" t="n">
        <f aca="false">VLOOKUP($D119,$A$25:$H$36,5,0)*(1+$B$5)^($A119-2025)*INDEX($B$40:$M$44,MATCH($E119,$A$40:$A$44,0),$B119)</f>
        <v>24624.997376</v>
      </c>
      <c r="I119" s="62" t="n">
        <f aca="false">IF(H119=0,0,G119/H119)</f>
        <v>1.110580279966</v>
      </c>
      <c r="J119" s="61" t="n">
        <f aca="false">G119-H119</f>
        <v>2723.039104</v>
      </c>
      <c r="K119" s="61" t="n">
        <f aca="false">SUMIFS($G$48:$G$479,$D$48:$D$479,$D119,$A$48:$A$479,$A119,$B$48:$B$479,"&lt;="&amp;$B119)</f>
        <v>253193.121</v>
      </c>
      <c r="L119" s="61" t="n">
        <f aca="false">SUMIFS($H$48:$H$479,$D$48:$D$479,$D119,$A$48:$A$479,$A119,$B$48:$B$479,"&lt;="&amp;$B119)</f>
        <v>274860.043256</v>
      </c>
      <c r="M119" s="62" t="n">
        <f aca="false">IF(L119=0,0,K119/L119)</f>
        <v>0.921171073105669</v>
      </c>
    </row>
    <row r="120" customFormat="false" ht="15" hidden="false" customHeight="false" outlineLevel="0" collapsed="false">
      <c r="A120" s="56" t="n">
        <v>2025</v>
      </c>
      <c r="B120" s="56" t="n">
        <v>1</v>
      </c>
      <c r="C120" s="56" t="s">
        <v>148</v>
      </c>
      <c r="D120" s="56" t="s">
        <v>317</v>
      </c>
      <c r="E120" s="56" t="s">
        <v>142</v>
      </c>
      <c r="F120" s="56" t="s">
        <v>336</v>
      </c>
      <c r="G120" s="73" t="n">
        <f aca="false">SUMIFS(DRE_por_UN!$F:$F,DRE_por_UN!$C:$C,$C120,DRE_por_UN!$E:$E,$E120)*VLOOKUP($D120,$A$25:$H$36,4,0)</f>
        <v>24961.724</v>
      </c>
      <c r="H120" s="61" t="n">
        <f aca="false">VLOOKUP($D120,$A$25:$H$36,5,0)*(1+$B$5)^($A120-2025)*INDEX($B$40:$M$44,MATCH($E120,$A$40:$A$44,0),$B120)</f>
        <v>24959.16</v>
      </c>
      <c r="I120" s="62" t="n">
        <f aca="false">IF(H120=0,0,G120/H120)</f>
        <v>1.00010272781616</v>
      </c>
      <c r="J120" s="61" t="n">
        <f aca="false">G120-H120</f>
        <v>2.56400000000212</v>
      </c>
      <c r="K120" s="61" t="n">
        <f aca="false">SUMIFS($G$48:$G$479,$D$48:$D$479,$D120,$A$48:$A$479,$A120,$B$48:$B$479,"&lt;="&amp;$B120)</f>
        <v>24961.724</v>
      </c>
      <c r="L120" s="61" t="n">
        <f aca="false">SUMIFS($H$48:$H$479,$D$48:$D$479,$D120,$A$48:$A$479,$A120,$B$48:$B$479,"&lt;="&amp;$B120)</f>
        <v>24959.16</v>
      </c>
      <c r="M120" s="62" t="n">
        <f aca="false">IF(L120=0,0,K120/L120)</f>
        <v>1.00010272781616</v>
      </c>
    </row>
    <row r="121" customFormat="false" ht="15" hidden="false" customHeight="false" outlineLevel="0" collapsed="false">
      <c r="A121" s="56" t="n">
        <v>2025</v>
      </c>
      <c r="B121" s="56" t="n">
        <v>2</v>
      </c>
      <c r="C121" s="56" t="s">
        <v>149</v>
      </c>
      <c r="D121" s="56" t="s">
        <v>317</v>
      </c>
      <c r="E121" s="56" t="s">
        <v>142</v>
      </c>
      <c r="F121" s="56" t="s">
        <v>336</v>
      </c>
      <c r="G121" s="73" t="n">
        <f aca="false">SUMIFS(DRE_por_UN!$F:$F,DRE_por_UN!$C:$C,$C121,DRE_por_UN!$E:$E,$E121)*VLOOKUP($D121,$A$25:$H$36,4,0)</f>
        <v>24791.164</v>
      </c>
      <c r="H121" s="61" t="n">
        <f aca="false">VLOOKUP($D121,$A$25:$H$36,5,0)*(1+$B$5)^($A121-2025)*INDEX($B$40:$M$44,MATCH($E121,$A$40:$A$44,0),$B121)</f>
        <v>24776.71</v>
      </c>
      <c r="I121" s="62" t="n">
        <f aca="false">IF(H121=0,0,G121/H121)</f>
        <v>1.00058337043134</v>
      </c>
      <c r="J121" s="61" t="n">
        <f aca="false">G121-H121</f>
        <v>14.4540000000052</v>
      </c>
      <c r="K121" s="61" t="n">
        <f aca="false">SUMIFS($G$48:$G$479,$D$48:$D$479,$D121,$A$48:$A$479,$A121,$B$48:$B$479,"&lt;="&amp;$B121)</f>
        <v>49752.888</v>
      </c>
      <c r="L121" s="61" t="n">
        <f aca="false">SUMIFS($H$48:$H$479,$D$48:$D$479,$D121,$A$48:$A$479,$A121,$B$48:$B$479,"&lt;="&amp;$B121)</f>
        <v>49735.87</v>
      </c>
      <c r="M121" s="62" t="n">
        <f aca="false">IF(L121=0,0,K121/L121)</f>
        <v>1.00034216753422</v>
      </c>
    </row>
    <row r="122" customFormat="false" ht="15" hidden="false" customHeight="false" outlineLevel="0" collapsed="false">
      <c r="A122" s="56" t="n">
        <v>2025</v>
      </c>
      <c r="B122" s="56" t="n">
        <v>3</v>
      </c>
      <c r="C122" s="56" t="s">
        <v>150</v>
      </c>
      <c r="D122" s="56" t="s">
        <v>317</v>
      </c>
      <c r="E122" s="56" t="s">
        <v>142</v>
      </c>
      <c r="F122" s="56" t="s">
        <v>336</v>
      </c>
      <c r="G122" s="73" t="n">
        <f aca="false">SUMIFS(DRE_por_UN!$F:$F,DRE_por_UN!$C:$C,$C122,DRE_por_UN!$E:$E,$E122)*VLOOKUP($D122,$A$25:$H$36,4,0)</f>
        <v>24892.852</v>
      </c>
      <c r="H122" s="61" t="n">
        <f aca="false">VLOOKUP($D122,$A$25:$H$36,5,0)*(1+$B$5)^($A122-2025)*INDEX($B$40:$M$44,MATCH($E122,$A$40:$A$44,0),$B122)</f>
        <v>24886.18</v>
      </c>
      <c r="I122" s="62" t="n">
        <f aca="false">IF(H122=0,0,G122/H122)</f>
        <v>1.00026810060845</v>
      </c>
      <c r="J122" s="61" t="n">
        <f aca="false">G122-H122</f>
        <v>6.67199999999866</v>
      </c>
      <c r="K122" s="61" t="n">
        <f aca="false">SUMIFS($G$48:$G$479,$D$48:$D$479,$D122,$A$48:$A$479,$A122,$B$48:$B$479,"&lt;="&amp;$B122)</f>
        <v>74645.74</v>
      </c>
      <c r="L122" s="61" t="n">
        <f aca="false">SUMIFS($H$48:$H$479,$D$48:$D$479,$D122,$A$48:$A$479,$A122,$B$48:$B$479,"&lt;="&amp;$B122)</f>
        <v>74622.05</v>
      </c>
      <c r="M122" s="62" t="n">
        <f aca="false">IF(L122=0,0,K122/L122)</f>
        <v>1.00031746648611</v>
      </c>
    </row>
    <row r="123" customFormat="false" ht="15" hidden="false" customHeight="false" outlineLevel="0" collapsed="false">
      <c r="A123" s="56" t="n">
        <v>2025</v>
      </c>
      <c r="B123" s="56" t="n">
        <v>4</v>
      </c>
      <c r="C123" s="56" t="s">
        <v>151</v>
      </c>
      <c r="D123" s="56" t="s">
        <v>317</v>
      </c>
      <c r="E123" s="56" t="s">
        <v>142</v>
      </c>
      <c r="F123" s="56" t="s">
        <v>336</v>
      </c>
      <c r="G123" s="73" t="n">
        <f aca="false">SUMIFS(DRE_por_UN!$F:$F,DRE_por_UN!$C:$C,$C123,DRE_por_UN!$E:$E,$E123)*VLOOKUP($D123,$A$25:$H$36,4,0)</f>
        <v>29207.752</v>
      </c>
      <c r="H123" s="61" t="n">
        <f aca="false">VLOOKUP($D123,$A$25:$H$36,5,0)*(1+$B$5)^($A123-2025)*INDEX($B$40:$M$44,MATCH($E123,$A$40:$A$44,0),$B123)</f>
        <v>29192</v>
      </c>
      <c r="I123" s="62" t="n">
        <f aca="false">IF(H123=0,0,G123/H123)</f>
        <v>1.00053959989038</v>
      </c>
      <c r="J123" s="61" t="n">
        <f aca="false">G123-H123</f>
        <v>15.752000000004</v>
      </c>
      <c r="K123" s="61" t="n">
        <f aca="false">SUMIFS($G$48:$G$479,$D$48:$D$479,$D123,$A$48:$A$479,$A123,$B$48:$B$479,"&lt;="&amp;$B123)</f>
        <v>103853.492</v>
      </c>
      <c r="L123" s="61" t="n">
        <f aca="false">SUMIFS($H$48:$H$479,$D$48:$D$479,$D123,$A$48:$A$479,$A123,$B$48:$B$479,"&lt;="&amp;$B123)</f>
        <v>103814.05</v>
      </c>
      <c r="M123" s="62" t="n">
        <f aca="false">IF(L123=0,0,K123/L123)</f>
        <v>1.00037992930629</v>
      </c>
    </row>
    <row r="124" customFormat="false" ht="15" hidden="false" customHeight="false" outlineLevel="0" collapsed="false">
      <c r="A124" s="56" t="n">
        <v>2025</v>
      </c>
      <c r="B124" s="56" t="n">
        <v>5</v>
      </c>
      <c r="C124" s="56" t="s">
        <v>152</v>
      </c>
      <c r="D124" s="56" t="s">
        <v>317</v>
      </c>
      <c r="E124" s="56" t="s">
        <v>142</v>
      </c>
      <c r="F124" s="56" t="s">
        <v>336</v>
      </c>
      <c r="G124" s="73" t="n">
        <f aca="false">SUMIFS(DRE_por_UN!$F:$F,DRE_por_UN!$C:$C,$C124,DRE_por_UN!$E:$E,$E124)*VLOOKUP($D124,$A$25:$H$36,4,0)</f>
        <v>27283.908</v>
      </c>
      <c r="H124" s="61" t="n">
        <f aca="false">VLOOKUP($D124,$A$25:$H$36,5,0)*(1+$B$5)^($A124-2025)*INDEX($B$40:$M$44,MATCH($E124,$A$40:$A$44,0),$B124)</f>
        <v>27294.52</v>
      </c>
      <c r="I124" s="62" t="n">
        <f aca="false">IF(H124=0,0,G124/H124)</f>
        <v>0.999611204007251</v>
      </c>
      <c r="J124" s="61" t="n">
        <f aca="false">G124-H124</f>
        <v>-10.6119999999974</v>
      </c>
      <c r="K124" s="61" t="n">
        <f aca="false">SUMIFS($G$48:$G$479,$D$48:$D$479,$D124,$A$48:$A$479,$A124,$B$48:$B$479,"&lt;="&amp;$B124)</f>
        <v>131137.4</v>
      </c>
      <c r="L124" s="61" t="n">
        <f aca="false">SUMIFS($H$48:$H$479,$D$48:$D$479,$D124,$A$48:$A$479,$A124,$B$48:$B$479,"&lt;="&amp;$B124)</f>
        <v>131108.57</v>
      </c>
      <c r="M124" s="62" t="n">
        <f aca="false">IF(L124=0,0,K124/L124)</f>
        <v>1.00021989409235</v>
      </c>
    </row>
    <row r="125" customFormat="false" ht="15" hidden="false" customHeight="false" outlineLevel="0" collapsed="false">
      <c r="A125" s="56" t="n">
        <v>2025</v>
      </c>
      <c r="B125" s="56" t="n">
        <v>6</v>
      </c>
      <c r="C125" s="56" t="s">
        <v>153</v>
      </c>
      <c r="D125" s="56" t="s">
        <v>317</v>
      </c>
      <c r="E125" s="56" t="s">
        <v>142</v>
      </c>
      <c r="F125" s="56" t="s">
        <v>336</v>
      </c>
      <c r="G125" s="73" t="n">
        <f aca="false">SUMIFS(DRE_por_UN!$F:$F,DRE_por_UN!$C:$C,$C125,DRE_por_UN!$E:$E,$E125)*VLOOKUP($D125,$A$25:$H$36,4,0)</f>
        <v>37377.204</v>
      </c>
      <c r="H125" s="61" t="n">
        <f aca="false">VLOOKUP($D125,$A$25:$H$36,5,0)*(1+$B$5)^($A125-2025)*INDEX($B$40:$M$44,MATCH($E125,$A$40:$A$44,0),$B125)</f>
        <v>37365.76</v>
      </c>
      <c r="I125" s="62" t="n">
        <f aca="false">IF(H125=0,0,G125/H125)</f>
        <v>1.00030626969718</v>
      </c>
      <c r="J125" s="61" t="n">
        <f aca="false">G125-H125</f>
        <v>11.4439999999959</v>
      </c>
      <c r="K125" s="61" t="n">
        <f aca="false">SUMIFS($G$48:$G$479,$D$48:$D$479,$D125,$A$48:$A$479,$A125,$B$48:$B$479,"&lt;="&amp;$B125)</f>
        <v>168514.604</v>
      </c>
      <c r="L125" s="61" t="n">
        <f aca="false">SUMIFS($H$48:$H$479,$D$48:$D$479,$D125,$A$48:$A$479,$A125,$B$48:$B$479,"&lt;="&amp;$B125)</f>
        <v>168474.33</v>
      </c>
      <c r="M125" s="62" t="n">
        <f aca="false">IF(L125=0,0,K125/L125)</f>
        <v>1.00023905125487</v>
      </c>
    </row>
    <row r="126" customFormat="false" ht="15" hidden="false" customHeight="false" outlineLevel="0" collapsed="false">
      <c r="A126" s="56" t="n">
        <v>2025</v>
      </c>
      <c r="B126" s="56" t="n">
        <v>7</v>
      </c>
      <c r="C126" s="56" t="s">
        <v>154</v>
      </c>
      <c r="D126" s="56" t="s">
        <v>317</v>
      </c>
      <c r="E126" s="56" t="s">
        <v>142</v>
      </c>
      <c r="F126" s="56" t="s">
        <v>336</v>
      </c>
      <c r="G126" s="73" t="n">
        <f aca="false">SUMIFS(DRE_por_UN!$F:$F,DRE_por_UN!$C:$C,$C126,DRE_por_UN!$E:$E,$E126)*VLOOKUP($D126,$A$25:$H$36,4,0)</f>
        <v>34673.296</v>
      </c>
      <c r="H126" s="61" t="n">
        <f aca="false">VLOOKUP($D126,$A$25:$H$36,5,0)*(1+$B$5)^($A126-2025)*INDEX($B$40:$M$44,MATCH($E126,$A$40:$A$44,0),$B126)</f>
        <v>34665.5</v>
      </c>
      <c r="I126" s="62" t="n">
        <f aca="false">IF(H126=0,0,G126/H126)</f>
        <v>1.00022489218387</v>
      </c>
      <c r="J126" s="61" t="n">
        <f aca="false">G126-H126</f>
        <v>7.7960000000021</v>
      </c>
      <c r="K126" s="61" t="n">
        <f aca="false">SUMIFS($G$48:$G$479,$D$48:$D$479,$D126,$A$48:$A$479,$A126,$B$48:$B$479,"&lt;="&amp;$B126)</f>
        <v>203187.9</v>
      </c>
      <c r="L126" s="61" t="n">
        <f aca="false">SUMIFS($H$48:$H$479,$D$48:$D$479,$D126,$A$48:$A$479,$A126,$B$48:$B$479,"&lt;="&amp;$B126)</f>
        <v>203139.83</v>
      </c>
      <c r="M126" s="62" t="n">
        <f aca="false">IF(L126=0,0,K126/L126)</f>
        <v>1.00023663503115</v>
      </c>
    </row>
    <row r="127" customFormat="false" ht="15" hidden="false" customHeight="false" outlineLevel="0" collapsed="false">
      <c r="A127" s="56" t="n">
        <v>2025</v>
      </c>
      <c r="B127" s="56" t="n">
        <v>8</v>
      </c>
      <c r="C127" s="56" t="s">
        <v>155</v>
      </c>
      <c r="D127" s="56" t="s">
        <v>317</v>
      </c>
      <c r="E127" s="56" t="s">
        <v>142</v>
      </c>
      <c r="F127" s="56" t="s">
        <v>336</v>
      </c>
      <c r="G127" s="73" t="n">
        <f aca="false">SUMIFS(DRE_por_UN!$F:$F,DRE_por_UN!$C:$C,$C127,DRE_por_UN!$E:$E,$E127)*VLOOKUP($D127,$A$25:$H$36,4,0)</f>
        <v>29824.552</v>
      </c>
      <c r="H127" s="61" t="n">
        <f aca="false">VLOOKUP($D127,$A$25:$H$36,5,0)*(1+$B$5)^($A127-2025)*INDEX($B$40:$M$44,MATCH($E127,$A$40:$A$44,0),$B127)</f>
        <v>29812.33</v>
      </c>
      <c r="I127" s="62" t="n">
        <f aca="false">IF(H127=0,0,G127/H127)</f>
        <v>1.00040996460189</v>
      </c>
      <c r="J127" s="61" t="n">
        <f aca="false">G127-H127</f>
        <v>12.2220000000052</v>
      </c>
      <c r="K127" s="61" t="n">
        <f aca="false">SUMIFS($G$48:$G$479,$D$48:$D$479,$D127,$A$48:$A$479,$A127,$B$48:$B$479,"&lt;="&amp;$B127)</f>
        <v>233012.452</v>
      </c>
      <c r="L127" s="61" t="n">
        <f aca="false">SUMIFS($H$48:$H$479,$D$48:$D$479,$D127,$A$48:$A$479,$A127,$B$48:$B$479,"&lt;="&amp;$B127)</f>
        <v>232952.16</v>
      </c>
      <c r="M127" s="62" t="n">
        <f aca="false">IF(L127=0,0,K127/L127)</f>
        <v>1.00025881708931</v>
      </c>
    </row>
    <row r="128" customFormat="false" ht="15" hidden="false" customHeight="false" outlineLevel="0" collapsed="false">
      <c r="A128" s="56" t="n">
        <v>2025</v>
      </c>
      <c r="B128" s="56" t="n">
        <v>9</v>
      </c>
      <c r="C128" s="56" t="s">
        <v>156</v>
      </c>
      <c r="D128" s="56" t="s">
        <v>317</v>
      </c>
      <c r="E128" s="56" t="s">
        <v>142</v>
      </c>
      <c r="F128" s="56" t="s">
        <v>336</v>
      </c>
      <c r="G128" s="73" t="n">
        <f aca="false">SUMIFS(DRE_por_UN!$F:$F,DRE_por_UN!$C:$C,$C128,DRE_por_UN!$E:$E,$E128)*VLOOKUP($D128,$A$25:$H$36,4,0)</f>
        <v>27495.816</v>
      </c>
      <c r="H128" s="61" t="n">
        <f aca="false">VLOOKUP($D128,$A$25:$H$36,5,0)*(1+$B$5)^($A128-2025)*INDEX($B$40:$M$44,MATCH($E128,$A$40:$A$44,0),$B128)</f>
        <v>27476.97</v>
      </c>
      <c r="I128" s="62" t="n">
        <f aca="false">IF(H128=0,0,G128/H128)</f>
        <v>1.00068588348715</v>
      </c>
      <c r="J128" s="61" t="n">
        <f aca="false">G128-H128</f>
        <v>18.8459999999977</v>
      </c>
      <c r="K128" s="61" t="n">
        <f aca="false">SUMIFS($G$48:$G$479,$D$48:$D$479,$D128,$A$48:$A$479,$A128,$B$48:$B$479,"&lt;="&amp;$B128)</f>
        <v>260508.268</v>
      </c>
      <c r="L128" s="61" t="n">
        <f aca="false">SUMIFS($H$48:$H$479,$D$48:$D$479,$D128,$A$48:$A$479,$A128,$B$48:$B$479,"&lt;="&amp;$B128)</f>
        <v>260429.13</v>
      </c>
      <c r="M128" s="62" t="n">
        <f aca="false">IF(L128=0,0,K128/L128)</f>
        <v>1.00030387537677</v>
      </c>
    </row>
    <row r="129" customFormat="false" ht="15" hidden="false" customHeight="false" outlineLevel="0" collapsed="false">
      <c r="A129" s="56" t="n">
        <v>2025</v>
      </c>
      <c r="B129" s="56" t="n">
        <v>10</v>
      </c>
      <c r="C129" s="56" t="s">
        <v>157</v>
      </c>
      <c r="D129" s="56" t="s">
        <v>317</v>
      </c>
      <c r="E129" s="56" t="s">
        <v>142</v>
      </c>
      <c r="F129" s="56" t="s">
        <v>336</v>
      </c>
      <c r="G129" s="73" t="n">
        <f aca="false">SUMIFS(DRE_por_UN!$F:$F,DRE_por_UN!$C:$C,$C129,DRE_por_UN!$E:$E,$E129)*VLOOKUP($D129,$A$25:$H$36,4,0)</f>
        <v>28017.108</v>
      </c>
      <c r="H129" s="61" t="n">
        <f aca="false">VLOOKUP($D129,$A$25:$H$36,5,0)*(1+$B$5)^($A129-2025)*INDEX($B$40:$M$44,MATCH($E129,$A$40:$A$44,0),$B129)</f>
        <v>28024.32</v>
      </c>
      <c r="I129" s="62" t="n">
        <f aca="false">IF(H129=0,0,G129/H129)</f>
        <v>0.999742652096465</v>
      </c>
      <c r="J129" s="61" t="n">
        <f aca="false">G129-H129</f>
        <v>-7.21199999999226</v>
      </c>
      <c r="K129" s="61" t="n">
        <f aca="false">SUMIFS($G$48:$G$479,$D$48:$D$479,$D129,$A$48:$A$479,$A129,$B$48:$B$479,"&lt;="&amp;$B129)</f>
        <v>288525.376</v>
      </c>
      <c r="L129" s="61" t="n">
        <f aca="false">SUMIFS($H$48:$H$479,$D$48:$D$479,$D129,$A$48:$A$479,$A129,$B$48:$B$479,"&lt;="&amp;$B129)</f>
        <v>288453.45</v>
      </c>
      <c r="M129" s="62" t="n">
        <f aca="false">IF(L129=0,0,K129/L129)</f>
        <v>1.00024935045845</v>
      </c>
    </row>
    <row r="130" customFormat="false" ht="15" hidden="false" customHeight="false" outlineLevel="0" collapsed="false">
      <c r="A130" s="56" t="n">
        <v>2025</v>
      </c>
      <c r="B130" s="56" t="n">
        <v>11</v>
      </c>
      <c r="C130" s="56" t="s">
        <v>158</v>
      </c>
      <c r="D130" s="56" t="s">
        <v>317</v>
      </c>
      <c r="E130" s="56" t="s">
        <v>142</v>
      </c>
      <c r="F130" s="56" t="s">
        <v>336</v>
      </c>
      <c r="G130" s="73" t="n">
        <f aca="false">SUMIFS(DRE_por_UN!$F:$F,DRE_por_UN!$C:$C,$C130,DRE_por_UN!$E:$E,$E130)*VLOOKUP($D130,$A$25:$H$36,4,0)</f>
        <v>36148.208</v>
      </c>
      <c r="H130" s="61" t="n">
        <f aca="false">VLOOKUP($D130,$A$25:$H$36,5,0)*(1+$B$5)^($A130-2025)*INDEX($B$40:$M$44,MATCH($E130,$A$40:$A$44,0),$B130)</f>
        <v>36161.59</v>
      </c>
      <c r="I130" s="62" t="n">
        <f aca="false">IF(H130=0,0,G130/H130)</f>
        <v>0.99962993883842</v>
      </c>
      <c r="J130" s="61" t="n">
        <f aca="false">G130-H130</f>
        <v>-13.3819999999905</v>
      </c>
      <c r="K130" s="61" t="n">
        <f aca="false">SUMIFS($G$48:$G$479,$D$48:$D$479,$D130,$A$48:$A$479,$A130,$B$48:$B$479,"&lt;="&amp;$B130)</f>
        <v>324673.584</v>
      </c>
      <c r="L130" s="61" t="n">
        <f aca="false">SUMIFS($H$48:$H$479,$D$48:$D$479,$D130,$A$48:$A$479,$A130,$B$48:$B$479,"&lt;="&amp;$B130)</f>
        <v>324615.04</v>
      </c>
      <c r="M130" s="62" t="n">
        <f aca="false">IF(L130=0,0,K130/L130)</f>
        <v>1.00018034900663</v>
      </c>
    </row>
    <row r="131" customFormat="false" ht="15" hidden="false" customHeight="false" outlineLevel="0" collapsed="false">
      <c r="A131" s="56" t="n">
        <v>2025</v>
      </c>
      <c r="B131" s="56" t="n">
        <v>12</v>
      </c>
      <c r="C131" s="56" t="s">
        <v>159</v>
      </c>
      <c r="D131" s="56" t="s">
        <v>317</v>
      </c>
      <c r="E131" s="56" t="s">
        <v>142</v>
      </c>
      <c r="F131" s="56" t="s">
        <v>336</v>
      </c>
      <c r="G131" s="73" t="n">
        <f aca="false">SUMIFS(DRE_por_UN!$F:$F,DRE_por_UN!$C:$C,$C131,DRE_por_UN!$E:$E,$E131)*VLOOKUP($D131,$A$25:$H$36,4,0)</f>
        <v>40264.916</v>
      </c>
      <c r="H131" s="61" t="n">
        <f aca="false">VLOOKUP($D131,$A$25:$H$36,5,0)*(1+$B$5)^($A131-2025)*INDEX($B$40:$M$44,MATCH($E131,$A$40:$A$44,0),$B131)</f>
        <v>40248.47</v>
      </c>
      <c r="I131" s="62" t="n">
        <f aca="false">IF(H131=0,0,G131/H131)</f>
        <v>1.00040861180562</v>
      </c>
      <c r="J131" s="61" t="n">
        <f aca="false">G131-H131</f>
        <v>16.4459999999963</v>
      </c>
      <c r="K131" s="61" t="n">
        <f aca="false">SUMIFS($G$48:$G$479,$D$48:$D$479,$D131,$A$48:$A$479,$A131,$B$48:$B$479,"&lt;="&amp;$B131)</f>
        <v>364938.5</v>
      </c>
      <c r="L131" s="61" t="n">
        <f aca="false">SUMIFS($H$48:$H$479,$D$48:$D$479,$D131,$A$48:$A$479,$A131,$B$48:$B$479,"&lt;="&amp;$B131)</f>
        <v>364863.51</v>
      </c>
      <c r="M131" s="62" t="n">
        <f aca="false">IF(L131=0,0,K131/L131)</f>
        <v>1.00020552891135</v>
      </c>
    </row>
    <row r="132" customFormat="false" ht="15" hidden="false" customHeight="false" outlineLevel="0" collapsed="false">
      <c r="A132" s="56" t="n">
        <v>2026</v>
      </c>
      <c r="B132" s="56" t="n">
        <v>1</v>
      </c>
      <c r="C132" s="56" t="s">
        <v>160</v>
      </c>
      <c r="D132" s="56" t="s">
        <v>317</v>
      </c>
      <c r="E132" s="56" t="s">
        <v>142</v>
      </c>
      <c r="F132" s="56" t="s">
        <v>336</v>
      </c>
      <c r="G132" s="73" t="n">
        <f aca="false">SUMIFS(DRE_por_UN!$F:$F,DRE_por_UN!$C:$C,$C132,DRE_por_UN!$E:$E,$E132)*VLOOKUP($D132,$A$25:$H$36,4,0)</f>
        <v>25088.784</v>
      </c>
      <c r="H132" s="61" t="n">
        <f aca="false">VLOOKUP($D132,$A$25:$H$36,5,0)*(1+$B$5)^($A132-2025)*INDEX($B$40:$M$44,MATCH($E132,$A$40:$A$44,0),$B132)</f>
        <v>26456.7096</v>
      </c>
      <c r="I132" s="62" t="n">
        <f aca="false">IF(H132=0,0,G132/H132)</f>
        <v>0.948295701896354</v>
      </c>
      <c r="J132" s="61" t="n">
        <f aca="false">G132-H132</f>
        <v>-1367.9256</v>
      </c>
      <c r="K132" s="61" t="n">
        <f aca="false">SUMIFS($G$48:$G$479,$D$48:$D$479,$D132,$A$48:$A$479,$A132,$B$48:$B$479,"&lt;="&amp;$B132)</f>
        <v>25088.784</v>
      </c>
      <c r="L132" s="61" t="n">
        <f aca="false">SUMIFS($H$48:$H$479,$D$48:$D$479,$D132,$A$48:$A$479,$A132,$B$48:$B$479,"&lt;="&amp;$B132)</f>
        <v>26456.7096</v>
      </c>
      <c r="M132" s="62" t="n">
        <f aca="false">IF(L132=0,0,K132/L132)</f>
        <v>0.948295701896354</v>
      </c>
    </row>
    <row r="133" customFormat="false" ht="15" hidden="false" customHeight="false" outlineLevel="0" collapsed="false">
      <c r="A133" s="56" t="n">
        <v>2026</v>
      </c>
      <c r="B133" s="56" t="n">
        <v>2</v>
      </c>
      <c r="C133" s="56" t="s">
        <v>161</v>
      </c>
      <c r="D133" s="56" t="s">
        <v>317</v>
      </c>
      <c r="E133" s="56" t="s">
        <v>142</v>
      </c>
      <c r="F133" s="56" t="s">
        <v>336</v>
      </c>
      <c r="G133" s="73" t="n">
        <f aca="false">SUMIFS(DRE_por_UN!$F:$F,DRE_por_UN!$C:$C,$C133,DRE_por_UN!$E:$E,$E133)*VLOOKUP($D133,$A$25:$H$36,4,0)</f>
        <v>19534.036</v>
      </c>
      <c r="H133" s="61" t="n">
        <f aca="false">VLOOKUP($D133,$A$25:$H$36,5,0)*(1+$B$5)^($A133-2025)*INDEX($B$40:$M$44,MATCH($E133,$A$40:$A$44,0),$B133)</f>
        <v>26263.3126</v>
      </c>
      <c r="I133" s="62" t="n">
        <f aca="false">IF(H133=0,0,G133/H133)</f>
        <v>0.743776548583593</v>
      </c>
      <c r="J133" s="61" t="n">
        <f aca="false">G133-H133</f>
        <v>-6729.2766</v>
      </c>
      <c r="K133" s="61" t="n">
        <f aca="false">SUMIFS($G$48:$G$479,$D$48:$D$479,$D133,$A$48:$A$479,$A133,$B$48:$B$479,"&lt;="&amp;$B133)</f>
        <v>44622.82</v>
      </c>
      <c r="L133" s="61" t="n">
        <f aca="false">SUMIFS($H$48:$H$479,$D$48:$D$479,$D133,$A$48:$A$479,$A133,$B$48:$B$479,"&lt;="&amp;$B133)</f>
        <v>52720.0222</v>
      </c>
      <c r="M133" s="62" t="n">
        <f aca="false">IF(L133=0,0,K133/L133)</f>
        <v>0.846411252080239</v>
      </c>
    </row>
    <row r="134" customFormat="false" ht="15" hidden="false" customHeight="false" outlineLevel="0" collapsed="false">
      <c r="A134" s="56" t="n">
        <v>2026</v>
      </c>
      <c r="B134" s="56" t="n">
        <v>3</v>
      </c>
      <c r="C134" s="56" t="s">
        <v>162</v>
      </c>
      <c r="D134" s="56" t="s">
        <v>317</v>
      </c>
      <c r="E134" s="56" t="s">
        <v>142</v>
      </c>
      <c r="F134" s="56" t="s">
        <v>336</v>
      </c>
      <c r="G134" s="73" t="n">
        <f aca="false">SUMIFS(DRE_por_UN!$F:$F,DRE_por_UN!$C:$C,$C134,DRE_por_UN!$E:$E,$E134)*VLOOKUP($D134,$A$25:$H$36,4,0)</f>
        <v>32654.544</v>
      </c>
      <c r="H134" s="61" t="n">
        <f aca="false">VLOOKUP($D134,$A$25:$H$36,5,0)*(1+$B$5)^($A134-2025)*INDEX($B$40:$M$44,MATCH($E134,$A$40:$A$44,0),$B134)</f>
        <v>26379.3508</v>
      </c>
      <c r="I134" s="62" t="n">
        <f aca="false">IF(H134=0,0,G134/H134)</f>
        <v>1.23788277609925</v>
      </c>
      <c r="J134" s="61" t="n">
        <f aca="false">G134-H134</f>
        <v>6275.1932</v>
      </c>
      <c r="K134" s="61" t="n">
        <f aca="false">SUMIFS($G$48:$G$479,$D$48:$D$479,$D134,$A$48:$A$479,$A134,$B$48:$B$479,"&lt;="&amp;$B134)</f>
        <v>77277.364</v>
      </c>
      <c r="L134" s="61" t="n">
        <f aca="false">SUMIFS($H$48:$H$479,$D$48:$D$479,$D134,$A$48:$A$479,$A134,$B$48:$B$479,"&lt;="&amp;$B134)</f>
        <v>79099.373</v>
      </c>
      <c r="M134" s="62" t="n">
        <f aca="false">IF(L134=0,0,K134/L134)</f>
        <v>0.976965569625944</v>
      </c>
    </row>
    <row r="135" customFormat="false" ht="15" hidden="false" customHeight="false" outlineLevel="0" collapsed="false">
      <c r="A135" s="56" t="n">
        <v>2026</v>
      </c>
      <c r="B135" s="56" t="n">
        <v>4</v>
      </c>
      <c r="C135" s="56" t="s">
        <v>163</v>
      </c>
      <c r="D135" s="56" t="s">
        <v>317</v>
      </c>
      <c r="E135" s="56" t="s">
        <v>142</v>
      </c>
      <c r="F135" s="56" t="s">
        <v>336</v>
      </c>
      <c r="G135" s="73" t="n">
        <f aca="false">SUMIFS(DRE_por_UN!$F:$F,DRE_por_UN!$C:$C,$C135,DRE_por_UN!$E:$E,$E135)*VLOOKUP($D135,$A$25:$H$36,4,0)</f>
        <v>21596.016</v>
      </c>
      <c r="H135" s="61" t="n">
        <f aca="false">VLOOKUP($D135,$A$25:$H$36,5,0)*(1+$B$5)^($A135-2025)*INDEX($B$40:$M$44,MATCH($E135,$A$40:$A$44,0),$B135)</f>
        <v>30943.52</v>
      </c>
      <c r="I135" s="62" t="n">
        <f aca="false">IF(H135=0,0,G135/H135)</f>
        <v>0.697917237599342</v>
      </c>
      <c r="J135" s="61" t="n">
        <f aca="false">G135-H135</f>
        <v>-9347.504</v>
      </c>
      <c r="K135" s="61" t="n">
        <f aca="false">SUMIFS($G$48:$G$479,$D$48:$D$479,$D135,$A$48:$A$479,$A135,$B$48:$B$479,"&lt;="&amp;$B135)</f>
        <v>98873.38</v>
      </c>
      <c r="L135" s="61" t="n">
        <f aca="false">SUMIFS($H$48:$H$479,$D$48:$D$479,$D135,$A$48:$A$479,$A135,$B$48:$B$479,"&lt;="&amp;$B135)</f>
        <v>110042.893</v>
      </c>
      <c r="M135" s="62" t="n">
        <f aca="false">IF(L135=0,0,K135/L135)</f>
        <v>0.898498551832875</v>
      </c>
    </row>
    <row r="136" customFormat="false" ht="15" hidden="false" customHeight="false" outlineLevel="0" collapsed="false">
      <c r="A136" s="56" t="n">
        <v>2026</v>
      </c>
      <c r="B136" s="56" t="n">
        <v>5</v>
      </c>
      <c r="C136" s="56" t="s">
        <v>164</v>
      </c>
      <c r="D136" s="56" t="s">
        <v>317</v>
      </c>
      <c r="E136" s="56" t="s">
        <v>142</v>
      </c>
      <c r="F136" s="56" t="s">
        <v>336</v>
      </c>
      <c r="G136" s="73" t="n">
        <f aca="false">SUMIFS(DRE_por_UN!$F:$F,DRE_por_UN!$C:$C,$C136,DRE_por_UN!$E:$E,$E136)*VLOOKUP($D136,$A$25:$H$36,4,0)</f>
        <v>31425.432</v>
      </c>
      <c r="H136" s="61" t="n">
        <f aca="false">VLOOKUP($D136,$A$25:$H$36,5,0)*(1+$B$5)^($A136-2025)*INDEX($B$40:$M$44,MATCH($E136,$A$40:$A$44,0),$B136)</f>
        <v>28932.1912</v>
      </c>
      <c r="I136" s="62" t="n">
        <f aca="false">IF(H136=0,0,G136/H136)</f>
        <v>1.08617531879162</v>
      </c>
      <c r="J136" s="61" t="n">
        <f aca="false">G136-H136</f>
        <v>2493.2408</v>
      </c>
      <c r="K136" s="61" t="n">
        <f aca="false">SUMIFS($G$48:$G$479,$D$48:$D$479,$D136,$A$48:$A$479,$A136,$B$48:$B$479,"&lt;="&amp;$B136)</f>
        <v>130298.812</v>
      </c>
      <c r="L136" s="61" t="n">
        <f aca="false">SUMIFS($H$48:$H$479,$D$48:$D$479,$D136,$A$48:$A$479,$A136,$B$48:$B$479,"&lt;="&amp;$B136)</f>
        <v>138975.0842</v>
      </c>
      <c r="M136" s="62" t="n">
        <f aca="false">IF(L136=0,0,K136/L136)</f>
        <v>0.937569584865198</v>
      </c>
    </row>
    <row r="137" customFormat="false" ht="15" hidden="false" customHeight="false" outlineLevel="0" collapsed="false">
      <c r="A137" s="56" t="n">
        <v>2026</v>
      </c>
      <c r="B137" s="56" t="n">
        <v>6</v>
      </c>
      <c r="C137" s="56" t="s">
        <v>165</v>
      </c>
      <c r="D137" s="56" t="s">
        <v>317</v>
      </c>
      <c r="E137" s="56" t="s">
        <v>142</v>
      </c>
      <c r="F137" s="56" t="s">
        <v>336</v>
      </c>
      <c r="G137" s="73" t="n">
        <f aca="false">SUMIFS(DRE_por_UN!$F:$F,DRE_por_UN!$C:$C,$C137,DRE_por_UN!$E:$E,$E137)*VLOOKUP($D137,$A$25:$H$36,4,0)</f>
        <v>29939.48</v>
      </c>
      <c r="H137" s="61" t="n">
        <f aca="false">VLOOKUP($D137,$A$25:$H$36,5,0)*(1+$B$5)^($A137-2025)*INDEX($B$40:$M$44,MATCH($E137,$A$40:$A$44,0),$B137)</f>
        <v>39607.7056</v>
      </c>
      <c r="I137" s="62" t="n">
        <f aca="false">IF(H137=0,0,G137/H137)</f>
        <v>0.755900387221622</v>
      </c>
      <c r="J137" s="61" t="n">
        <f aca="false">G137-H137</f>
        <v>-9668.2256</v>
      </c>
      <c r="K137" s="61" t="n">
        <f aca="false">SUMIFS($G$48:$G$479,$D$48:$D$479,$D137,$A$48:$A$479,$A137,$B$48:$B$479,"&lt;="&amp;$B137)</f>
        <v>160238.292</v>
      </c>
      <c r="L137" s="61" t="n">
        <f aca="false">SUMIFS($H$48:$H$479,$D$48:$D$479,$D137,$A$48:$A$479,$A137,$B$48:$B$479,"&lt;="&amp;$B137)</f>
        <v>178582.7898</v>
      </c>
      <c r="M137" s="62" t="n">
        <f aca="false">IF(L137=0,0,K137/L137)</f>
        <v>0.897277347830972</v>
      </c>
    </row>
    <row r="138" customFormat="false" ht="15" hidden="false" customHeight="false" outlineLevel="0" collapsed="false">
      <c r="A138" s="56" t="n">
        <v>2026</v>
      </c>
      <c r="B138" s="56" t="n">
        <v>7</v>
      </c>
      <c r="C138" s="56" t="s">
        <v>166</v>
      </c>
      <c r="D138" s="56" t="s">
        <v>317</v>
      </c>
      <c r="E138" s="56" t="s">
        <v>142</v>
      </c>
      <c r="F138" s="56" t="s">
        <v>336</v>
      </c>
      <c r="G138" s="73" t="n">
        <f aca="false">SUMIFS(DRE_por_UN!$F:$F,DRE_por_UN!$C:$C,$C138,DRE_por_UN!$E:$E,$E138)*VLOOKUP($D138,$A$25:$H$36,4,0)</f>
        <v>34245.052</v>
      </c>
      <c r="H138" s="61" t="n">
        <f aca="false">VLOOKUP($D138,$A$25:$H$36,5,0)*(1+$B$5)^($A138-2025)*INDEX($B$40:$M$44,MATCH($E138,$A$40:$A$44,0),$B138)</f>
        <v>36745.43</v>
      </c>
      <c r="I138" s="62" t="n">
        <f aca="false">IF(H138=0,0,G138/H138)</f>
        <v>0.931954041631844</v>
      </c>
      <c r="J138" s="61" t="n">
        <f aca="false">G138-H138</f>
        <v>-2500.378</v>
      </c>
      <c r="K138" s="61" t="n">
        <f aca="false">SUMIFS($G$48:$G$479,$D$48:$D$479,$D138,$A$48:$A$479,$A138,$B$48:$B$479,"&lt;="&amp;$B138)</f>
        <v>194483.344</v>
      </c>
      <c r="L138" s="61" t="n">
        <f aca="false">SUMIFS($H$48:$H$479,$D$48:$D$479,$D138,$A$48:$A$479,$A138,$B$48:$B$479,"&lt;="&amp;$B138)</f>
        <v>215328.2198</v>
      </c>
      <c r="M138" s="62" t="n">
        <f aca="false">IF(L138=0,0,K138/L138)</f>
        <v>0.90319487237037</v>
      </c>
    </row>
    <row r="139" customFormat="false" ht="15" hidden="false" customHeight="false" outlineLevel="0" collapsed="false">
      <c r="A139" s="56" t="n">
        <v>2026</v>
      </c>
      <c r="B139" s="56" t="n">
        <v>8</v>
      </c>
      <c r="C139" s="56" t="s">
        <v>167</v>
      </c>
      <c r="D139" s="56" t="s">
        <v>317</v>
      </c>
      <c r="E139" s="56" t="s">
        <v>142</v>
      </c>
      <c r="F139" s="56" t="s">
        <v>336</v>
      </c>
      <c r="G139" s="73" t="n">
        <f aca="false">SUMIFS(DRE_por_UN!$F:$F,DRE_por_UN!$C:$C,$C139,DRE_por_UN!$E:$E,$E139)*VLOOKUP($D139,$A$25:$H$36,4,0)</f>
        <v>30093.344</v>
      </c>
      <c r="H139" s="61" t="n">
        <f aca="false">VLOOKUP($D139,$A$25:$H$36,5,0)*(1+$B$5)^($A139-2025)*INDEX($B$40:$M$44,MATCH($E139,$A$40:$A$44,0),$B139)</f>
        <v>31601.0698</v>
      </c>
      <c r="I139" s="62" t="n">
        <f aca="false">IF(H139=0,0,G139/H139)</f>
        <v>0.952288773464245</v>
      </c>
      <c r="J139" s="61" t="n">
        <f aca="false">G139-H139</f>
        <v>-1507.7258</v>
      </c>
      <c r="K139" s="61" t="n">
        <f aca="false">SUMIFS($G$48:$G$479,$D$48:$D$479,$D139,$A$48:$A$479,$A139,$B$48:$B$479,"&lt;="&amp;$B139)</f>
        <v>224576.688</v>
      </c>
      <c r="L139" s="61" t="n">
        <f aca="false">SUMIFS($H$48:$H$479,$D$48:$D$479,$D139,$A$48:$A$479,$A139,$B$48:$B$479,"&lt;="&amp;$B139)</f>
        <v>246929.2896</v>
      </c>
      <c r="M139" s="62" t="n">
        <f aca="false">IF(L139=0,0,K139/L139)</f>
        <v>0.909477722807979</v>
      </c>
    </row>
    <row r="140" customFormat="false" ht="15" hidden="false" customHeight="false" outlineLevel="0" collapsed="false">
      <c r="A140" s="56" t="n">
        <v>2026</v>
      </c>
      <c r="B140" s="56" t="n">
        <v>9</v>
      </c>
      <c r="C140" s="56" t="s">
        <v>168</v>
      </c>
      <c r="D140" s="56" t="s">
        <v>317</v>
      </c>
      <c r="E140" s="56" t="s">
        <v>142</v>
      </c>
      <c r="F140" s="56" t="s">
        <v>336</v>
      </c>
      <c r="G140" s="73" t="n">
        <f aca="false">SUMIFS(DRE_por_UN!$F:$F,DRE_por_UN!$C:$C,$C140,DRE_por_UN!$E:$E,$E140)*VLOOKUP($D140,$A$25:$H$36,4,0)</f>
        <v>35946.14</v>
      </c>
      <c r="H140" s="61" t="n">
        <f aca="false">VLOOKUP($D140,$A$25:$H$36,5,0)*(1+$B$5)^($A140-2025)*INDEX($B$40:$M$44,MATCH($E140,$A$40:$A$44,0),$B140)</f>
        <v>29125.5882</v>
      </c>
      <c r="I140" s="62" t="n">
        <f aca="false">IF(H140=0,0,G140/H140)</f>
        <v>1.23417730667496</v>
      </c>
      <c r="J140" s="61" t="n">
        <f aca="false">G140-H140</f>
        <v>6820.55180000001</v>
      </c>
      <c r="K140" s="61" t="n">
        <f aca="false">SUMIFS($G$48:$G$479,$D$48:$D$479,$D140,$A$48:$A$479,$A140,$B$48:$B$479,"&lt;="&amp;$B140)</f>
        <v>260522.828</v>
      </c>
      <c r="L140" s="61" t="n">
        <f aca="false">SUMIFS($H$48:$H$479,$D$48:$D$479,$D140,$A$48:$A$479,$A140,$B$48:$B$479,"&lt;="&amp;$B140)</f>
        <v>276054.8778</v>
      </c>
      <c r="M140" s="62" t="n">
        <f aca="false">IF(L140=0,0,K140/L140)</f>
        <v>0.94373564443497</v>
      </c>
    </row>
    <row r="141" customFormat="false" ht="15" hidden="false" customHeight="false" outlineLevel="0" collapsed="false">
      <c r="A141" s="56" t="n">
        <v>2026</v>
      </c>
      <c r="B141" s="56" t="n">
        <v>10</v>
      </c>
      <c r="C141" s="56" t="s">
        <v>169</v>
      </c>
      <c r="D141" s="56" t="s">
        <v>317</v>
      </c>
      <c r="E141" s="56" t="s">
        <v>142</v>
      </c>
      <c r="F141" s="56" t="s">
        <v>336</v>
      </c>
      <c r="G141" s="73" t="n">
        <f aca="false">SUMIFS(DRE_por_UN!$F:$F,DRE_por_UN!$C:$C,$C141,DRE_por_UN!$E:$E,$E141)*VLOOKUP($D141,$A$25:$H$36,4,0)</f>
        <v>23151.72</v>
      </c>
      <c r="H141" s="61" t="n">
        <f aca="false">VLOOKUP($D141,$A$25:$H$36,5,0)*(1+$B$5)^($A141-2025)*INDEX($B$40:$M$44,MATCH($E141,$A$40:$A$44,0),$B141)</f>
        <v>29705.7792</v>
      </c>
      <c r="I141" s="62" t="n">
        <f aca="false">IF(H141=0,0,G141/H141)</f>
        <v>0.779367538017653</v>
      </c>
      <c r="J141" s="61" t="n">
        <f aca="false">G141-H141</f>
        <v>-6554.0592</v>
      </c>
      <c r="K141" s="61" t="n">
        <f aca="false">SUMIFS($G$48:$G$479,$D$48:$D$479,$D141,$A$48:$A$479,$A141,$B$48:$B$479,"&lt;="&amp;$B141)</f>
        <v>283674.548</v>
      </c>
      <c r="L141" s="61" t="n">
        <f aca="false">SUMIFS($H$48:$H$479,$D$48:$D$479,$D141,$A$48:$A$479,$A141,$B$48:$B$479,"&lt;="&amp;$B141)</f>
        <v>305760.657</v>
      </c>
      <c r="M141" s="62" t="n">
        <f aca="false">IF(L141=0,0,K141/L141)</f>
        <v>0.927766674703345</v>
      </c>
    </row>
    <row r="142" customFormat="false" ht="15" hidden="false" customHeight="false" outlineLevel="0" collapsed="false">
      <c r="A142" s="56" t="n">
        <v>2026</v>
      </c>
      <c r="B142" s="56" t="n">
        <v>11</v>
      </c>
      <c r="C142" s="56" t="s">
        <v>170</v>
      </c>
      <c r="D142" s="56" t="s">
        <v>317</v>
      </c>
      <c r="E142" s="56" t="s">
        <v>142</v>
      </c>
      <c r="F142" s="56" t="s">
        <v>336</v>
      </c>
      <c r="G142" s="73" t="n">
        <f aca="false">SUMIFS(DRE_por_UN!$F:$F,DRE_por_UN!$C:$C,$C142,DRE_por_UN!$E:$E,$E142)*VLOOKUP($D142,$A$25:$H$36,4,0)</f>
        <v>36719.652</v>
      </c>
      <c r="H142" s="61" t="n">
        <f aca="false">VLOOKUP($D142,$A$25:$H$36,5,0)*(1+$B$5)^($A142-2025)*INDEX($B$40:$M$44,MATCH($E142,$A$40:$A$44,0),$B142)</f>
        <v>38331.2854</v>
      </c>
      <c r="I142" s="62" t="n">
        <f aca="false">IF(H142=0,0,G142/H142)</f>
        <v>0.957955143346171</v>
      </c>
      <c r="J142" s="61" t="n">
        <f aca="false">G142-H142</f>
        <v>-1611.6334</v>
      </c>
      <c r="K142" s="61" t="n">
        <f aca="false">SUMIFS($G$48:$G$479,$D$48:$D$479,$D142,$A$48:$A$479,$A142,$B$48:$B$479,"&lt;="&amp;$B142)</f>
        <v>320394.2</v>
      </c>
      <c r="L142" s="61" t="n">
        <f aca="false">SUMIFS($H$48:$H$479,$D$48:$D$479,$D142,$A$48:$A$479,$A142,$B$48:$B$479,"&lt;="&amp;$B142)</f>
        <v>344091.9424</v>
      </c>
      <c r="M142" s="62" t="n">
        <f aca="false">IF(L142=0,0,K142/L142)</f>
        <v>0.93112962124393</v>
      </c>
    </row>
    <row r="143" customFormat="false" ht="15" hidden="false" customHeight="false" outlineLevel="0" collapsed="false">
      <c r="A143" s="56" t="n">
        <v>2026</v>
      </c>
      <c r="B143" s="56" t="n">
        <v>12</v>
      </c>
      <c r="C143" s="56" t="s">
        <v>171</v>
      </c>
      <c r="D143" s="56" t="s">
        <v>317</v>
      </c>
      <c r="E143" s="56" t="s">
        <v>142</v>
      </c>
      <c r="F143" s="56" t="s">
        <v>336</v>
      </c>
      <c r="G143" s="73" t="n">
        <f aca="false">SUMIFS(DRE_por_UN!$F:$F,DRE_por_UN!$C:$C,$C143,DRE_por_UN!$E:$E,$E143)*VLOOKUP($D143,$A$25:$H$36,4,0)</f>
        <v>41661.532</v>
      </c>
      <c r="H143" s="61" t="n">
        <f aca="false">VLOOKUP($D143,$A$25:$H$36,5,0)*(1+$B$5)^($A143-2025)*INDEX($B$40:$M$44,MATCH($E143,$A$40:$A$44,0),$B143)</f>
        <v>42663.3782</v>
      </c>
      <c r="I143" s="62" t="n">
        <f aca="false">IF(H143=0,0,G143/H143)</f>
        <v>0.976517419804323</v>
      </c>
      <c r="J143" s="61" t="n">
        <f aca="false">G143-H143</f>
        <v>-1001.84619999999</v>
      </c>
      <c r="K143" s="61" t="n">
        <f aca="false">SUMIFS($G$48:$G$479,$D$48:$D$479,$D143,$A$48:$A$479,$A143,$B$48:$B$479,"&lt;="&amp;$B143)</f>
        <v>362055.732</v>
      </c>
      <c r="L143" s="61" t="n">
        <f aca="false">SUMIFS($H$48:$H$479,$D$48:$D$479,$D143,$A$48:$A$479,$A143,$B$48:$B$479,"&lt;="&amp;$B143)</f>
        <v>386755.3206</v>
      </c>
      <c r="M143" s="62" t="n">
        <f aca="false">IF(L143=0,0,K143/L143)</f>
        <v>0.936136396102627</v>
      </c>
    </row>
    <row r="144" customFormat="false" ht="15" hidden="false" customHeight="false" outlineLevel="0" collapsed="false">
      <c r="A144" s="56" t="n">
        <v>2027</v>
      </c>
      <c r="B144" s="56" t="n">
        <v>1</v>
      </c>
      <c r="C144" s="56" t="s">
        <v>172</v>
      </c>
      <c r="D144" s="56" t="s">
        <v>317</v>
      </c>
      <c r="E144" s="56" t="s">
        <v>142</v>
      </c>
      <c r="F144" s="56" t="s">
        <v>336</v>
      </c>
      <c r="G144" s="73" t="n">
        <f aca="false">SUMIFS(DRE_por_UN!$F:$F,DRE_por_UN!$C:$C,$C144,DRE_por_UN!$E:$E,$E144)*VLOOKUP($D144,$A$25:$H$36,4,0)</f>
        <v>26343.2232</v>
      </c>
      <c r="H144" s="61" t="n">
        <f aca="false">VLOOKUP($D144,$A$25:$H$36,5,0)*(1+$B$5)^($A144-2025)*INDEX($B$40:$M$44,MATCH($E144,$A$40:$A$44,0),$B144)</f>
        <v>28044.112176</v>
      </c>
      <c r="I144" s="62" t="n">
        <f aca="false">IF(H144=0,0,G144/H144)</f>
        <v>0.939349516029407</v>
      </c>
      <c r="J144" s="61" t="n">
        <f aca="false">G144-H144</f>
        <v>-1700.888976</v>
      </c>
      <c r="K144" s="61" t="n">
        <f aca="false">SUMIFS($G$48:$G$479,$D$48:$D$479,$D144,$A$48:$A$479,$A144,$B$48:$B$479,"&lt;="&amp;$B144)</f>
        <v>26343.2232</v>
      </c>
      <c r="L144" s="61" t="n">
        <f aca="false">SUMIFS($H$48:$H$479,$D$48:$D$479,$D144,$A$48:$A$479,$A144,$B$48:$B$479,"&lt;="&amp;$B144)</f>
        <v>28044.112176</v>
      </c>
      <c r="M144" s="62" t="n">
        <f aca="false">IF(L144=0,0,K144/L144)</f>
        <v>0.939349516029407</v>
      </c>
    </row>
    <row r="145" customFormat="false" ht="15" hidden="false" customHeight="false" outlineLevel="0" collapsed="false">
      <c r="A145" s="56" t="n">
        <v>2027</v>
      </c>
      <c r="B145" s="56" t="n">
        <v>2</v>
      </c>
      <c r="C145" s="56" t="s">
        <v>173</v>
      </c>
      <c r="D145" s="56" t="s">
        <v>317</v>
      </c>
      <c r="E145" s="56" t="s">
        <v>142</v>
      </c>
      <c r="F145" s="56" t="s">
        <v>336</v>
      </c>
      <c r="G145" s="73" t="n">
        <f aca="false">SUMIFS(DRE_por_UN!$F:$F,DRE_por_UN!$C:$C,$C145,DRE_por_UN!$E:$E,$E145)*VLOOKUP($D145,$A$25:$H$36,4,0)</f>
        <v>20510.7378</v>
      </c>
      <c r="H145" s="61" t="n">
        <f aca="false">VLOOKUP($D145,$A$25:$H$36,5,0)*(1+$B$5)^($A145-2025)*INDEX($B$40:$M$44,MATCH($E145,$A$40:$A$44,0),$B145)</f>
        <v>27839.111356</v>
      </c>
      <c r="I145" s="62" t="n">
        <f aca="false">IF(H145=0,0,G145/H145)</f>
        <v>0.736759788691295</v>
      </c>
      <c r="J145" s="61" t="n">
        <f aca="false">G145-H145</f>
        <v>-7328.373556</v>
      </c>
      <c r="K145" s="61" t="n">
        <f aca="false">SUMIFS($G$48:$G$479,$D$48:$D$479,$D145,$A$48:$A$479,$A145,$B$48:$B$479,"&lt;="&amp;$B145)</f>
        <v>46853.961</v>
      </c>
      <c r="L145" s="61" t="n">
        <f aca="false">SUMIFS($H$48:$H$479,$D$48:$D$479,$D145,$A$48:$A$479,$A145,$B$48:$B$479,"&lt;="&amp;$B145)</f>
        <v>55883.223532</v>
      </c>
      <c r="M145" s="62" t="n">
        <f aca="false">IF(L145=0,0,K145/L145)</f>
        <v>0.838426240268161</v>
      </c>
    </row>
    <row r="146" customFormat="false" ht="15" hidden="false" customHeight="false" outlineLevel="0" collapsed="false">
      <c r="A146" s="56" t="n">
        <v>2027</v>
      </c>
      <c r="B146" s="56" t="n">
        <v>3</v>
      </c>
      <c r="C146" s="56" t="s">
        <v>174</v>
      </c>
      <c r="D146" s="56" t="s">
        <v>317</v>
      </c>
      <c r="E146" s="56" t="s">
        <v>142</v>
      </c>
      <c r="F146" s="56" t="s">
        <v>336</v>
      </c>
      <c r="G146" s="73" t="n">
        <f aca="false">SUMIFS(DRE_por_UN!$F:$F,DRE_por_UN!$C:$C,$C146,DRE_por_UN!$E:$E,$E146)*VLOOKUP($D146,$A$25:$H$36,4,0)</f>
        <v>34287.2712</v>
      </c>
      <c r="H146" s="61" t="n">
        <f aca="false">VLOOKUP($D146,$A$25:$H$36,5,0)*(1+$B$5)^($A146-2025)*INDEX($B$40:$M$44,MATCH($E146,$A$40:$A$44,0),$B146)</f>
        <v>27962.111848</v>
      </c>
      <c r="I146" s="62" t="n">
        <f aca="false">IF(H146=0,0,G146/H146)</f>
        <v>1.22620463670209</v>
      </c>
      <c r="J146" s="61" t="n">
        <f aca="false">G146-H146</f>
        <v>6325.159352</v>
      </c>
      <c r="K146" s="61" t="n">
        <f aca="false">SUMIFS($G$48:$G$479,$D$48:$D$479,$D146,$A$48:$A$479,$A146,$B$48:$B$479,"&lt;="&amp;$B146)</f>
        <v>81141.2322</v>
      </c>
      <c r="L146" s="61" t="n">
        <f aca="false">SUMIFS($H$48:$H$479,$D$48:$D$479,$D146,$A$48:$A$479,$A146,$B$48:$B$479,"&lt;="&amp;$B146)</f>
        <v>83845.33538</v>
      </c>
      <c r="M146" s="62" t="n">
        <f aca="false">IF(L146=0,0,K146/L146)</f>
        <v>0.967748913308718</v>
      </c>
    </row>
    <row r="147" customFormat="false" ht="15" hidden="false" customHeight="false" outlineLevel="0" collapsed="false">
      <c r="A147" s="56" t="n">
        <v>2027</v>
      </c>
      <c r="B147" s="56" t="n">
        <v>4</v>
      </c>
      <c r="C147" s="56" t="s">
        <v>175</v>
      </c>
      <c r="D147" s="56" t="s">
        <v>317</v>
      </c>
      <c r="E147" s="56" t="s">
        <v>142</v>
      </c>
      <c r="F147" s="56" t="s">
        <v>336</v>
      </c>
      <c r="G147" s="73" t="n">
        <f aca="false">SUMIFS(DRE_por_UN!$F:$F,DRE_por_UN!$C:$C,$C147,DRE_por_UN!$E:$E,$E147)*VLOOKUP($D147,$A$25:$H$36,4,0)</f>
        <v>22675.8168</v>
      </c>
      <c r="H147" s="61" t="n">
        <f aca="false">VLOOKUP($D147,$A$25:$H$36,5,0)*(1+$B$5)^($A147-2025)*INDEX($B$40:$M$44,MATCH($E147,$A$40:$A$44,0),$B147)</f>
        <v>32800.1312</v>
      </c>
      <c r="I147" s="62" t="n">
        <f aca="false">IF(H147=0,0,G147/H147)</f>
        <v>0.69133311271633</v>
      </c>
      <c r="J147" s="61" t="n">
        <f aca="false">G147-H147</f>
        <v>-10124.3144</v>
      </c>
      <c r="K147" s="61" t="n">
        <f aca="false">SUMIFS($G$48:$G$479,$D$48:$D$479,$D147,$A$48:$A$479,$A147,$B$48:$B$479,"&lt;="&amp;$B147)</f>
        <v>103817.049</v>
      </c>
      <c r="L147" s="61" t="n">
        <f aca="false">SUMIFS($H$48:$H$479,$D$48:$D$479,$D147,$A$48:$A$479,$A147,$B$48:$B$479,"&lt;="&amp;$B147)</f>
        <v>116645.46658</v>
      </c>
      <c r="M147" s="62" t="n">
        <f aca="false">IF(L147=0,0,K147/L147)</f>
        <v>0.890022150400489</v>
      </c>
    </row>
    <row r="148" customFormat="false" ht="15" hidden="false" customHeight="false" outlineLevel="0" collapsed="false">
      <c r="A148" s="56" t="n">
        <v>2027</v>
      </c>
      <c r="B148" s="56" t="n">
        <v>5</v>
      </c>
      <c r="C148" s="56" t="s">
        <v>176</v>
      </c>
      <c r="D148" s="56" t="s">
        <v>317</v>
      </c>
      <c r="E148" s="56" t="s">
        <v>142</v>
      </c>
      <c r="F148" s="56" t="s">
        <v>336</v>
      </c>
      <c r="G148" s="73" t="n">
        <f aca="false">SUMIFS(DRE_por_UN!$F:$F,DRE_por_UN!$C:$C,$C148,DRE_por_UN!$E:$E,$E148)*VLOOKUP($D148,$A$25:$H$36,4,0)</f>
        <v>32996.7036</v>
      </c>
      <c r="H148" s="61" t="n">
        <f aca="false">VLOOKUP($D148,$A$25:$H$36,5,0)*(1+$B$5)^($A148-2025)*INDEX($B$40:$M$44,MATCH($E148,$A$40:$A$44,0),$B148)</f>
        <v>30668.122672</v>
      </c>
      <c r="I148" s="62" t="n">
        <f aca="false">IF(H148=0,0,G148/H148)</f>
        <v>1.07592838182188</v>
      </c>
      <c r="J148" s="61" t="n">
        <f aca="false">G148-H148</f>
        <v>2328.58092799999</v>
      </c>
      <c r="K148" s="61" t="n">
        <f aca="false">SUMIFS($G$48:$G$479,$D$48:$D$479,$D148,$A$48:$A$479,$A148,$B$48:$B$479,"&lt;="&amp;$B148)</f>
        <v>136813.7526</v>
      </c>
      <c r="L148" s="61" t="n">
        <f aca="false">SUMIFS($H$48:$H$479,$D$48:$D$479,$D148,$A$48:$A$479,$A148,$B$48:$B$479,"&lt;="&amp;$B148)</f>
        <v>147313.589252</v>
      </c>
      <c r="M148" s="62" t="n">
        <f aca="false">IF(L148=0,0,K148/L148)</f>
        <v>0.928724588781564</v>
      </c>
    </row>
    <row r="149" customFormat="false" ht="15" hidden="false" customHeight="false" outlineLevel="0" collapsed="false">
      <c r="A149" s="56" t="n">
        <v>2027</v>
      </c>
      <c r="B149" s="56" t="n">
        <v>6</v>
      </c>
      <c r="C149" s="56" t="s">
        <v>177</v>
      </c>
      <c r="D149" s="56" t="s">
        <v>317</v>
      </c>
      <c r="E149" s="56" t="s">
        <v>142</v>
      </c>
      <c r="F149" s="56" t="s">
        <v>336</v>
      </c>
      <c r="G149" s="73" t="n">
        <f aca="false">SUMIFS(DRE_por_UN!$F:$F,DRE_por_UN!$C:$C,$C149,DRE_por_UN!$E:$E,$E149)*VLOOKUP($D149,$A$25:$H$36,4,0)</f>
        <v>31436.454</v>
      </c>
      <c r="H149" s="61" t="n">
        <f aca="false">VLOOKUP($D149,$A$25:$H$36,5,0)*(1+$B$5)^($A149-2025)*INDEX($B$40:$M$44,MATCH($E149,$A$40:$A$44,0),$B149)</f>
        <v>41984.167936</v>
      </c>
      <c r="I149" s="62" t="n">
        <f aca="false">IF(H149=0,0,G149/H149)</f>
        <v>0.748769251493116</v>
      </c>
      <c r="J149" s="61" t="n">
        <f aca="false">G149-H149</f>
        <v>-10547.713936</v>
      </c>
      <c r="K149" s="61" t="n">
        <f aca="false">SUMIFS($G$48:$G$479,$D$48:$D$479,$D149,$A$48:$A$479,$A149,$B$48:$B$479,"&lt;="&amp;$B149)</f>
        <v>168250.2066</v>
      </c>
      <c r="L149" s="61" t="n">
        <f aca="false">SUMIFS($H$48:$H$479,$D$48:$D$479,$D149,$A$48:$A$479,$A149,$B$48:$B$479,"&lt;="&amp;$B149)</f>
        <v>189297.757188</v>
      </c>
      <c r="M149" s="62" t="n">
        <f aca="false">IF(L149=0,0,K149/L149)</f>
        <v>0.888812467191057</v>
      </c>
    </row>
    <row r="150" customFormat="false" ht="15" hidden="false" customHeight="false" outlineLevel="0" collapsed="false">
      <c r="A150" s="56" t="n">
        <v>2027</v>
      </c>
      <c r="B150" s="56" t="n">
        <v>7</v>
      </c>
      <c r="C150" s="56" t="s">
        <v>178</v>
      </c>
      <c r="D150" s="56" t="s">
        <v>317</v>
      </c>
      <c r="E150" s="56" t="s">
        <v>142</v>
      </c>
      <c r="F150" s="56" t="s">
        <v>336</v>
      </c>
      <c r="G150" s="73" t="n">
        <f aca="false">SUMIFS(DRE_por_UN!$F:$F,DRE_por_UN!$C:$C,$C150,DRE_por_UN!$E:$E,$E150)*VLOOKUP($D150,$A$25:$H$36,4,0)</f>
        <v>35957.3046</v>
      </c>
      <c r="H150" s="61" t="n">
        <f aca="false">VLOOKUP($D150,$A$25:$H$36,5,0)*(1+$B$5)^($A150-2025)*INDEX($B$40:$M$44,MATCH($E150,$A$40:$A$44,0),$B150)</f>
        <v>38950.1558</v>
      </c>
      <c r="I150" s="62" t="n">
        <f aca="false">IF(H150=0,0,G150/H150)</f>
        <v>0.923162022371166</v>
      </c>
      <c r="J150" s="61" t="n">
        <f aca="false">G150-H150</f>
        <v>-2992.8512</v>
      </c>
      <c r="K150" s="61" t="n">
        <f aca="false">SUMIFS($G$48:$G$479,$D$48:$D$479,$D150,$A$48:$A$479,$A150,$B$48:$B$479,"&lt;="&amp;$B150)</f>
        <v>204207.5112</v>
      </c>
      <c r="L150" s="61" t="n">
        <f aca="false">SUMIFS($H$48:$H$479,$D$48:$D$479,$D150,$A$48:$A$479,$A150,$B$48:$B$479,"&lt;="&amp;$B150)</f>
        <v>228247.912988</v>
      </c>
      <c r="M150" s="62" t="n">
        <f aca="false">IF(L150=0,0,K150/L150)</f>
        <v>0.894674166027253</v>
      </c>
    </row>
    <row r="151" customFormat="false" ht="15" hidden="false" customHeight="false" outlineLevel="0" collapsed="false">
      <c r="A151" s="56" t="n">
        <v>2027</v>
      </c>
      <c r="B151" s="56" t="n">
        <v>8</v>
      </c>
      <c r="C151" s="56" t="s">
        <v>179</v>
      </c>
      <c r="D151" s="56" t="s">
        <v>317</v>
      </c>
      <c r="E151" s="56" t="s">
        <v>142</v>
      </c>
      <c r="F151" s="56" t="s">
        <v>336</v>
      </c>
      <c r="G151" s="73" t="n">
        <f aca="false">SUMIFS(DRE_por_UN!$F:$F,DRE_por_UN!$C:$C,$C151,DRE_por_UN!$E:$E,$E151)*VLOOKUP($D151,$A$25:$H$36,4,0)</f>
        <v>31598.0112</v>
      </c>
      <c r="H151" s="61" t="n">
        <f aca="false">VLOOKUP($D151,$A$25:$H$36,5,0)*(1+$B$5)^($A151-2025)*INDEX($B$40:$M$44,MATCH($E151,$A$40:$A$44,0),$B151)</f>
        <v>33497.133988</v>
      </c>
      <c r="I151" s="62" t="n">
        <f aca="false">IF(H151=0,0,G151/H151)</f>
        <v>0.943304917110809</v>
      </c>
      <c r="J151" s="61" t="n">
        <f aca="false">G151-H151</f>
        <v>-1899.122788</v>
      </c>
      <c r="K151" s="61" t="n">
        <f aca="false">SUMIFS($G$48:$G$479,$D$48:$D$479,$D151,$A$48:$A$479,$A151,$B$48:$B$479,"&lt;="&amp;$B151)</f>
        <v>235805.5224</v>
      </c>
      <c r="L151" s="61" t="n">
        <f aca="false">SUMIFS($H$48:$H$479,$D$48:$D$479,$D151,$A$48:$A$479,$A151,$B$48:$B$479,"&lt;="&amp;$B151)</f>
        <v>261745.046976</v>
      </c>
      <c r="M151" s="62" t="n">
        <f aca="false">IF(L151=0,0,K151/L151)</f>
        <v>0.900897744290923</v>
      </c>
    </row>
    <row r="152" customFormat="false" ht="15" hidden="false" customHeight="false" outlineLevel="0" collapsed="false">
      <c r="A152" s="56" t="n">
        <v>2027</v>
      </c>
      <c r="B152" s="56" t="n">
        <v>9</v>
      </c>
      <c r="C152" s="56" t="s">
        <v>180</v>
      </c>
      <c r="D152" s="56" t="s">
        <v>317</v>
      </c>
      <c r="E152" s="56" t="s">
        <v>142</v>
      </c>
      <c r="F152" s="56" t="s">
        <v>336</v>
      </c>
      <c r="G152" s="73" t="n">
        <f aca="false">SUMIFS(DRE_por_UN!$F:$F,DRE_por_UN!$C:$C,$C152,DRE_por_UN!$E:$E,$E152)*VLOOKUP($D152,$A$25:$H$36,4,0)</f>
        <v>37743.447</v>
      </c>
      <c r="H152" s="61" t="n">
        <f aca="false">VLOOKUP($D152,$A$25:$H$36,5,0)*(1+$B$5)^($A152-2025)*INDEX($B$40:$M$44,MATCH($E152,$A$40:$A$44,0),$B152)</f>
        <v>30873.123492</v>
      </c>
      <c r="I152" s="62" t="n">
        <f aca="false">IF(H152=0,0,G152/H152)</f>
        <v>1.22253412453652</v>
      </c>
      <c r="J152" s="61" t="n">
        <f aca="false">G152-H152</f>
        <v>6870.323508</v>
      </c>
      <c r="K152" s="61" t="n">
        <f aca="false">SUMIFS($G$48:$G$479,$D$48:$D$479,$D152,$A$48:$A$479,$A152,$B$48:$B$479,"&lt;="&amp;$B152)</f>
        <v>273548.9694</v>
      </c>
      <c r="L152" s="61" t="n">
        <f aca="false">SUMIFS($H$48:$H$479,$D$48:$D$479,$D152,$A$48:$A$479,$A152,$B$48:$B$479,"&lt;="&amp;$B152)</f>
        <v>292618.170468</v>
      </c>
      <c r="M152" s="62" t="n">
        <f aca="false">IF(L152=0,0,K152/L152)</f>
        <v>0.934832477978037</v>
      </c>
    </row>
    <row r="153" customFormat="false" ht="15" hidden="false" customHeight="false" outlineLevel="0" collapsed="false">
      <c r="A153" s="56" t="n">
        <v>2027</v>
      </c>
      <c r="B153" s="56" t="n">
        <v>10</v>
      </c>
      <c r="C153" s="56" t="s">
        <v>181</v>
      </c>
      <c r="D153" s="56" t="s">
        <v>317</v>
      </c>
      <c r="E153" s="56" t="s">
        <v>142</v>
      </c>
      <c r="F153" s="56" t="s">
        <v>336</v>
      </c>
      <c r="G153" s="73" t="n">
        <f aca="false">SUMIFS(DRE_por_UN!$F:$F,DRE_por_UN!$C:$C,$C153,DRE_por_UN!$E:$E,$E153)*VLOOKUP($D153,$A$25:$H$36,4,0)</f>
        <v>24309.306</v>
      </c>
      <c r="H153" s="61" t="n">
        <f aca="false">VLOOKUP($D153,$A$25:$H$36,5,0)*(1+$B$5)^($A153-2025)*INDEX($B$40:$M$44,MATCH($E153,$A$40:$A$44,0),$B153)</f>
        <v>31488.125952</v>
      </c>
      <c r="I153" s="62" t="n">
        <f aca="false">IF(H153=0,0,G153/H153)</f>
        <v>0.77201501407409</v>
      </c>
      <c r="J153" s="61" t="n">
        <f aca="false">G153-H153</f>
        <v>-7178.819952</v>
      </c>
      <c r="K153" s="61" t="n">
        <f aca="false">SUMIFS($G$48:$G$479,$D$48:$D$479,$D153,$A$48:$A$479,$A153,$B$48:$B$479,"&lt;="&amp;$B153)</f>
        <v>297858.2754</v>
      </c>
      <c r="L153" s="61" t="n">
        <f aca="false">SUMIFS($H$48:$H$479,$D$48:$D$479,$D153,$A$48:$A$479,$A153,$B$48:$B$479,"&lt;="&amp;$B153)</f>
        <v>324106.29642</v>
      </c>
      <c r="M153" s="62" t="n">
        <f aca="false">IF(L153=0,0,K153/L153)</f>
        <v>0.919014158904257</v>
      </c>
    </row>
    <row r="154" customFormat="false" ht="15" hidden="false" customHeight="false" outlineLevel="0" collapsed="false">
      <c r="A154" s="56" t="n">
        <v>2027</v>
      </c>
      <c r="B154" s="56" t="n">
        <v>11</v>
      </c>
      <c r="C154" s="56" t="s">
        <v>182</v>
      </c>
      <c r="D154" s="56" t="s">
        <v>317</v>
      </c>
      <c r="E154" s="56" t="s">
        <v>142</v>
      </c>
      <c r="F154" s="56" t="s">
        <v>336</v>
      </c>
      <c r="G154" s="73" t="n">
        <f aca="false">SUMIFS(DRE_por_UN!$F:$F,DRE_por_UN!$C:$C,$C154,DRE_por_UN!$E:$E,$E154)*VLOOKUP($D154,$A$25:$H$36,4,0)</f>
        <v>38555.6346</v>
      </c>
      <c r="H154" s="61" t="n">
        <f aca="false">VLOOKUP($D154,$A$25:$H$36,5,0)*(1+$B$5)^($A154-2025)*INDEX($B$40:$M$44,MATCH($E154,$A$40:$A$44,0),$B154)</f>
        <v>40631.162524</v>
      </c>
      <c r="I154" s="62" t="n">
        <f aca="false">IF(H154=0,0,G154/H154)</f>
        <v>0.948917830673094</v>
      </c>
      <c r="J154" s="61" t="n">
        <f aca="false">G154-H154</f>
        <v>-2075.527924</v>
      </c>
      <c r="K154" s="61" t="n">
        <f aca="false">SUMIFS($G$48:$G$479,$D$48:$D$479,$D154,$A$48:$A$479,$A154,$B$48:$B$479,"&lt;="&amp;$B154)</f>
        <v>336413.91</v>
      </c>
      <c r="L154" s="61" t="n">
        <f aca="false">SUMIFS($H$48:$H$479,$D$48:$D$479,$D154,$A$48:$A$479,$A154,$B$48:$B$479,"&lt;="&amp;$B154)</f>
        <v>364737.458944</v>
      </c>
      <c r="M154" s="62" t="n">
        <f aca="false">IF(L154=0,0,K154/L154)</f>
        <v>0.922345379534081</v>
      </c>
    </row>
    <row r="155" customFormat="false" ht="15" hidden="false" customHeight="false" outlineLevel="0" collapsed="false">
      <c r="A155" s="56" t="n">
        <v>2027</v>
      </c>
      <c r="B155" s="56" t="n">
        <v>12</v>
      </c>
      <c r="C155" s="56" t="s">
        <v>183</v>
      </c>
      <c r="D155" s="56" t="s">
        <v>317</v>
      </c>
      <c r="E155" s="56" t="s">
        <v>142</v>
      </c>
      <c r="F155" s="56" t="s">
        <v>336</v>
      </c>
      <c r="G155" s="73" t="n">
        <f aca="false">SUMIFS(DRE_por_UN!$F:$F,DRE_por_UN!$C:$C,$C155,DRE_por_UN!$E:$E,$E155)*VLOOKUP($D155,$A$25:$H$36,4,0)</f>
        <v>43744.6086</v>
      </c>
      <c r="H155" s="61" t="n">
        <f aca="false">VLOOKUP($D155,$A$25:$H$36,5,0)*(1+$B$5)^($A155-2025)*INDEX($B$40:$M$44,MATCH($E155,$A$40:$A$44,0),$B155)</f>
        <v>45223.180892</v>
      </c>
      <c r="I155" s="62" t="n">
        <f aca="false">IF(H155=0,0,G155/H155)</f>
        <v>0.967304991315603</v>
      </c>
      <c r="J155" s="61" t="n">
        <f aca="false">G155-H155</f>
        <v>-1478.572292</v>
      </c>
      <c r="K155" s="61" t="n">
        <f aca="false">SUMIFS($G$48:$G$479,$D$48:$D$479,$D155,$A$48:$A$479,$A155,$B$48:$B$479,"&lt;="&amp;$B155)</f>
        <v>380158.5186</v>
      </c>
      <c r="L155" s="61" t="n">
        <f aca="false">SUMIFS($H$48:$H$479,$D$48:$D$479,$D155,$A$48:$A$479,$A155,$B$48:$B$479,"&lt;="&amp;$B155)</f>
        <v>409960.639836</v>
      </c>
      <c r="M155" s="62" t="n">
        <f aca="false">IF(L155=0,0,K155/L155)</f>
        <v>0.927304920667696</v>
      </c>
    </row>
    <row r="156" customFormat="false" ht="15" hidden="false" customHeight="false" outlineLevel="0" collapsed="false">
      <c r="A156" s="56" t="n">
        <v>2025</v>
      </c>
      <c r="B156" s="56" t="n">
        <v>1</v>
      </c>
      <c r="C156" s="56" t="s">
        <v>148</v>
      </c>
      <c r="D156" s="56" t="s">
        <v>318</v>
      </c>
      <c r="E156" s="56" t="s">
        <v>142</v>
      </c>
      <c r="F156" s="56" t="s">
        <v>338</v>
      </c>
      <c r="G156" s="73" t="n">
        <f aca="false">SUMIFS(DRE_por_UN!$F:$F,DRE_por_UN!$C:$C,$C156,DRE_por_UN!$E:$E,$E156)*VLOOKUP($D156,$A$25:$H$36,4,0)</f>
        <v>21841.5085</v>
      </c>
      <c r="H156" s="61" t="n">
        <f aca="false">VLOOKUP($D156,$A$25:$H$36,5,0)*(1+$B$5)^($A156-2025)*INDEX($B$40:$M$44,MATCH($E156,$A$40:$A$44,0),$B156)</f>
        <v>19658.16</v>
      </c>
      <c r="I156" s="62" t="n">
        <f aca="false">IF(H156=0,0,G156/H156)</f>
        <v>1.11106576098679</v>
      </c>
      <c r="J156" s="61" t="n">
        <f aca="false">G156-H156</f>
        <v>2183.3485</v>
      </c>
      <c r="K156" s="61" t="n">
        <f aca="false">SUMIFS($G$48:$G$479,$D$48:$D$479,$D156,$A$48:$A$479,$A156,$B$48:$B$479,"&lt;="&amp;$B156)</f>
        <v>21841.5085</v>
      </c>
      <c r="L156" s="61" t="n">
        <f aca="false">SUMIFS($H$48:$H$479,$D$48:$D$479,$D156,$A$48:$A$479,$A156,$B$48:$B$479,"&lt;="&amp;$B156)</f>
        <v>19658.16</v>
      </c>
      <c r="M156" s="62" t="n">
        <f aca="false">IF(L156=0,0,K156/L156)</f>
        <v>1.11106576098679</v>
      </c>
    </row>
    <row r="157" customFormat="false" ht="15" hidden="false" customHeight="false" outlineLevel="0" collapsed="false">
      <c r="A157" s="56" t="n">
        <v>2025</v>
      </c>
      <c r="B157" s="56" t="n">
        <v>2</v>
      </c>
      <c r="C157" s="56" t="s">
        <v>149</v>
      </c>
      <c r="D157" s="56" t="s">
        <v>318</v>
      </c>
      <c r="E157" s="56" t="s">
        <v>142</v>
      </c>
      <c r="F157" s="56" t="s">
        <v>338</v>
      </c>
      <c r="G157" s="73" t="n">
        <f aca="false">SUMIFS(DRE_por_UN!$F:$F,DRE_por_UN!$C:$C,$C157,DRE_por_UN!$E:$E,$E157)*VLOOKUP($D157,$A$25:$H$36,4,0)</f>
        <v>21692.2685</v>
      </c>
      <c r="H157" s="61" t="n">
        <f aca="false">VLOOKUP($D157,$A$25:$H$36,5,0)*(1+$B$5)^($A157-2025)*INDEX($B$40:$M$44,MATCH($E157,$A$40:$A$44,0),$B157)</f>
        <v>19514.46</v>
      </c>
      <c r="I157" s="62" t="n">
        <f aca="false">IF(H157=0,0,G157/H157)</f>
        <v>1.11159973168614</v>
      </c>
      <c r="J157" s="61" t="n">
        <f aca="false">G157-H157</f>
        <v>2177.8085</v>
      </c>
      <c r="K157" s="61" t="n">
        <f aca="false">SUMIFS($G$48:$G$479,$D$48:$D$479,$D157,$A$48:$A$479,$A157,$B$48:$B$479,"&lt;="&amp;$B157)</f>
        <v>43533.777</v>
      </c>
      <c r="L157" s="61" t="n">
        <f aca="false">SUMIFS($H$48:$H$479,$D$48:$D$479,$D157,$A$48:$A$479,$A157,$B$48:$B$479,"&lt;="&amp;$B157)</f>
        <v>39172.62</v>
      </c>
      <c r="M157" s="62" t="n">
        <f aca="false">IF(L157=0,0,K157/L157)</f>
        <v>1.11133176693313</v>
      </c>
    </row>
    <row r="158" customFormat="false" ht="15" hidden="false" customHeight="false" outlineLevel="0" collapsed="false">
      <c r="A158" s="56" t="n">
        <v>2025</v>
      </c>
      <c r="B158" s="56" t="n">
        <v>3</v>
      </c>
      <c r="C158" s="56" t="s">
        <v>150</v>
      </c>
      <c r="D158" s="56" t="s">
        <v>318</v>
      </c>
      <c r="E158" s="56" t="s">
        <v>142</v>
      </c>
      <c r="F158" s="56" t="s">
        <v>338</v>
      </c>
      <c r="G158" s="73" t="n">
        <f aca="false">SUMIFS(DRE_por_UN!$F:$F,DRE_por_UN!$C:$C,$C158,DRE_por_UN!$E:$E,$E158)*VLOOKUP($D158,$A$25:$H$36,4,0)</f>
        <v>21781.2455</v>
      </c>
      <c r="H158" s="61" t="n">
        <f aca="false">VLOOKUP($D158,$A$25:$H$36,5,0)*(1+$B$5)^($A158-2025)*INDEX($B$40:$M$44,MATCH($E158,$A$40:$A$44,0),$B158)</f>
        <v>19600.68</v>
      </c>
      <c r="I158" s="62" t="n">
        <f aca="false">IF(H158=0,0,G158/H158)</f>
        <v>1.11124948216082</v>
      </c>
      <c r="J158" s="61" t="n">
        <f aca="false">G158-H158</f>
        <v>2180.5655</v>
      </c>
      <c r="K158" s="61" t="n">
        <f aca="false">SUMIFS($G$48:$G$479,$D$48:$D$479,$D158,$A$48:$A$479,$A158,$B$48:$B$479,"&lt;="&amp;$B158)</f>
        <v>65315.0225</v>
      </c>
      <c r="L158" s="61" t="n">
        <f aca="false">SUMIFS($H$48:$H$479,$D$48:$D$479,$D158,$A$48:$A$479,$A158,$B$48:$B$479,"&lt;="&amp;$B158)</f>
        <v>58773.3</v>
      </c>
      <c r="M158" s="62" t="n">
        <f aca="false">IF(L158=0,0,K158/L158)</f>
        <v>1.11130432526334</v>
      </c>
    </row>
    <row r="159" customFormat="false" ht="15" hidden="false" customHeight="false" outlineLevel="0" collapsed="false">
      <c r="A159" s="56" t="n">
        <v>2025</v>
      </c>
      <c r="B159" s="56" t="n">
        <v>4</v>
      </c>
      <c r="C159" s="56" t="s">
        <v>151</v>
      </c>
      <c r="D159" s="56" t="s">
        <v>318</v>
      </c>
      <c r="E159" s="56" t="s">
        <v>142</v>
      </c>
      <c r="F159" s="56" t="s">
        <v>338</v>
      </c>
      <c r="G159" s="73" t="n">
        <f aca="false">SUMIFS(DRE_por_UN!$F:$F,DRE_por_UN!$C:$C,$C159,DRE_por_UN!$E:$E,$E159)*VLOOKUP($D159,$A$25:$H$36,4,0)</f>
        <v>25556.783</v>
      </c>
      <c r="H159" s="61" t="n">
        <f aca="false">VLOOKUP($D159,$A$25:$H$36,5,0)*(1+$B$5)^($A159-2025)*INDEX($B$40:$M$44,MATCH($E159,$A$40:$A$44,0),$B159)</f>
        <v>22992</v>
      </c>
      <c r="I159" s="62" t="n">
        <f aca="false">IF(H159=0,0,G159/H159)</f>
        <v>1.11155110473208</v>
      </c>
      <c r="J159" s="61" t="n">
        <f aca="false">G159-H159</f>
        <v>2564.783</v>
      </c>
      <c r="K159" s="61" t="n">
        <f aca="false">SUMIFS($G$48:$G$479,$D$48:$D$479,$D159,$A$48:$A$479,$A159,$B$48:$B$479,"&lt;="&amp;$B159)</f>
        <v>90871.8055</v>
      </c>
      <c r="L159" s="61" t="n">
        <f aca="false">SUMIFS($H$48:$H$479,$D$48:$D$479,$D159,$A$48:$A$479,$A159,$B$48:$B$479,"&lt;="&amp;$B159)</f>
        <v>81765.3</v>
      </c>
      <c r="M159" s="62" t="n">
        <f aca="false">IF(L159=0,0,K159/L159)</f>
        <v>1.11137371843557</v>
      </c>
    </row>
    <row r="160" customFormat="false" ht="15" hidden="false" customHeight="false" outlineLevel="0" collapsed="false">
      <c r="A160" s="56" t="n">
        <v>2025</v>
      </c>
      <c r="B160" s="56" t="n">
        <v>5</v>
      </c>
      <c r="C160" s="56" t="s">
        <v>152</v>
      </c>
      <c r="D160" s="56" t="s">
        <v>318</v>
      </c>
      <c r="E160" s="56" t="s">
        <v>142</v>
      </c>
      <c r="F160" s="56" t="s">
        <v>338</v>
      </c>
      <c r="G160" s="73" t="n">
        <f aca="false">SUMIFS(DRE_por_UN!$F:$F,DRE_por_UN!$C:$C,$C160,DRE_por_UN!$E:$E,$E160)*VLOOKUP($D160,$A$25:$H$36,4,0)</f>
        <v>23873.4195</v>
      </c>
      <c r="H160" s="61" t="n">
        <f aca="false">VLOOKUP($D160,$A$25:$H$36,5,0)*(1+$B$5)^($A160-2025)*INDEX($B$40:$M$44,MATCH($E160,$A$40:$A$44,0),$B160)</f>
        <v>21497.52</v>
      </c>
      <c r="I160" s="62" t="n">
        <f aca="false">IF(H160=0,0,G160/H160)</f>
        <v>1.11051970180746</v>
      </c>
      <c r="J160" s="61" t="n">
        <f aca="false">G160-H160</f>
        <v>2375.8995</v>
      </c>
      <c r="K160" s="61" t="n">
        <f aca="false">SUMIFS($G$48:$G$479,$D$48:$D$479,$D160,$A$48:$A$479,$A160,$B$48:$B$479,"&lt;="&amp;$B160)</f>
        <v>114745.225</v>
      </c>
      <c r="L160" s="61" t="n">
        <f aca="false">SUMIFS($H$48:$H$479,$D$48:$D$479,$D160,$A$48:$A$479,$A160,$B$48:$B$479,"&lt;="&amp;$B160)</f>
        <v>103262.82</v>
      </c>
      <c r="M160" s="62" t="n">
        <f aca="false">IF(L160=0,0,K160/L160)</f>
        <v>1.11119592705293</v>
      </c>
    </row>
    <row r="161" customFormat="false" ht="15" hidden="false" customHeight="false" outlineLevel="0" collapsed="false">
      <c r="A161" s="56" t="n">
        <v>2025</v>
      </c>
      <c r="B161" s="56" t="n">
        <v>6</v>
      </c>
      <c r="C161" s="56" t="s">
        <v>153</v>
      </c>
      <c r="D161" s="56" t="s">
        <v>318</v>
      </c>
      <c r="E161" s="56" t="s">
        <v>142</v>
      </c>
      <c r="F161" s="56" t="s">
        <v>338</v>
      </c>
      <c r="G161" s="73" t="n">
        <f aca="false">SUMIFS(DRE_por_UN!$F:$F,DRE_por_UN!$C:$C,$C161,DRE_por_UN!$E:$E,$E161)*VLOOKUP($D161,$A$25:$H$36,4,0)</f>
        <v>32705.0535</v>
      </c>
      <c r="H161" s="61" t="n">
        <f aca="false">VLOOKUP($D161,$A$25:$H$36,5,0)*(1+$B$5)^($A161-2025)*INDEX($B$40:$M$44,MATCH($E161,$A$40:$A$44,0),$B161)</f>
        <v>29429.76</v>
      </c>
      <c r="I161" s="62" t="n">
        <f aca="false">IF(H161=0,0,G161/H161)</f>
        <v>1.11129188617236</v>
      </c>
      <c r="J161" s="61" t="n">
        <f aca="false">G161-H161</f>
        <v>3275.29349999999</v>
      </c>
      <c r="K161" s="61" t="n">
        <f aca="false">SUMIFS($G$48:$G$479,$D$48:$D$479,$D161,$A$48:$A$479,$A161,$B$48:$B$479,"&lt;="&amp;$B161)</f>
        <v>147450.2785</v>
      </c>
      <c r="L161" s="61" t="n">
        <f aca="false">SUMIFS($H$48:$H$479,$D$48:$D$479,$D161,$A$48:$A$479,$A161,$B$48:$B$479,"&lt;="&amp;$B161)</f>
        <v>132692.58</v>
      </c>
      <c r="M161" s="62" t="n">
        <f aca="false">IF(L161=0,0,K161/L161)</f>
        <v>1.11121720973396</v>
      </c>
    </row>
    <row r="162" customFormat="false" ht="15" hidden="false" customHeight="false" outlineLevel="0" collapsed="false">
      <c r="A162" s="56" t="n">
        <v>2025</v>
      </c>
      <c r="B162" s="56" t="n">
        <v>7</v>
      </c>
      <c r="C162" s="56" t="s">
        <v>154</v>
      </c>
      <c r="D162" s="56" t="s">
        <v>318</v>
      </c>
      <c r="E162" s="56" t="s">
        <v>142</v>
      </c>
      <c r="F162" s="56" t="s">
        <v>338</v>
      </c>
      <c r="G162" s="73" t="n">
        <f aca="false">SUMIFS(DRE_por_UN!$F:$F,DRE_por_UN!$C:$C,$C162,DRE_por_UN!$E:$E,$E162)*VLOOKUP($D162,$A$25:$H$36,4,0)</f>
        <v>30339.134</v>
      </c>
      <c r="H162" s="61" t="n">
        <f aca="false">VLOOKUP($D162,$A$25:$H$36,5,0)*(1+$B$5)^($A162-2025)*INDEX($B$40:$M$44,MATCH($E162,$A$40:$A$44,0),$B162)</f>
        <v>27303</v>
      </c>
      <c r="I162" s="62" t="n">
        <f aca="false">IF(H162=0,0,G162/H162)</f>
        <v>1.11120147969088</v>
      </c>
      <c r="J162" s="61" t="n">
        <f aca="false">G162-H162</f>
        <v>3036.134</v>
      </c>
      <c r="K162" s="61" t="n">
        <f aca="false">SUMIFS($G$48:$G$479,$D$48:$D$479,$D162,$A$48:$A$479,$A162,$B$48:$B$479,"&lt;="&amp;$B162)</f>
        <v>177789.4125</v>
      </c>
      <c r="L162" s="61" t="n">
        <f aca="false">SUMIFS($H$48:$H$479,$D$48:$D$479,$D162,$A$48:$A$479,$A162,$B$48:$B$479,"&lt;="&amp;$B162)</f>
        <v>159995.58</v>
      </c>
      <c r="M162" s="62" t="n">
        <f aca="false">IF(L162=0,0,K162/L162)</f>
        <v>1.11121452542626</v>
      </c>
    </row>
    <row r="163" customFormat="false" ht="15" hidden="false" customHeight="false" outlineLevel="0" collapsed="false">
      <c r="A163" s="56" t="n">
        <v>2025</v>
      </c>
      <c r="B163" s="56" t="n">
        <v>8</v>
      </c>
      <c r="C163" s="56" t="s">
        <v>155</v>
      </c>
      <c r="D163" s="56" t="s">
        <v>318</v>
      </c>
      <c r="E163" s="56" t="s">
        <v>142</v>
      </c>
      <c r="F163" s="56" t="s">
        <v>338</v>
      </c>
      <c r="G163" s="73" t="n">
        <f aca="false">SUMIFS(DRE_por_UN!$F:$F,DRE_por_UN!$C:$C,$C163,DRE_por_UN!$E:$E,$E163)*VLOOKUP($D163,$A$25:$H$36,4,0)</f>
        <v>26096.483</v>
      </c>
      <c r="H163" s="61" t="n">
        <f aca="false">VLOOKUP($D163,$A$25:$H$36,5,0)*(1+$B$5)^($A163-2025)*INDEX($B$40:$M$44,MATCH($E163,$A$40:$A$44,0),$B163)</f>
        <v>23480.58</v>
      </c>
      <c r="I163" s="62" t="n">
        <f aca="false">IF(H163=0,0,G163/H163)</f>
        <v>1.11140708619634</v>
      </c>
      <c r="J163" s="61" t="n">
        <f aca="false">G163-H163</f>
        <v>2615.903</v>
      </c>
      <c r="K163" s="61" t="n">
        <f aca="false">SUMIFS($G$48:$G$479,$D$48:$D$479,$D163,$A$48:$A$479,$A163,$B$48:$B$479,"&lt;="&amp;$B163)</f>
        <v>203885.8955</v>
      </c>
      <c r="L163" s="61" t="n">
        <f aca="false">SUMIFS($H$48:$H$479,$D$48:$D$479,$D163,$A$48:$A$479,$A163,$B$48:$B$479,"&lt;="&amp;$B163)</f>
        <v>183476.16</v>
      </c>
      <c r="M163" s="62" t="n">
        <f aca="false">IF(L163=0,0,K163/L163)</f>
        <v>1.11123916862005</v>
      </c>
    </row>
    <row r="164" customFormat="false" ht="15" hidden="false" customHeight="false" outlineLevel="0" collapsed="false">
      <c r="A164" s="56" t="n">
        <v>2025</v>
      </c>
      <c r="B164" s="56" t="n">
        <v>9</v>
      </c>
      <c r="C164" s="56" t="s">
        <v>156</v>
      </c>
      <c r="D164" s="56" t="s">
        <v>318</v>
      </c>
      <c r="E164" s="56" t="s">
        <v>142</v>
      </c>
      <c r="F164" s="56" t="s">
        <v>338</v>
      </c>
      <c r="G164" s="73" t="n">
        <f aca="false">SUMIFS(DRE_por_UN!$F:$F,DRE_por_UN!$C:$C,$C164,DRE_por_UN!$E:$E,$E164)*VLOOKUP($D164,$A$25:$H$36,4,0)</f>
        <v>24058.839</v>
      </c>
      <c r="H164" s="61" t="n">
        <f aca="false">VLOOKUP($D164,$A$25:$H$36,5,0)*(1+$B$5)^($A164-2025)*INDEX($B$40:$M$44,MATCH($E164,$A$40:$A$44,0),$B164)</f>
        <v>21641.22</v>
      </c>
      <c r="I164" s="62" t="n">
        <f aca="false">IF(H164=0,0,G164/H164)</f>
        <v>1.11171361873314</v>
      </c>
      <c r="J164" s="61" t="n">
        <f aca="false">G164-H164</f>
        <v>2417.619</v>
      </c>
      <c r="K164" s="61" t="n">
        <f aca="false">SUMIFS($G$48:$G$479,$D$48:$D$479,$D164,$A$48:$A$479,$A164,$B$48:$B$479,"&lt;="&amp;$B164)</f>
        <v>227944.7345</v>
      </c>
      <c r="L164" s="61" t="n">
        <f aca="false">SUMIFS($H$48:$H$479,$D$48:$D$479,$D164,$A$48:$A$479,$A164,$B$48:$B$479,"&lt;="&amp;$B164)</f>
        <v>205117.38</v>
      </c>
      <c r="M164" s="62" t="n">
        <f aca="false">IF(L164=0,0,K164/L164)</f>
        <v>1.11128922619819</v>
      </c>
    </row>
    <row r="165" customFormat="false" ht="15" hidden="false" customHeight="false" outlineLevel="0" collapsed="false">
      <c r="A165" s="56" t="n">
        <v>2025</v>
      </c>
      <c r="B165" s="56" t="n">
        <v>10</v>
      </c>
      <c r="C165" s="56" t="s">
        <v>157</v>
      </c>
      <c r="D165" s="56" t="s">
        <v>318</v>
      </c>
      <c r="E165" s="56" t="s">
        <v>142</v>
      </c>
      <c r="F165" s="56" t="s">
        <v>338</v>
      </c>
      <c r="G165" s="73" t="n">
        <f aca="false">SUMIFS(DRE_por_UN!$F:$F,DRE_por_UN!$C:$C,$C165,DRE_por_UN!$E:$E,$E165)*VLOOKUP($D165,$A$25:$H$36,4,0)</f>
        <v>24514.9695</v>
      </c>
      <c r="H165" s="61" t="n">
        <f aca="false">VLOOKUP($D165,$A$25:$H$36,5,0)*(1+$B$5)^($A165-2025)*INDEX($B$40:$M$44,MATCH($E165,$A$40:$A$44,0),$B165)</f>
        <v>22072.32</v>
      </c>
      <c r="I165" s="62" t="n">
        <f aca="false">IF(H165=0,0,G165/H165)</f>
        <v>1.11066573427714</v>
      </c>
      <c r="J165" s="61" t="n">
        <f aca="false">G165-H165</f>
        <v>2442.6495</v>
      </c>
      <c r="K165" s="61" t="n">
        <f aca="false">SUMIFS($G$48:$G$479,$D$48:$D$479,$D165,$A$48:$A$479,$A165,$B$48:$B$479,"&lt;="&amp;$B165)</f>
        <v>252459.704</v>
      </c>
      <c r="L165" s="61" t="n">
        <f aca="false">SUMIFS($H$48:$H$479,$D$48:$D$479,$D165,$A$48:$A$479,$A165,$B$48:$B$479,"&lt;="&amp;$B165)</f>
        <v>227189.7</v>
      </c>
      <c r="M165" s="62" t="n">
        <f aca="false">IF(L165=0,0,K165/L165)</f>
        <v>1.11122865165102</v>
      </c>
    </row>
    <row r="166" customFormat="false" ht="15" hidden="false" customHeight="false" outlineLevel="0" collapsed="false">
      <c r="A166" s="56" t="n">
        <v>2025</v>
      </c>
      <c r="B166" s="56" t="n">
        <v>11</v>
      </c>
      <c r="C166" s="56" t="s">
        <v>158</v>
      </c>
      <c r="D166" s="56" t="s">
        <v>318</v>
      </c>
      <c r="E166" s="56" t="s">
        <v>142</v>
      </c>
      <c r="F166" s="56" t="s">
        <v>338</v>
      </c>
      <c r="G166" s="73" t="n">
        <f aca="false">SUMIFS(DRE_por_UN!$F:$F,DRE_por_UN!$C:$C,$C166,DRE_por_UN!$E:$E,$E166)*VLOOKUP($D166,$A$25:$H$36,4,0)</f>
        <v>31629.682</v>
      </c>
      <c r="H166" s="61" t="n">
        <f aca="false">VLOOKUP($D166,$A$25:$H$36,5,0)*(1+$B$5)^($A166-2025)*INDEX($B$40:$M$44,MATCH($E166,$A$40:$A$44,0),$B166)</f>
        <v>28481.34</v>
      </c>
      <c r="I166" s="62" t="n">
        <f aca="false">IF(H166=0,0,G166/H166)</f>
        <v>1.11054051529879</v>
      </c>
      <c r="J166" s="61" t="n">
        <f aca="false">G166-H166</f>
        <v>3148.342</v>
      </c>
      <c r="K166" s="61" t="n">
        <f aca="false">SUMIFS($G$48:$G$479,$D$48:$D$479,$D166,$A$48:$A$479,$A166,$B$48:$B$479,"&lt;="&amp;$B166)</f>
        <v>284089.386</v>
      </c>
      <c r="L166" s="61" t="n">
        <f aca="false">SUMIFS($H$48:$H$479,$D$48:$D$479,$D166,$A$48:$A$479,$A166,$B$48:$B$479,"&lt;="&amp;$B166)</f>
        <v>255671.04</v>
      </c>
      <c r="M166" s="62" t="n">
        <f aca="false">IF(L166=0,0,K166/L166)</f>
        <v>1.11115199437527</v>
      </c>
    </row>
    <row r="167" customFormat="false" ht="15" hidden="false" customHeight="false" outlineLevel="0" collapsed="false">
      <c r="A167" s="56" t="n">
        <v>2025</v>
      </c>
      <c r="B167" s="56" t="n">
        <v>12</v>
      </c>
      <c r="C167" s="56" t="s">
        <v>159</v>
      </c>
      <c r="D167" s="56" t="s">
        <v>318</v>
      </c>
      <c r="E167" s="56" t="s">
        <v>142</v>
      </c>
      <c r="F167" s="56" t="s">
        <v>338</v>
      </c>
      <c r="G167" s="73" t="n">
        <f aca="false">SUMIFS(DRE_por_UN!$F:$F,DRE_por_UN!$C:$C,$C167,DRE_por_UN!$E:$E,$E167)*VLOOKUP($D167,$A$25:$H$36,4,0)</f>
        <v>35231.8015</v>
      </c>
      <c r="H167" s="61" t="n">
        <f aca="false">VLOOKUP($D167,$A$25:$H$36,5,0)*(1+$B$5)^($A167-2025)*INDEX($B$40:$M$44,MATCH($E167,$A$40:$A$44,0),$B167)</f>
        <v>31700.22</v>
      </c>
      <c r="I167" s="62" t="n">
        <f aca="false">IF(H167=0,0,G167/H167)</f>
        <v>1.1114055833051</v>
      </c>
      <c r="J167" s="61" t="n">
        <f aca="false">G167-H167</f>
        <v>3531.5815</v>
      </c>
      <c r="K167" s="61" t="n">
        <f aca="false">SUMIFS($G$48:$G$479,$D$48:$D$479,$D167,$A$48:$A$479,$A167,$B$48:$B$479,"&lt;="&amp;$B167)</f>
        <v>319321.1875</v>
      </c>
      <c r="L167" s="61" t="n">
        <f aca="false">SUMIFS($H$48:$H$479,$D$48:$D$479,$D167,$A$48:$A$479,$A167,$B$48:$B$479,"&lt;="&amp;$B167)</f>
        <v>287371.26</v>
      </c>
      <c r="M167" s="62" t="n">
        <f aca="false">IF(L167=0,0,K167/L167)</f>
        <v>1.1111799680316</v>
      </c>
    </row>
    <row r="168" customFormat="false" ht="15" hidden="false" customHeight="false" outlineLevel="0" collapsed="false">
      <c r="A168" s="56" t="n">
        <v>2026</v>
      </c>
      <c r="B168" s="56" t="n">
        <v>1</v>
      </c>
      <c r="C168" s="56" t="s">
        <v>160</v>
      </c>
      <c r="D168" s="56" t="s">
        <v>318</v>
      </c>
      <c r="E168" s="56" t="s">
        <v>142</v>
      </c>
      <c r="F168" s="56" t="s">
        <v>338</v>
      </c>
      <c r="G168" s="73" t="n">
        <f aca="false">SUMIFS(DRE_por_UN!$F:$F,DRE_por_UN!$C:$C,$C168,DRE_por_UN!$E:$E,$E168)*VLOOKUP($D168,$A$25:$H$36,4,0)</f>
        <v>21952.686</v>
      </c>
      <c r="H168" s="61" t="n">
        <f aca="false">VLOOKUP($D168,$A$25:$H$36,5,0)*(1+$B$5)^($A168-2025)*INDEX($B$40:$M$44,MATCH($E168,$A$40:$A$44,0),$B168)</f>
        <v>20837.6496</v>
      </c>
      <c r="I168" s="62" t="n">
        <f aca="false">IF(H168=0,0,G168/H168)</f>
        <v>1.05351066081848</v>
      </c>
      <c r="J168" s="61" t="n">
        <f aca="false">G168-H168</f>
        <v>1115.0364</v>
      </c>
      <c r="K168" s="61" t="n">
        <f aca="false">SUMIFS($G$48:$G$479,$D$48:$D$479,$D168,$A$48:$A$479,$A168,$B$48:$B$479,"&lt;="&amp;$B168)</f>
        <v>21952.686</v>
      </c>
      <c r="L168" s="61" t="n">
        <f aca="false">SUMIFS($H$48:$H$479,$D$48:$D$479,$D168,$A$48:$A$479,$A168,$B$48:$B$479,"&lt;="&amp;$B168)</f>
        <v>20837.6496</v>
      </c>
      <c r="M168" s="62" t="n">
        <f aca="false">IF(L168=0,0,K168/L168)</f>
        <v>1.05351066081848</v>
      </c>
    </row>
    <row r="169" customFormat="false" ht="15" hidden="false" customHeight="false" outlineLevel="0" collapsed="false">
      <c r="A169" s="56" t="n">
        <v>2026</v>
      </c>
      <c r="B169" s="56" t="n">
        <v>2</v>
      </c>
      <c r="C169" s="56" t="s">
        <v>161</v>
      </c>
      <c r="D169" s="56" t="s">
        <v>318</v>
      </c>
      <c r="E169" s="56" t="s">
        <v>142</v>
      </c>
      <c r="F169" s="56" t="s">
        <v>338</v>
      </c>
      <c r="G169" s="73" t="n">
        <f aca="false">SUMIFS(DRE_por_UN!$F:$F,DRE_por_UN!$C:$C,$C169,DRE_por_UN!$E:$E,$E169)*VLOOKUP($D169,$A$25:$H$36,4,0)</f>
        <v>17092.2815</v>
      </c>
      <c r="H169" s="61" t="n">
        <f aca="false">VLOOKUP($D169,$A$25:$H$36,5,0)*(1+$B$5)^($A169-2025)*INDEX($B$40:$M$44,MATCH($E169,$A$40:$A$44,0),$B169)</f>
        <v>20685.3276</v>
      </c>
      <c r="I169" s="62" t="n">
        <f aca="false">IF(H169=0,0,G169/H169)</f>
        <v>0.826299772984983</v>
      </c>
      <c r="J169" s="61" t="n">
        <f aca="false">G169-H169</f>
        <v>-3593.0461</v>
      </c>
      <c r="K169" s="61" t="n">
        <f aca="false">SUMIFS($G$48:$G$479,$D$48:$D$479,$D169,$A$48:$A$479,$A169,$B$48:$B$479,"&lt;="&amp;$B169)</f>
        <v>39044.9675</v>
      </c>
      <c r="L169" s="61" t="n">
        <f aca="false">SUMIFS($H$48:$H$479,$D$48:$D$479,$D169,$A$48:$A$479,$A169,$B$48:$B$479,"&lt;="&amp;$B169)</f>
        <v>41522.9772</v>
      </c>
      <c r="M169" s="62" t="n">
        <f aca="false">IF(L169=0,0,K169/L169)</f>
        <v>0.94032196467839</v>
      </c>
    </row>
    <row r="170" customFormat="false" ht="15" hidden="false" customHeight="false" outlineLevel="0" collapsed="false">
      <c r="A170" s="56" t="n">
        <v>2026</v>
      </c>
      <c r="B170" s="56" t="n">
        <v>3</v>
      </c>
      <c r="C170" s="56" t="s">
        <v>162</v>
      </c>
      <c r="D170" s="56" t="s">
        <v>318</v>
      </c>
      <c r="E170" s="56" t="s">
        <v>142</v>
      </c>
      <c r="F170" s="56" t="s">
        <v>338</v>
      </c>
      <c r="G170" s="73" t="n">
        <f aca="false">SUMIFS(DRE_por_UN!$F:$F,DRE_por_UN!$C:$C,$C170,DRE_por_UN!$E:$E,$E170)*VLOOKUP($D170,$A$25:$H$36,4,0)</f>
        <v>28572.726</v>
      </c>
      <c r="H170" s="61" t="n">
        <f aca="false">VLOOKUP($D170,$A$25:$H$36,5,0)*(1+$B$5)^($A170-2025)*INDEX($B$40:$M$44,MATCH($E170,$A$40:$A$44,0),$B170)</f>
        <v>20776.7208</v>
      </c>
      <c r="I170" s="62" t="n">
        <f aca="false">IF(H170=0,0,G170/H170)</f>
        <v>1.37522789448083</v>
      </c>
      <c r="J170" s="61" t="n">
        <f aca="false">G170-H170</f>
        <v>7796.0052</v>
      </c>
      <c r="K170" s="61" t="n">
        <f aca="false">SUMIFS($G$48:$G$479,$D$48:$D$479,$D170,$A$48:$A$479,$A170,$B$48:$B$479,"&lt;="&amp;$B170)</f>
        <v>67617.6935</v>
      </c>
      <c r="L170" s="61" t="n">
        <f aca="false">SUMIFS($H$48:$H$479,$D$48:$D$479,$D170,$A$48:$A$479,$A170,$B$48:$B$479,"&lt;="&amp;$B170)</f>
        <v>62299.698</v>
      </c>
      <c r="M170" s="62" t="n">
        <f aca="false">IF(L170=0,0,K170/L170)</f>
        <v>1.08536149725798</v>
      </c>
    </row>
    <row r="171" customFormat="false" ht="15" hidden="false" customHeight="false" outlineLevel="0" collapsed="false">
      <c r="A171" s="56" t="n">
        <v>2026</v>
      </c>
      <c r="B171" s="56" t="n">
        <v>4</v>
      </c>
      <c r="C171" s="56" t="s">
        <v>163</v>
      </c>
      <c r="D171" s="56" t="s">
        <v>318</v>
      </c>
      <c r="E171" s="56" t="s">
        <v>142</v>
      </c>
      <c r="F171" s="56" t="s">
        <v>338</v>
      </c>
      <c r="G171" s="73" t="n">
        <f aca="false">SUMIFS(DRE_por_UN!$F:$F,DRE_por_UN!$C:$C,$C171,DRE_por_UN!$E:$E,$E171)*VLOOKUP($D171,$A$25:$H$36,4,0)</f>
        <v>18896.514</v>
      </c>
      <c r="H171" s="61" t="n">
        <f aca="false">VLOOKUP($D171,$A$25:$H$36,5,0)*(1+$B$5)^($A171-2025)*INDEX($B$40:$M$44,MATCH($E171,$A$40:$A$44,0),$B171)</f>
        <v>24371.52</v>
      </c>
      <c r="I171" s="62" t="n">
        <f aca="false">IF(H171=0,0,G171/H171)</f>
        <v>0.775352296450939</v>
      </c>
      <c r="J171" s="61" t="n">
        <f aca="false">G171-H171</f>
        <v>-5475.006</v>
      </c>
      <c r="K171" s="61" t="n">
        <f aca="false">SUMIFS($G$48:$G$479,$D$48:$D$479,$D171,$A$48:$A$479,$A171,$B$48:$B$479,"&lt;="&amp;$B171)</f>
        <v>86514.2075</v>
      </c>
      <c r="L171" s="61" t="n">
        <f aca="false">SUMIFS($H$48:$H$479,$D$48:$D$479,$D171,$A$48:$A$479,$A171,$B$48:$B$479,"&lt;="&amp;$B171)</f>
        <v>86671.218</v>
      </c>
      <c r="M171" s="62" t="n">
        <f aca="false">IF(L171=0,0,K171/L171)</f>
        <v>0.998188435519621</v>
      </c>
    </row>
    <row r="172" customFormat="false" ht="15" hidden="false" customHeight="false" outlineLevel="0" collapsed="false">
      <c r="A172" s="56" t="n">
        <v>2026</v>
      </c>
      <c r="B172" s="56" t="n">
        <v>5</v>
      </c>
      <c r="C172" s="56" t="s">
        <v>164</v>
      </c>
      <c r="D172" s="56" t="s">
        <v>318</v>
      </c>
      <c r="E172" s="56" t="s">
        <v>142</v>
      </c>
      <c r="F172" s="56" t="s">
        <v>338</v>
      </c>
      <c r="G172" s="73" t="n">
        <f aca="false">SUMIFS(DRE_por_UN!$F:$F,DRE_por_UN!$C:$C,$C172,DRE_por_UN!$E:$E,$E172)*VLOOKUP($D172,$A$25:$H$36,4,0)</f>
        <v>27497.253</v>
      </c>
      <c r="H172" s="61" t="n">
        <f aca="false">VLOOKUP($D172,$A$25:$H$36,5,0)*(1+$B$5)^($A172-2025)*INDEX($B$40:$M$44,MATCH($E172,$A$40:$A$44,0),$B172)</f>
        <v>22787.3712</v>
      </c>
      <c r="I172" s="62" t="n">
        <f aca="false">IF(H172=0,0,G172/H172)</f>
        <v>1.2066882466899</v>
      </c>
      <c r="J172" s="61" t="n">
        <f aca="false">G172-H172</f>
        <v>4709.8818</v>
      </c>
      <c r="K172" s="61" t="n">
        <f aca="false">SUMIFS($G$48:$G$479,$D$48:$D$479,$D172,$A$48:$A$479,$A172,$B$48:$B$479,"&lt;="&amp;$B172)</f>
        <v>114011.4605</v>
      </c>
      <c r="L172" s="61" t="n">
        <f aca="false">SUMIFS($H$48:$H$479,$D$48:$D$479,$D172,$A$48:$A$479,$A172,$B$48:$B$479,"&lt;="&amp;$B172)</f>
        <v>109458.5892</v>
      </c>
      <c r="M172" s="62" t="n">
        <f aca="false">IF(L172=0,0,K172/L172)</f>
        <v>1.04159446356175</v>
      </c>
    </row>
    <row r="173" customFormat="false" ht="15" hidden="false" customHeight="false" outlineLevel="0" collapsed="false">
      <c r="A173" s="56" t="n">
        <v>2026</v>
      </c>
      <c r="B173" s="56" t="n">
        <v>6</v>
      </c>
      <c r="C173" s="56" t="s">
        <v>165</v>
      </c>
      <c r="D173" s="56" t="s">
        <v>318</v>
      </c>
      <c r="E173" s="56" t="s">
        <v>142</v>
      </c>
      <c r="F173" s="56" t="s">
        <v>338</v>
      </c>
      <c r="G173" s="73" t="n">
        <f aca="false">SUMIFS(DRE_por_UN!$F:$F,DRE_por_UN!$C:$C,$C173,DRE_por_UN!$E:$E,$E173)*VLOOKUP($D173,$A$25:$H$36,4,0)</f>
        <v>26197.045</v>
      </c>
      <c r="H173" s="61" t="n">
        <f aca="false">VLOOKUP($D173,$A$25:$H$36,5,0)*(1+$B$5)^($A173-2025)*INDEX($B$40:$M$44,MATCH($E173,$A$40:$A$44,0),$B173)</f>
        <v>31195.5456</v>
      </c>
      <c r="I173" s="62" t="n">
        <f aca="false">IF(H173=0,0,G173/H173)</f>
        <v>0.839768771346637</v>
      </c>
      <c r="J173" s="61" t="n">
        <f aca="false">G173-H173</f>
        <v>-4998.5006</v>
      </c>
      <c r="K173" s="61" t="n">
        <f aca="false">SUMIFS($G$48:$G$479,$D$48:$D$479,$D173,$A$48:$A$479,$A173,$B$48:$B$479,"&lt;="&amp;$B173)</f>
        <v>140208.5055</v>
      </c>
      <c r="L173" s="61" t="n">
        <f aca="false">SUMIFS($H$48:$H$479,$D$48:$D$479,$D173,$A$48:$A$479,$A173,$B$48:$B$479,"&lt;="&amp;$B173)</f>
        <v>140654.1348</v>
      </c>
      <c r="M173" s="62" t="n">
        <f aca="false">IF(L173=0,0,K173/L173)</f>
        <v>0.996831736936609</v>
      </c>
    </row>
    <row r="174" customFormat="false" ht="15" hidden="false" customHeight="false" outlineLevel="0" collapsed="false">
      <c r="A174" s="56" t="n">
        <v>2026</v>
      </c>
      <c r="B174" s="56" t="n">
        <v>7</v>
      </c>
      <c r="C174" s="56" t="s">
        <v>166</v>
      </c>
      <c r="D174" s="56" t="s">
        <v>318</v>
      </c>
      <c r="E174" s="56" t="s">
        <v>142</v>
      </c>
      <c r="F174" s="56" t="s">
        <v>338</v>
      </c>
      <c r="G174" s="73" t="n">
        <f aca="false">SUMIFS(DRE_por_UN!$F:$F,DRE_por_UN!$C:$C,$C174,DRE_por_UN!$E:$E,$E174)*VLOOKUP($D174,$A$25:$H$36,4,0)</f>
        <v>29964.4205</v>
      </c>
      <c r="H174" s="61" t="n">
        <f aca="false">VLOOKUP($D174,$A$25:$H$36,5,0)*(1+$B$5)^($A174-2025)*INDEX($B$40:$M$44,MATCH($E174,$A$40:$A$44,0),$B174)</f>
        <v>28941.18</v>
      </c>
      <c r="I174" s="62" t="n">
        <f aca="false">IF(H174=0,0,G174/H174)</f>
        <v>1.03535586662327</v>
      </c>
      <c r="J174" s="61" t="n">
        <f aca="false">G174-H174</f>
        <v>1023.2405</v>
      </c>
      <c r="K174" s="61" t="n">
        <f aca="false">SUMIFS($G$48:$G$479,$D$48:$D$479,$D174,$A$48:$A$479,$A174,$B$48:$B$479,"&lt;="&amp;$B174)</f>
        <v>170172.926</v>
      </c>
      <c r="L174" s="61" t="n">
        <f aca="false">SUMIFS($H$48:$H$479,$D$48:$D$479,$D174,$A$48:$A$479,$A174,$B$48:$B$479,"&lt;="&amp;$B174)</f>
        <v>169595.3148</v>
      </c>
      <c r="M174" s="62" t="n">
        <f aca="false">IF(L174=0,0,K174/L174)</f>
        <v>1.00340582050089</v>
      </c>
    </row>
    <row r="175" customFormat="false" ht="15" hidden="false" customHeight="false" outlineLevel="0" collapsed="false">
      <c r="A175" s="56" t="n">
        <v>2026</v>
      </c>
      <c r="B175" s="56" t="n">
        <v>8</v>
      </c>
      <c r="C175" s="56" t="s">
        <v>167</v>
      </c>
      <c r="D175" s="56" t="s">
        <v>318</v>
      </c>
      <c r="E175" s="56" t="s">
        <v>142</v>
      </c>
      <c r="F175" s="56" t="s">
        <v>338</v>
      </c>
      <c r="G175" s="73" t="n">
        <f aca="false">SUMIFS(DRE_por_UN!$F:$F,DRE_por_UN!$C:$C,$C175,DRE_por_UN!$E:$E,$E175)*VLOOKUP($D175,$A$25:$H$36,4,0)</f>
        <v>26331.676</v>
      </c>
      <c r="H175" s="61" t="n">
        <f aca="false">VLOOKUP($D175,$A$25:$H$36,5,0)*(1+$B$5)^($A175-2025)*INDEX($B$40:$M$44,MATCH($E175,$A$40:$A$44,0),$B175)</f>
        <v>24889.4148</v>
      </c>
      <c r="I175" s="62" t="n">
        <f aca="false">IF(H175=0,0,G175/H175)</f>
        <v>1.05794677020691</v>
      </c>
      <c r="J175" s="61" t="n">
        <f aca="false">G175-H175</f>
        <v>1442.2612</v>
      </c>
      <c r="K175" s="61" t="n">
        <f aca="false">SUMIFS($G$48:$G$479,$D$48:$D$479,$D175,$A$48:$A$479,$A175,$B$48:$B$479,"&lt;="&amp;$B175)</f>
        <v>196504.602</v>
      </c>
      <c r="L175" s="61" t="n">
        <f aca="false">SUMIFS($H$48:$H$479,$D$48:$D$479,$D175,$A$48:$A$479,$A175,$B$48:$B$479,"&lt;="&amp;$B175)</f>
        <v>194484.7296</v>
      </c>
      <c r="M175" s="62" t="n">
        <f aca="false">IF(L175=0,0,K175/L175)</f>
        <v>1.01038576346922</v>
      </c>
    </row>
    <row r="176" customFormat="false" ht="15" hidden="false" customHeight="false" outlineLevel="0" collapsed="false">
      <c r="A176" s="56" t="n">
        <v>2026</v>
      </c>
      <c r="B176" s="56" t="n">
        <v>9</v>
      </c>
      <c r="C176" s="56" t="s">
        <v>168</v>
      </c>
      <c r="D176" s="56" t="s">
        <v>318</v>
      </c>
      <c r="E176" s="56" t="s">
        <v>142</v>
      </c>
      <c r="F176" s="56" t="s">
        <v>338</v>
      </c>
      <c r="G176" s="73" t="n">
        <f aca="false">SUMIFS(DRE_por_UN!$F:$F,DRE_por_UN!$C:$C,$C176,DRE_por_UN!$E:$E,$E176)*VLOOKUP($D176,$A$25:$H$36,4,0)</f>
        <v>31452.8725</v>
      </c>
      <c r="H176" s="61" t="n">
        <f aca="false">VLOOKUP($D176,$A$25:$H$36,5,0)*(1+$B$5)^($A176-2025)*INDEX($B$40:$M$44,MATCH($E176,$A$40:$A$44,0),$B176)</f>
        <v>22939.6932</v>
      </c>
      <c r="I176" s="62" t="n">
        <f aca="false">IF(H176=0,0,G176/H176)</f>
        <v>1.37111129716417</v>
      </c>
      <c r="J176" s="61" t="n">
        <f aca="false">G176-H176</f>
        <v>8513.1793</v>
      </c>
      <c r="K176" s="61" t="n">
        <f aca="false">SUMIFS($G$48:$G$479,$D$48:$D$479,$D176,$A$48:$A$479,$A176,$B$48:$B$479,"&lt;="&amp;$B176)</f>
        <v>227957.4745</v>
      </c>
      <c r="L176" s="61" t="n">
        <f aca="false">SUMIFS($H$48:$H$479,$D$48:$D$479,$D176,$A$48:$A$479,$A176,$B$48:$B$479,"&lt;="&amp;$B176)</f>
        <v>217424.4228</v>
      </c>
      <c r="M176" s="62" t="n">
        <f aca="false">IF(L176=0,0,K176/L176)</f>
        <v>1.04844465752446</v>
      </c>
    </row>
    <row r="177" customFormat="false" ht="15" hidden="false" customHeight="false" outlineLevel="0" collapsed="false">
      <c r="A177" s="56" t="n">
        <v>2026</v>
      </c>
      <c r="B177" s="56" t="n">
        <v>10</v>
      </c>
      <c r="C177" s="56" t="s">
        <v>169</v>
      </c>
      <c r="D177" s="56" t="s">
        <v>318</v>
      </c>
      <c r="E177" s="56" t="s">
        <v>142</v>
      </c>
      <c r="F177" s="56" t="s">
        <v>338</v>
      </c>
      <c r="G177" s="73" t="n">
        <f aca="false">SUMIFS(DRE_por_UN!$F:$F,DRE_por_UN!$C:$C,$C177,DRE_por_UN!$E:$E,$E177)*VLOOKUP($D177,$A$25:$H$36,4,0)</f>
        <v>20257.755</v>
      </c>
      <c r="H177" s="61" t="n">
        <f aca="false">VLOOKUP($D177,$A$25:$H$36,5,0)*(1+$B$5)^($A177-2025)*INDEX($B$40:$M$44,MATCH($E177,$A$40:$A$44,0),$B177)</f>
        <v>23396.6592</v>
      </c>
      <c r="I177" s="62" t="n">
        <f aca="false">IF(H177=0,0,G177/H177)</f>
        <v>0.865839640900527</v>
      </c>
      <c r="J177" s="61" t="n">
        <f aca="false">G177-H177</f>
        <v>-3138.9042</v>
      </c>
      <c r="K177" s="61" t="n">
        <f aca="false">SUMIFS($G$48:$G$479,$D$48:$D$479,$D177,$A$48:$A$479,$A177,$B$48:$B$479,"&lt;="&amp;$B177)</f>
        <v>248215.2295</v>
      </c>
      <c r="L177" s="61" t="n">
        <f aca="false">SUMIFS($H$48:$H$479,$D$48:$D$479,$D177,$A$48:$A$479,$A177,$B$48:$B$479,"&lt;="&amp;$B177)</f>
        <v>240821.082</v>
      </c>
      <c r="M177" s="62" t="n">
        <f aca="false">IF(L177=0,0,K177/L177)</f>
        <v>1.03070390448624</v>
      </c>
    </row>
    <row r="178" customFormat="false" ht="15" hidden="false" customHeight="false" outlineLevel="0" collapsed="false">
      <c r="A178" s="56" t="n">
        <v>2026</v>
      </c>
      <c r="B178" s="56" t="n">
        <v>11</v>
      </c>
      <c r="C178" s="56" t="s">
        <v>170</v>
      </c>
      <c r="D178" s="56" t="s">
        <v>318</v>
      </c>
      <c r="E178" s="56" t="s">
        <v>142</v>
      </c>
      <c r="F178" s="56" t="s">
        <v>338</v>
      </c>
      <c r="G178" s="73" t="n">
        <f aca="false">SUMIFS(DRE_por_UN!$F:$F,DRE_por_UN!$C:$C,$C178,DRE_por_UN!$E:$E,$E178)*VLOOKUP($D178,$A$25:$H$36,4,0)</f>
        <v>32129.6955</v>
      </c>
      <c r="H178" s="61" t="n">
        <f aca="false">VLOOKUP($D178,$A$25:$H$36,5,0)*(1+$B$5)^($A178-2025)*INDEX($B$40:$M$44,MATCH($E178,$A$40:$A$44,0),$B178)</f>
        <v>30190.2204</v>
      </c>
      <c r="I178" s="62" t="n">
        <f aca="false">IF(H178=0,0,G178/H178)</f>
        <v>1.06424183309374</v>
      </c>
      <c r="J178" s="61" t="n">
        <f aca="false">G178-H178</f>
        <v>1939.4751</v>
      </c>
      <c r="K178" s="61" t="n">
        <f aca="false">SUMIFS($G$48:$G$479,$D$48:$D$479,$D178,$A$48:$A$479,$A178,$B$48:$B$479,"&lt;="&amp;$B178)</f>
        <v>280344.925</v>
      </c>
      <c r="L178" s="61" t="n">
        <f aca="false">SUMIFS($H$48:$H$479,$D$48:$D$479,$D178,$A$48:$A$479,$A178,$B$48:$B$479,"&lt;="&amp;$B178)</f>
        <v>271011.3024</v>
      </c>
      <c r="M178" s="62" t="n">
        <f aca="false">IF(L178=0,0,K178/L178)</f>
        <v>1.0344399754451</v>
      </c>
    </row>
    <row r="179" customFormat="false" ht="15" hidden="false" customHeight="false" outlineLevel="0" collapsed="false">
      <c r="A179" s="56" t="n">
        <v>2026</v>
      </c>
      <c r="B179" s="56" t="n">
        <v>12</v>
      </c>
      <c r="C179" s="56" t="s">
        <v>171</v>
      </c>
      <c r="D179" s="56" t="s">
        <v>318</v>
      </c>
      <c r="E179" s="56" t="s">
        <v>142</v>
      </c>
      <c r="F179" s="56" t="s">
        <v>338</v>
      </c>
      <c r="G179" s="73" t="n">
        <f aca="false">SUMIFS(DRE_por_UN!$F:$F,DRE_por_UN!$C:$C,$C179,DRE_por_UN!$E:$E,$E179)*VLOOKUP($D179,$A$25:$H$36,4,0)</f>
        <v>36453.8405</v>
      </c>
      <c r="H179" s="61" t="n">
        <f aca="false">VLOOKUP($D179,$A$25:$H$36,5,0)*(1+$B$5)^($A179-2025)*INDEX($B$40:$M$44,MATCH($E179,$A$40:$A$44,0),$B179)</f>
        <v>33602.2332</v>
      </c>
      <c r="I179" s="62" t="n">
        <f aca="false">IF(H179=0,0,G179/H179)</f>
        <v>1.08486362448077</v>
      </c>
      <c r="J179" s="61" t="n">
        <f aca="false">G179-H179</f>
        <v>2851.6073</v>
      </c>
      <c r="K179" s="61" t="n">
        <f aca="false">SUMIFS($G$48:$G$479,$D$48:$D$479,$D179,$A$48:$A$479,$A179,$B$48:$B$479,"&lt;="&amp;$B179)</f>
        <v>316798.7655</v>
      </c>
      <c r="L179" s="61" t="n">
        <f aca="false">SUMIFS($H$48:$H$479,$D$48:$D$479,$D179,$A$48:$A$479,$A179,$B$48:$B$479,"&lt;="&amp;$B179)</f>
        <v>304613.5356</v>
      </c>
      <c r="M179" s="62" t="n">
        <f aca="false">IF(L179=0,0,K179/L179)</f>
        <v>1.0400022601622</v>
      </c>
    </row>
    <row r="180" customFormat="false" ht="15" hidden="false" customHeight="false" outlineLevel="0" collapsed="false">
      <c r="A180" s="56" t="n">
        <v>2027</v>
      </c>
      <c r="B180" s="56" t="n">
        <v>1</v>
      </c>
      <c r="C180" s="56" t="s">
        <v>172</v>
      </c>
      <c r="D180" s="56" t="s">
        <v>318</v>
      </c>
      <c r="E180" s="56" t="s">
        <v>142</v>
      </c>
      <c r="F180" s="56" t="s">
        <v>338</v>
      </c>
      <c r="G180" s="73" t="n">
        <f aca="false">SUMIFS(DRE_por_UN!$F:$F,DRE_por_UN!$C:$C,$C180,DRE_por_UN!$E:$E,$E180)*VLOOKUP($D180,$A$25:$H$36,4,0)</f>
        <v>23050.3203</v>
      </c>
      <c r="H180" s="61" t="n">
        <f aca="false">VLOOKUP($D180,$A$25:$H$36,5,0)*(1+$B$5)^($A180-2025)*INDEX($B$40:$M$44,MATCH($E180,$A$40:$A$44,0),$B180)</f>
        <v>22087.908576</v>
      </c>
      <c r="I180" s="62" t="n">
        <f aca="false">IF(H180=0,0,G180/H180)</f>
        <v>1.04357188099944</v>
      </c>
      <c r="J180" s="61" t="n">
        <f aca="false">G180-H180</f>
        <v>962.411723999994</v>
      </c>
      <c r="K180" s="61" t="n">
        <f aca="false">SUMIFS($G$48:$G$479,$D$48:$D$479,$D180,$A$48:$A$479,$A180,$B$48:$B$479,"&lt;="&amp;$B180)</f>
        <v>23050.3203</v>
      </c>
      <c r="L180" s="61" t="n">
        <f aca="false">SUMIFS($H$48:$H$479,$D$48:$D$479,$D180,$A$48:$A$479,$A180,$B$48:$B$479,"&lt;="&amp;$B180)</f>
        <v>22087.908576</v>
      </c>
      <c r="M180" s="62" t="n">
        <f aca="false">IF(L180=0,0,K180/L180)</f>
        <v>1.04357188099944</v>
      </c>
    </row>
    <row r="181" customFormat="false" ht="15" hidden="false" customHeight="false" outlineLevel="0" collapsed="false">
      <c r="A181" s="56" t="n">
        <v>2027</v>
      </c>
      <c r="B181" s="56" t="n">
        <v>2</v>
      </c>
      <c r="C181" s="56" t="s">
        <v>173</v>
      </c>
      <c r="D181" s="56" t="s">
        <v>318</v>
      </c>
      <c r="E181" s="56" t="s">
        <v>142</v>
      </c>
      <c r="F181" s="56" t="s">
        <v>338</v>
      </c>
      <c r="G181" s="73" t="n">
        <f aca="false">SUMIFS(DRE_por_UN!$F:$F,DRE_por_UN!$C:$C,$C181,DRE_por_UN!$E:$E,$E181)*VLOOKUP($D181,$A$25:$H$36,4,0)</f>
        <v>17946.895575</v>
      </c>
      <c r="H181" s="61" t="n">
        <f aca="false">VLOOKUP($D181,$A$25:$H$36,5,0)*(1+$B$5)^($A181-2025)*INDEX($B$40:$M$44,MATCH($E181,$A$40:$A$44,0),$B181)</f>
        <v>21926.447256</v>
      </c>
      <c r="I181" s="62" t="n">
        <f aca="false">IF(H181=0,0,G181/H181)</f>
        <v>0.818504492107766</v>
      </c>
      <c r="J181" s="61" t="n">
        <f aca="false">G181-H181</f>
        <v>-3979.55168100001</v>
      </c>
      <c r="K181" s="61" t="n">
        <f aca="false">SUMIFS($G$48:$G$479,$D$48:$D$479,$D181,$A$48:$A$479,$A181,$B$48:$B$479,"&lt;="&amp;$B181)</f>
        <v>40997.215875</v>
      </c>
      <c r="L181" s="61" t="n">
        <f aca="false">SUMIFS($H$48:$H$479,$D$48:$D$479,$D181,$A$48:$A$479,$A181,$B$48:$B$479,"&lt;="&amp;$B181)</f>
        <v>44014.355832</v>
      </c>
      <c r="M181" s="62" t="n">
        <f aca="false">IF(L181=0,0,K181/L181)</f>
        <v>0.931451002747462</v>
      </c>
    </row>
    <row r="182" customFormat="false" ht="15" hidden="false" customHeight="false" outlineLevel="0" collapsed="false">
      <c r="A182" s="56" t="n">
        <v>2027</v>
      </c>
      <c r="B182" s="56" t="n">
        <v>3</v>
      </c>
      <c r="C182" s="56" t="s">
        <v>174</v>
      </c>
      <c r="D182" s="56" t="s">
        <v>318</v>
      </c>
      <c r="E182" s="56" t="s">
        <v>142</v>
      </c>
      <c r="F182" s="56" t="s">
        <v>338</v>
      </c>
      <c r="G182" s="73" t="n">
        <f aca="false">SUMIFS(DRE_por_UN!$F:$F,DRE_por_UN!$C:$C,$C182,DRE_por_UN!$E:$E,$E182)*VLOOKUP($D182,$A$25:$H$36,4,0)</f>
        <v>30001.3623</v>
      </c>
      <c r="H182" s="61" t="n">
        <f aca="false">VLOOKUP($D182,$A$25:$H$36,5,0)*(1+$B$5)^($A182-2025)*INDEX($B$40:$M$44,MATCH($E182,$A$40:$A$44,0),$B182)</f>
        <v>22023.324048</v>
      </c>
      <c r="I182" s="62" t="n">
        <f aca="false">IF(H182=0,0,G182/H182)</f>
        <v>1.36225404641969</v>
      </c>
      <c r="J182" s="61" t="n">
        <f aca="false">G182-H182</f>
        <v>7978.038252</v>
      </c>
      <c r="K182" s="61" t="n">
        <f aca="false">SUMIFS($G$48:$G$479,$D$48:$D$479,$D182,$A$48:$A$479,$A182,$B$48:$B$479,"&lt;="&amp;$B182)</f>
        <v>70998.578175</v>
      </c>
      <c r="L182" s="61" t="n">
        <f aca="false">SUMIFS($H$48:$H$479,$D$48:$D$479,$D182,$A$48:$A$479,$A182,$B$48:$B$479,"&lt;="&amp;$B182)</f>
        <v>66037.67988</v>
      </c>
      <c r="M182" s="62" t="n">
        <f aca="false">IF(L182=0,0,K182/L182)</f>
        <v>1.07512223784989</v>
      </c>
    </row>
    <row r="183" customFormat="false" ht="15" hidden="false" customHeight="false" outlineLevel="0" collapsed="false">
      <c r="A183" s="56" t="n">
        <v>2027</v>
      </c>
      <c r="B183" s="56" t="n">
        <v>4</v>
      </c>
      <c r="C183" s="56" t="s">
        <v>175</v>
      </c>
      <c r="D183" s="56" t="s">
        <v>318</v>
      </c>
      <c r="E183" s="56" t="s">
        <v>142</v>
      </c>
      <c r="F183" s="56" t="s">
        <v>338</v>
      </c>
      <c r="G183" s="73" t="n">
        <f aca="false">SUMIFS(DRE_por_UN!$F:$F,DRE_por_UN!$C:$C,$C183,DRE_por_UN!$E:$E,$E183)*VLOOKUP($D183,$A$25:$H$36,4,0)</f>
        <v>19841.3397</v>
      </c>
      <c r="H183" s="61" t="n">
        <f aca="false">VLOOKUP($D183,$A$25:$H$36,5,0)*(1+$B$5)^($A183-2025)*INDEX($B$40:$M$44,MATCH($E183,$A$40:$A$44,0),$B183)</f>
        <v>25833.8112</v>
      </c>
      <c r="I183" s="62" t="n">
        <f aca="false">IF(H183=0,0,G183/H183)</f>
        <v>0.768037652144798</v>
      </c>
      <c r="J183" s="61" t="n">
        <f aca="false">G183-H183</f>
        <v>-5992.47150000001</v>
      </c>
      <c r="K183" s="61" t="n">
        <f aca="false">SUMIFS($G$48:$G$479,$D$48:$D$479,$D183,$A$48:$A$479,$A183,$B$48:$B$479,"&lt;="&amp;$B183)</f>
        <v>90839.917875</v>
      </c>
      <c r="L183" s="61" t="n">
        <f aca="false">SUMIFS($H$48:$H$479,$D$48:$D$479,$D183,$A$48:$A$479,$A183,$B$48:$B$479,"&lt;="&amp;$B183)</f>
        <v>91871.49108</v>
      </c>
      <c r="M183" s="62" t="n">
        <f aca="false">IF(L183=0,0,K183/L183)</f>
        <v>0.988771563486417</v>
      </c>
    </row>
    <row r="184" customFormat="false" ht="15" hidden="false" customHeight="false" outlineLevel="0" collapsed="false">
      <c r="A184" s="56" t="n">
        <v>2027</v>
      </c>
      <c r="B184" s="56" t="n">
        <v>5</v>
      </c>
      <c r="C184" s="56" t="s">
        <v>176</v>
      </c>
      <c r="D184" s="56" t="s">
        <v>318</v>
      </c>
      <c r="E184" s="56" t="s">
        <v>142</v>
      </c>
      <c r="F184" s="56" t="s">
        <v>338</v>
      </c>
      <c r="G184" s="73" t="n">
        <f aca="false">SUMIFS(DRE_por_UN!$F:$F,DRE_por_UN!$C:$C,$C184,DRE_por_UN!$E:$E,$E184)*VLOOKUP($D184,$A$25:$H$36,4,0)</f>
        <v>28872.11565</v>
      </c>
      <c r="H184" s="61" t="n">
        <f aca="false">VLOOKUP($D184,$A$25:$H$36,5,0)*(1+$B$5)^($A184-2025)*INDEX($B$40:$M$44,MATCH($E184,$A$40:$A$44,0),$B184)</f>
        <v>24154.613472</v>
      </c>
      <c r="I184" s="62" t="n">
        <f aca="false">IF(H184=0,0,G184/H184)</f>
        <v>1.19530439530604</v>
      </c>
      <c r="J184" s="61" t="n">
        <f aca="false">G184-H184</f>
        <v>4717.50217799999</v>
      </c>
      <c r="K184" s="61" t="n">
        <f aca="false">SUMIFS($G$48:$G$479,$D$48:$D$479,$D184,$A$48:$A$479,$A184,$B$48:$B$479,"&lt;="&amp;$B184)</f>
        <v>119712.033525</v>
      </c>
      <c r="L184" s="61" t="n">
        <f aca="false">SUMIFS($H$48:$H$479,$D$48:$D$479,$D184,$A$48:$A$479,$A184,$B$48:$B$479,"&lt;="&amp;$B184)</f>
        <v>116026.104552</v>
      </c>
      <c r="M184" s="62" t="n">
        <f aca="false">IF(L184=0,0,K184/L184)</f>
        <v>1.03176810069796</v>
      </c>
    </row>
    <row r="185" customFormat="false" ht="15" hidden="false" customHeight="false" outlineLevel="0" collapsed="false">
      <c r="A185" s="56" t="n">
        <v>2027</v>
      </c>
      <c r="B185" s="56" t="n">
        <v>6</v>
      </c>
      <c r="C185" s="56" t="s">
        <v>177</v>
      </c>
      <c r="D185" s="56" t="s">
        <v>318</v>
      </c>
      <c r="E185" s="56" t="s">
        <v>142</v>
      </c>
      <c r="F185" s="56" t="s">
        <v>338</v>
      </c>
      <c r="G185" s="73" t="n">
        <f aca="false">SUMIFS(DRE_por_UN!$F:$F,DRE_por_UN!$C:$C,$C185,DRE_por_UN!$E:$E,$E185)*VLOOKUP($D185,$A$25:$H$36,4,0)</f>
        <v>27506.89725</v>
      </c>
      <c r="H185" s="61" t="n">
        <f aca="false">VLOOKUP($D185,$A$25:$H$36,5,0)*(1+$B$5)^($A185-2025)*INDEX($B$40:$M$44,MATCH($E185,$A$40:$A$44,0),$B185)</f>
        <v>33067.278336</v>
      </c>
      <c r="I185" s="62" t="n">
        <f aca="false">IF(H185=0,0,G185/H185)</f>
        <v>0.831846424447141</v>
      </c>
      <c r="J185" s="61" t="n">
        <f aca="false">G185-H185</f>
        <v>-5560.38108600001</v>
      </c>
      <c r="K185" s="61" t="n">
        <f aca="false">SUMIFS($G$48:$G$479,$D$48:$D$479,$D185,$A$48:$A$479,$A185,$B$48:$B$479,"&lt;="&amp;$B185)</f>
        <v>147218.930775</v>
      </c>
      <c r="L185" s="61" t="n">
        <f aca="false">SUMIFS($H$48:$H$479,$D$48:$D$479,$D185,$A$48:$A$479,$A185,$B$48:$B$479,"&lt;="&amp;$B185)</f>
        <v>149093.382888</v>
      </c>
      <c r="M185" s="62" t="n">
        <f aca="false">IF(L185=0,0,K185/L185)</f>
        <v>0.987427663946641</v>
      </c>
    </row>
    <row r="186" customFormat="false" ht="15" hidden="false" customHeight="false" outlineLevel="0" collapsed="false">
      <c r="A186" s="56" t="n">
        <v>2027</v>
      </c>
      <c r="B186" s="56" t="n">
        <v>7</v>
      </c>
      <c r="C186" s="56" t="s">
        <v>178</v>
      </c>
      <c r="D186" s="56" t="s">
        <v>318</v>
      </c>
      <c r="E186" s="56" t="s">
        <v>142</v>
      </c>
      <c r="F186" s="56" t="s">
        <v>338</v>
      </c>
      <c r="G186" s="73" t="n">
        <f aca="false">SUMIFS(DRE_por_UN!$F:$F,DRE_por_UN!$C:$C,$C186,DRE_por_UN!$E:$E,$E186)*VLOOKUP($D186,$A$25:$H$36,4,0)</f>
        <v>31462.641525</v>
      </c>
      <c r="H186" s="61" t="n">
        <f aca="false">VLOOKUP($D186,$A$25:$H$36,5,0)*(1+$B$5)^($A186-2025)*INDEX($B$40:$M$44,MATCH($E186,$A$40:$A$44,0),$B186)</f>
        <v>30677.6508</v>
      </c>
      <c r="I186" s="62" t="n">
        <f aca="false">IF(H186=0,0,G186/H186)</f>
        <v>1.02558835844758</v>
      </c>
      <c r="J186" s="61" t="n">
        <f aca="false">G186-H186</f>
        <v>784.990724999992</v>
      </c>
      <c r="K186" s="61" t="n">
        <f aca="false">SUMIFS($G$48:$G$479,$D$48:$D$479,$D186,$A$48:$A$479,$A186,$B$48:$B$479,"&lt;="&amp;$B186)</f>
        <v>178681.5723</v>
      </c>
      <c r="L186" s="61" t="n">
        <f aca="false">SUMIFS($H$48:$H$479,$D$48:$D$479,$D186,$A$48:$A$479,$A186,$B$48:$B$479,"&lt;="&amp;$B186)</f>
        <v>179771.033688</v>
      </c>
      <c r="M186" s="62" t="n">
        <f aca="false">IF(L186=0,0,K186/L186)</f>
        <v>0.993939727854651</v>
      </c>
    </row>
    <row r="187" customFormat="false" ht="15" hidden="false" customHeight="false" outlineLevel="0" collapsed="false">
      <c r="A187" s="56" t="n">
        <v>2027</v>
      </c>
      <c r="B187" s="56" t="n">
        <v>8</v>
      </c>
      <c r="C187" s="56" t="s">
        <v>179</v>
      </c>
      <c r="D187" s="56" t="s">
        <v>318</v>
      </c>
      <c r="E187" s="56" t="s">
        <v>142</v>
      </c>
      <c r="F187" s="56" t="s">
        <v>338</v>
      </c>
      <c r="G187" s="73" t="n">
        <f aca="false">SUMIFS(DRE_por_UN!$F:$F,DRE_por_UN!$C:$C,$C187,DRE_por_UN!$E:$E,$E187)*VLOOKUP($D187,$A$25:$H$36,4,0)</f>
        <v>27648.2598</v>
      </c>
      <c r="H187" s="61" t="n">
        <f aca="false">VLOOKUP($D187,$A$25:$H$36,5,0)*(1+$B$5)^($A187-2025)*INDEX($B$40:$M$44,MATCH($E187,$A$40:$A$44,0),$B187)</f>
        <v>26382.779688</v>
      </c>
      <c r="I187" s="62" t="n">
        <f aca="false">IF(H187=0,0,G187/H187)</f>
        <v>1.04796614029929</v>
      </c>
      <c r="J187" s="61" t="n">
        <f aca="false">G187-H187</f>
        <v>1265.48011199999</v>
      </c>
      <c r="K187" s="61" t="n">
        <f aca="false">SUMIFS($G$48:$G$479,$D$48:$D$479,$D187,$A$48:$A$479,$A187,$B$48:$B$479,"&lt;="&amp;$B187)</f>
        <v>206329.8321</v>
      </c>
      <c r="L187" s="61" t="n">
        <f aca="false">SUMIFS($H$48:$H$479,$D$48:$D$479,$D187,$A$48:$A$479,$A187,$B$48:$B$479,"&lt;="&amp;$B187)</f>
        <v>206153.813376</v>
      </c>
      <c r="M187" s="62" t="n">
        <f aca="false">IF(L187=0,0,K187/L187)</f>
        <v>1.00085382230441</v>
      </c>
    </row>
    <row r="188" customFormat="false" ht="15" hidden="false" customHeight="false" outlineLevel="0" collapsed="false">
      <c r="A188" s="56" t="n">
        <v>2027</v>
      </c>
      <c r="B188" s="56" t="n">
        <v>9</v>
      </c>
      <c r="C188" s="56" t="s">
        <v>180</v>
      </c>
      <c r="D188" s="56" t="s">
        <v>318</v>
      </c>
      <c r="E188" s="56" t="s">
        <v>142</v>
      </c>
      <c r="F188" s="56" t="s">
        <v>338</v>
      </c>
      <c r="G188" s="73" t="n">
        <f aca="false">SUMIFS(DRE_por_UN!$F:$F,DRE_por_UN!$C:$C,$C188,DRE_por_UN!$E:$E,$E188)*VLOOKUP($D188,$A$25:$H$36,4,0)</f>
        <v>33025.516125</v>
      </c>
      <c r="H188" s="61" t="n">
        <f aca="false">VLOOKUP($D188,$A$25:$H$36,5,0)*(1+$B$5)^($A188-2025)*INDEX($B$40:$M$44,MATCH($E188,$A$40:$A$44,0),$B188)</f>
        <v>24316.074792</v>
      </c>
      <c r="I188" s="62" t="n">
        <f aca="false">IF(H188=0,0,G188/H188)</f>
        <v>1.35817628492677</v>
      </c>
      <c r="J188" s="61" t="n">
        <f aca="false">G188-H188</f>
        <v>8709.441333</v>
      </c>
      <c r="K188" s="61" t="n">
        <f aca="false">SUMIFS($G$48:$G$479,$D$48:$D$479,$D188,$A$48:$A$479,$A188,$B$48:$B$479,"&lt;="&amp;$B188)</f>
        <v>239355.348225</v>
      </c>
      <c r="L188" s="61" t="n">
        <f aca="false">SUMIFS($H$48:$H$479,$D$48:$D$479,$D188,$A$48:$A$479,$A188,$B$48:$B$479,"&lt;="&amp;$B188)</f>
        <v>230469.888168</v>
      </c>
      <c r="M188" s="62" t="n">
        <f aca="false">IF(L188=0,0,K188/L188)</f>
        <v>1.03855367018933</v>
      </c>
    </row>
    <row r="189" customFormat="false" ht="15" hidden="false" customHeight="false" outlineLevel="0" collapsed="false">
      <c r="A189" s="56" t="n">
        <v>2027</v>
      </c>
      <c r="B189" s="56" t="n">
        <v>10</v>
      </c>
      <c r="C189" s="56" t="s">
        <v>181</v>
      </c>
      <c r="D189" s="56" t="s">
        <v>318</v>
      </c>
      <c r="E189" s="56" t="s">
        <v>142</v>
      </c>
      <c r="F189" s="56" t="s">
        <v>338</v>
      </c>
      <c r="G189" s="73" t="n">
        <f aca="false">SUMIFS(DRE_por_UN!$F:$F,DRE_por_UN!$C:$C,$C189,DRE_por_UN!$E:$E,$E189)*VLOOKUP($D189,$A$25:$H$36,4,0)</f>
        <v>21270.64275</v>
      </c>
      <c r="H189" s="61" t="n">
        <f aca="false">VLOOKUP($D189,$A$25:$H$36,5,0)*(1+$B$5)^($A189-2025)*INDEX($B$40:$M$44,MATCH($E189,$A$40:$A$44,0),$B189)</f>
        <v>24800.458752</v>
      </c>
      <c r="I189" s="62" t="n">
        <f aca="false">IF(H189=0,0,G189/H189)</f>
        <v>0.857671342401465</v>
      </c>
      <c r="J189" s="61" t="n">
        <f aca="false">G189-H189</f>
        <v>-3529.816002</v>
      </c>
      <c r="K189" s="61" t="n">
        <f aca="false">SUMIFS($G$48:$G$479,$D$48:$D$479,$D189,$A$48:$A$479,$A189,$B$48:$B$479,"&lt;="&amp;$B189)</f>
        <v>260625.990975</v>
      </c>
      <c r="L189" s="61" t="n">
        <f aca="false">SUMIFS($H$48:$H$479,$D$48:$D$479,$D189,$A$48:$A$479,$A189,$B$48:$B$479,"&lt;="&amp;$B189)</f>
        <v>255270.34692</v>
      </c>
      <c r="M189" s="62" t="n">
        <f aca="false">IF(L189=0,0,K189/L189)</f>
        <v>1.0209802827458</v>
      </c>
    </row>
    <row r="190" customFormat="false" ht="15" hidden="false" customHeight="false" outlineLevel="0" collapsed="false">
      <c r="A190" s="56" t="n">
        <v>2027</v>
      </c>
      <c r="B190" s="56" t="n">
        <v>11</v>
      </c>
      <c r="C190" s="56" t="s">
        <v>182</v>
      </c>
      <c r="D190" s="56" t="s">
        <v>318</v>
      </c>
      <c r="E190" s="56" t="s">
        <v>142</v>
      </c>
      <c r="F190" s="56" t="s">
        <v>338</v>
      </c>
      <c r="G190" s="73" t="n">
        <f aca="false">SUMIFS(DRE_por_UN!$F:$F,DRE_por_UN!$C:$C,$C190,DRE_por_UN!$E:$E,$E190)*VLOOKUP($D190,$A$25:$H$36,4,0)</f>
        <v>33736.180275</v>
      </c>
      <c r="H190" s="61" t="n">
        <f aca="false">VLOOKUP($D190,$A$25:$H$36,5,0)*(1+$B$5)^($A190-2025)*INDEX($B$40:$M$44,MATCH($E190,$A$40:$A$44,0),$B190)</f>
        <v>32001.633624</v>
      </c>
      <c r="I190" s="62" t="n">
        <f aca="false">IF(H190=0,0,G190/H190)</f>
        <v>1.0542018158004</v>
      </c>
      <c r="J190" s="61" t="n">
        <f aca="false">G190-H190</f>
        <v>1734.54665099999</v>
      </c>
      <c r="K190" s="61" t="n">
        <f aca="false">SUMIFS($G$48:$G$479,$D$48:$D$479,$D190,$A$48:$A$479,$A190,$B$48:$B$479,"&lt;="&amp;$B190)</f>
        <v>294362.17125</v>
      </c>
      <c r="L190" s="61" t="n">
        <f aca="false">SUMIFS($H$48:$H$479,$D$48:$D$479,$D190,$A$48:$A$479,$A190,$B$48:$B$479,"&lt;="&amp;$B190)</f>
        <v>287271.980544</v>
      </c>
      <c r="M190" s="62" t="n">
        <f aca="false">IF(L190=0,0,K190/L190)</f>
        <v>1.02468110775222</v>
      </c>
    </row>
    <row r="191" customFormat="false" ht="15" hidden="false" customHeight="false" outlineLevel="0" collapsed="false">
      <c r="A191" s="56" t="n">
        <v>2027</v>
      </c>
      <c r="B191" s="56" t="n">
        <v>12</v>
      </c>
      <c r="C191" s="56" t="s">
        <v>183</v>
      </c>
      <c r="D191" s="56" t="s">
        <v>318</v>
      </c>
      <c r="E191" s="56" t="s">
        <v>142</v>
      </c>
      <c r="F191" s="56" t="s">
        <v>338</v>
      </c>
      <c r="G191" s="73" t="n">
        <f aca="false">SUMIFS(DRE_por_UN!$F:$F,DRE_por_UN!$C:$C,$C191,DRE_por_UN!$E:$E,$E191)*VLOOKUP($D191,$A$25:$H$36,4,0)</f>
        <v>38276.532525</v>
      </c>
      <c r="H191" s="61" t="n">
        <f aca="false">VLOOKUP($D191,$A$25:$H$36,5,0)*(1+$B$5)^($A191-2025)*INDEX($B$40:$M$44,MATCH($E191,$A$40:$A$44,0),$B191)</f>
        <v>35618.367192</v>
      </c>
      <c r="I191" s="62" t="n">
        <f aca="false">IF(H191=0,0,G191/H191)</f>
        <v>1.07462906198567</v>
      </c>
      <c r="J191" s="61" t="n">
        <f aca="false">G191-H191</f>
        <v>2658.16533299999</v>
      </c>
      <c r="K191" s="61" t="n">
        <f aca="false">SUMIFS($G$48:$G$479,$D$48:$D$479,$D191,$A$48:$A$479,$A191,$B$48:$B$479,"&lt;="&amp;$B191)</f>
        <v>332638.703775</v>
      </c>
      <c r="L191" s="61" t="n">
        <f aca="false">SUMIFS($H$48:$H$479,$D$48:$D$479,$D191,$A$48:$A$479,$A191,$B$48:$B$479,"&lt;="&amp;$B191)</f>
        <v>322890.347736</v>
      </c>
      <c r="M191" s="62" t="n">
        <f aca="false">IF(L191=0,0,K191/L191)</f>
        <v>1.0301909180852</v>
      </c>
    </row>
    <row r="192" customFormat="false" ht="15" hidden="false" customHeight="false" outlineLevel="0" collapsed="false">
      <c r="A192" s="56" t="n">
        <v>2025</v>
      </c>
      <c r="B192" s="56" t="n">
        <v>1</v>
      </c>
      <c r="C192" s="56" t="s">
        <v>148</v>
      </c>
      <c r="D192" s="56" t="s">
        <v>319</v>
      </c>
      <c r="E192" s="56" t="s">
        <v>142</v>
      </c>
      <c r="F192" s="56" t="s">
        <v>337</v>
      </c>
      <c r="G192" s="73" t="n">
        <f aca="false">SUMIFS(DRE_por_UN!$F:$F,DRE_por_UN!$C:$C,$C192,DRE_por_UN!$E:$E,$E192)*VLOOKUP($D192,$A$25:$H$36,4,0)</f>
        <v>15601.0775</v>
      </c>
      <c r="H192" s="61" t="n">
        <f aca="false">VLOOKUP($D192,$A$25:$H$36,5,0)*(1+$B$5)^($A192-2025)*INDEX($B$40:$M$44,MATCH($E192,$A$40:$A$44,0),$B192)</f>
        <v>18721.08</v>
      </c>
      <c r="I192" s="62" t="n">
        <f aca="false">IF(H192=0,0,G192/H192)</f>
        <v>0.833342814623943</v>
      </c>
      <c r="J192" s="61" t="n">
        <f aca="false">G192-H192</f>
        <v>-3120.0025</v>
      </c>
      <c r="K192" s="61" t="n">
        <f aca="false">SUMIFS($G$48:$G$479,$D$48:$D$479,$D192,$A$48:$A$479,$A192,$B$48:$B$479,"&lt;="&amp;$B192)</f>
        <v>15601.0775</v>
      </c>
      <c r="L192" s="61" t="n">
        <f aca="false">SUMIFS($H$48:$H$479,$D$48:$D$479,$D192,$A$48:$A$479,$A192,$B$48:$B$479,"&lt;="&amp;$B192)</f>
        <v>18721.08</v>
      </c>
      <c r="M192" s="62" t="n">
        <f aca="false">IF(L192=0,0,K192/L192)</f>
        <v>0.833342814623943</v>
      </c>
    </row>
    <row r="193" customFormat="false" ht="15" hidden="false" customHeight="false" outlineLevel="0" collapsed="false">
      <c r="A193" s="56" t="n">
        <v>2025</v>
      </c>
      <c r="B193" s="56" t="n">
        <v>2</v>
      </c>
      <c r="C193" s="56" t="s">
        <v>149</v>
      </c>
      <c r="D193" s="56" t="s">
        <v>319</v>
      </c>
      <c r="E193" s="56" t="s">
        <v>142</v>
      </c>
      <c r="F193" s="56" t="s">
        <v>337</v>
      </c>
      <c r="G193" s="73" t="n">
        <f aca="false">SUMIFS(DRE_por_UN!$F:$F,DRE_por_UN!$C:$C,$C193,DRE_por_UN!$E:$E,$E193)*VLOOKUP($D193,$A$25:$H$36,4,0)</f>
        <v>15494.4775</v>
      </c>
      <c r="H193" s="61" t="n">
        <f aca="false">VLOOKUP($D193,$A$25:$H$36,5,0)*(1+$B$5)^($A193-2025)*INDEX($B$40:$M$44,MATCH($E193,$A$40:$A$44,0),$B193)</f>
        <v>18584.23</v>
      </c>
      <c r="I193" s="62" t="n">
        <f aca="false">IF(H193=0,0,G193/H193)</f>
        <v>0.833743313551328</v>
      </c>
      <c r="J193" s="61" t="n">
        <f aca="false">G193-H193</f>
        <v>-3089.7525</v>
      </c>
      <c r="K193" s="61" t="n">
        <f aca="false">SUMIFS($G$48:$G$479,$D$48:$D$479,$D193,$A$48:$A$479,$A193,$B$48:$B$479,"&lt;="&amp;$B193)</f>
        <v>31095.555</v>
      </c>
      <c r="L193" s="61" t="n">
        <f aca="false">SUMIFS($H$48:$H$479,$D$48:$D$479,$D193,$A$48:$A$479,$A193,$B$48:$B$479,"&lt;="&amp;$B193)</f>
        <v>37305.31</v>
      </c>
      <c r="M193" s="62" t="n">
        <f aca="false">IF(L193=0,0,K193/L193)</f>
        <v>0.833542329496793</v>
      </c>
    </row>
    <row r="194" customFormat="false" ht="15" hidden="false" customHeight="false" outlineLevel="0" collapsed="false">
      <c r="A194" s="56" t="n">
        <v>2025</v>
      </c>
      <c r="B194" s="56" t="n">
        <v>3</v>
      </c>
      <c r="C194" s="56" t="s">
        <v>150</v>
      </c>
      <c r="D194" s="56" t="s">
        <v>319</v>
      </c>
      <c r="E194" s="56" t="s">
        <v>142</v>
      </c>
      <c r="F194" s="56" t="s">
        <v>337</v>
      </c>
      <c r="G194" s="73" t="n">
        <f aca="false">SUMIFS(DRE_por_UN!$F:$F,DRE_por_UN!$C:$C,$C194,DRE_por_UN!$E:$E,$E194)*VLOOKUP($D194,$A$25:$H$36,4,0)</f>
        <v>15558.0325</v>
      </c>
      <c r="H194" s="61" t="n">
        <f aca="false">VLOOKUP($D194,$A$25:$H$36,5,0)*(1+$B$5)^($A194-2025)*INDEX($B$40:$M$44,MATCH($E194,$A$40:$A$44,0),$B194)</f>
        <v>18666.34</v>
      </c>
      <c r="I194" s="62" t="n">
        <f aca="false">IF(H194=0,0,G194/H194)</f>
        <v>0.833480612696437</v>
      </c>
      <c r="J194" s="61" t="n">
        <f aca="false">G194-H194</f>
        <v>-3108.3075</v>
      </c>
      <c r="K194" s="61" t="n">
        <f aca="false">SUMIFS($G$48:$G$479,$D$48:$D$479,$D194,$A$48:$A$479,$A194,$B$48:$B$479,"&lt;="&amp;$B194)</f>
        <v>46653.5875</v>
      </c>
      <c r="L194" s="61" t="n">
        <f aca="false">SUMIFS($H$48:$H$479,$D$48:$D$479,$D194,$A$48:$A$479,$A194,$B$48:$B$479,"&lt;="&amp;$B194)</f>
        <v>55971.65</v>
      </c>
      <c r="M194" s="62" t="n">
        <f aca="false">IF(L194=0,0,K194/L194)</f>
        <v>0.833521747170219</v>
      </c>
    </row>
    <row r="195" customFormat="false" ht="15" hidden="false" customHeight="false" outlineLevel="0" collapsed="false">
      <c r="A195" s="56" t="n">
        <v>2025</v>
      </c>
      <c r="B195" s="56" t="n">
        <v>4</v>
      </c>
      <c r="C195" s="56" t="s">
        <v>151</v>
      </c>
      <c r="D195" s="56" t="s">
        <v>319</v>
      </c>
      <c r="E195" s="56" t="s">
        <v>142</v>
      </c>
      <c r="F195" s="56" t="s">
        <v>337</v>
      </c>
      <c r="G195" s="73" t="n">
        <f aca="false">SUMIFS(DRE_por_UN!$F:$F,DRE_por_UN!$C:$C,$C195,DRE_por_UN!$E:$E,$E195)*VLOOKUP($D195,$A$25:$H$36,4,0)</f>
        <v>18254.845</v>
      </c>
      <c r="H195" s="61" t="n">
        <f aca="false">VLOOKUP($D195,$A$25:$H$36,5,0)*(1+$B$5)^($A195-2025)*INDEX($B$40:$M$44,MATCH($E195,$A$40:$A$44,0),$B195)</f>
        <v>21896</v>
      </c>
      <c r="I195" s="62" t="n">
        <f aca="false">IF(H195=0,0,G195/H195)</f>
        <v>0.833706841432225</v>
      </c>
      <c r="J195" s="61" t="n">
        <f aca="false">G195-H195</f>
        <v>-3641.155</v>
      </c>
      <c r="K195" s="61" t="n">
        <f aca="false">SUMIFS($G$48:$G$479,$D$48:$D$479,$D195,$A$48:$A$479,$A195,$B$48:$B$479,"&lt;="&amp;$B195)</f>
        <v>64908.4325</v>
      </c>
      <c r="L195" s="61" t="n">
        <f aca="false">SUMIFS($H$48:$H$479,$D$48:$D$479,$D195,$A$48:$A$479,$A195,$B$48:$B$479,"&lt;="&amp;$B195)</f>
        <v>77867.65</v>
      </c>
      <c r="M195" s="62" t="n">
        <f aca="false">IF(L195=0,0,K195/L195)</f>
        <v>0.833573794765863</v>
      </c>
    </row>
    <row r="196" customFormat="false" ht="15" hidden="false" customHeight="false" outlineLevel="0" collapsed="false">
      <c r="A196" s="56" t="n">
        <v>2025</v>
      </c>
      <c r="B196" s="56" t="n">
        <v>5</v>
      </c>
      <c r="C196" s="56" t="s">
        <v>152</v>
      </c>
      <c r="D196" s="56" t="s">
        <v>319</v>
      </c>
      <c r="E196" s="56" t="s">
        <v>142</v>
      </c>
      <c r="F196" s="56" t="s">
        <v>337</v>
      </c>
      <c r="G196" s="73" t="n">
        <f aca="false">SUMIFS(DRE_por_UN!$F:$F,DRE_por_UN!$C:$C,$C196,DRE_por_UN!$E:$E,$E196)*VLOOKUP($D196,$A$25:$H$36,4,0)</f>
        <v>17052.4425</v>
      </c>
      <c r="H196" s="61" t="n">
        <f aca="false">VLOOKUP($D196,$A$25:$H$36,5,0)*(1+$B$5)^($A196-2025)*INDEX($B$40:$M$44,MATCH($E196,$A$40:$A$44,0),$B196)</f>
        <v>20472.76</v>
      </c>
      <c r="I196" s="62" t="n">
        <f aca="false">IF(H196=0,0,G196/H196)</f>
        <v>0.832933248863368</v>
      </c>
      <c r="J196" s="61" t="n">
        <f aca="false">G196-H196</f>
        <v>-3420.3175</v>
      </c>
      <c r="K196" s="61" t="n">
        <f aca="false">SUMIFS($G$48:$G$479,$D$48:$D$479,$D196,$A$48:$A$479,$A196,$B$48:$B$479,"&lt;="&amp;$B196)</f>
        <v>81960.875</v>
      </c>
      <c r="L196" s="61" t="n">
        <f aca="false">SUMIFS($H$48:$H$479,$D$48:$D$479,$D196,$A$48:$A$479,$A196,$B$48:$B$479,"&lt;="&amp;$B196)</f>
        <v>98340.41</v>
      </c>
      <c r="M196" s="62" t="n">
        <f aca="false">IF(L196=0,0,K196/L196)</f>
        <v>0.833440444269045</v>
      </c>
    </row>
    <row r="197" customFormat="false" ht="15" hidden="false" customHeight="false" outlineLevel="0" collapsed="false">
      <c r="A197" s="56" t="n">
        <v>2025</v>
      </c>
      <c r="B197" s="56" t="n">
        <v>6</v>
      </c>
      <c r="C197" s="56" t="s">
        <v>153</v>
      </c>
      <c r="D197" s="56" t="s">
        <v>319</v>
      </c>
      <c r="E197" s="56" t="s">
        <v>142</v>
      </c>
      <c r="F197" s="56" t="s">
        <v>337</v>
      </c>
      <c r="G197" s="73" t="n">
        <f aca="false">SUMIFS(DRE_por_UN!$F:$F,DRE_por_UN!$C:$C,$C197,DRE_por_UN!$E:$E,$E197)*VLOOKUP($D197,$A$25:$H$36,4,0)</f>
        <v>23360.7525</v>
      </c>
      <c r="H197" s="61" t="n">
        <f aca="false">VLOOKUP($D197,$A$25:$H$36,5,0)*(1+$B$5)^($A197-2025)*INDEX($B$40:$M$44,MATCH($E197,$A$40:$A$44,0),$B197)</f>
        <v>28026.88</v>
      </c>
      <c r="I197" s="62" t="n">
        <f aca="false">IF(H197=0,0,G197/H197)</f>
        <v>0.833512417365044</v>
      </c>
      <c r="J197" s="61" t="n">
        <f aca="false">G197-H197</f>
        <v>-4666.1275</v>
      </c>
      <c r="K197" s="61" t="n">
        <f aca="false">SUMIFS($G$48:$G$479,$D$48:$D$479,$D197,$A$48:$A$479,$A197,$B$48:$B$479,"&lt;="&amp;$B197)</f>
        <v>105321.6275</v>
      </c>
      <c r="L197" s="61" t="n">
        <f aca="false">SUMIFS($H$48:$H$479,$D$48:$D$479,$D197,$A$48:$A$479,$A197,$B$48:$B$479,"&lt;="&amp;$B197)</f>
        <v>126367.29</v>
      </c>
      <c r="M197" s="62" t="n">
        <f aca="false">IF(L197=0,0,K197/L197)</f>
        <v>0.833456407112948</v>
      </c>
    </row>
    <row r="198" customFormat="false" ht="15" hidden="false" customHeight="false" outlineLevel="0" collapsed="false">
      <c r="A198" s="56" t="n">
        <v>2025</v>
      </c>
      <c r="B198" s="56" t="n">
        <v>7</v>
      </c>
      <c r="C198" s="56" t="s">
        <v>154</v>
      </c>
      <c r="D198" s="56" t="s">
        <v>319</v>
      </c>
      <c r="E198" s="56" t="s">
        <v>142</v>
      </c>
      <c r="F198" s="56" t="s">
        <v>337</v>
      </c>
      <c r="G198" s="73" t="n">
        <f aca="false">SUMIFS(DRE_por_UN!$F:$F,DRE_por_UN!$C:$C,$C198,DRE_por_UN!$E:$E,$E198)*VLOOKUP($D198,$A$25:$H$36,4,0)</f>
        <v>21670.81</v>
      </c>
      <c r="H198" s="61" t="n">
        <f aca="false">VLOOKUP($D198,$A$25:$H$36,5,0)*(1+$B$5)^($A198-2025)*INDEX($B$40:$M$44,MATCH($E198,$A$40:$A$44,0),$B198)</f>
        <v>26001.5</v>
      </c>
      <c r="I198" s="62" t="n">
        <f aca="false">IF(H198=0,0,G198/H198)</f>
        <v>0.833444608964868</v>
      </c>
      <c r="J198" s="61" t="n">
        <f aca="false">G198-H198</f>
        <v>-4330.69</v>
      </c>
      <c r="K198" s="61" t="n">
        <f aca="false">SUMIFS($G$48:$G$479,$D$48:$D$479,$D198,$A$48:$A$479,$A198,$B$48:$B$479,"&lt;="&amp;$B198)</f>
        <v>126992.4375</v>
      </c>
      <c r="L198" s="61" t="n">
        <f aca="false">SUMIFS($H$48:$H$479,$D$48:$D$479,$D198,$A$48:$A$479,$A198,$B$48:$B$479,"&lt;="&amp;$B198)</f>
        <v>152368.79</v>
      </c>
      <c r="M198" s="62" t="n">
        <f aca="false">IF(L198=0,0,K198/L198)</f>
        <v>0.833454393777098</v>
      </c>
    </row>
    <row r="199" customFormat="false" ht="15" hidden="false" customHeight="false" outlineLevel="0" collapsed="false">
      <c r="A199" s="56" t="n">
        <v>2025</v>
      </c>
      <c r="B199" s="56" t="n">
        <v>8</v>
      </c>
      <c r="C199" s="56" t="s">
        <v>155</v>
      </c>
      <c r="D199" s="56" t="s">
        <v>319</v>
      </c>
      <c r="E199" s="56" t="s">
        <v>142</v>
      </c>
      <c r="F199" s="56" t="s">
        <v>337</v>
      </c>
      <c r="G199" s="73" t="n">
        <f aca="false">SUMIFS(DRE_por_UN!$F:$F,DRE_por_UN!$C:$C,$C199,DRE_por_UN!$E:$E,$E199)*VLOOKUP($D199,$A$25:$H$36,4,0)</f>
        <v>18640.345</v>
      </c>
      <c r="H199" s="61" t="n">
        <f aca="false">VLOOKUP($D199,$A$25:$H$36,5,0)*(1+$B$5)^($A199-2025)*INDEX($B$40:$M$44,MATCH($E199,$A$40:$A$44,0),$B199)</f>
        <v>22361.29</v>
      </c>
      <c r="I199" s="62" t="n">
        <f aca="false">IF(H199=0,0,G199/H199)</f>
        <v>0.833598821892655</v>
      </c>
      <c r="J199" s="61" t="n">
        <f aca="false">G199-H199</f>
        <v>-3720.945</v>
      </c>
      <c r="K199" s="61" t="n">
        <f aca="false">SUMIFS($G$48:$G$479,$D$48:$D$479,$D199,$A$48:$A$479,$A199,$B$48:$B$479,"&lt;="&amp;$B199)</f>
        <v>145632.7825</v>
      </c>
      <c r="L199" s="61" t="n">
        <f aca="false">SUMIFS($H$48:$H$479,$D$48:$D$479,$D199,$A$48:$A$479,$A199,$B$48:$B$479,"&lt;="&amp;$B199)</f>
        <v>174730.08</v>
      </c>
      <c r="M199" s="62" t="n">
        <f aca="false">IF(L199=0,0,K199/L199)</f>
        <v>0.833472877137125</v>
      </c>
    </row>
    <row r="200" customFormat="false" ht="15" hidden="false" customHeight="false" outlineLevel="0" collapsed="false">
      <c r="A200" s="56" t="n">
        <v>2025</v>
      </c>
      <c r="B200" s="56" t="n">
        <v>9</v>
      </c>
      <c r="C200" s="56" t="s">
        <v>156</v>
      </c>
      <c r="D200" s="56" t="s">
        <v>319</v>
      </c>
      <c r="E200" s="56" t="s">
        <v>142</v>
      </c>
      <c r="F200" s="56" t="s">
        <v>337</v>
      </c>
      <c r="G200" s="73" t="n">
        <f aca="false">SUMIFS(DRE_por_UN!$F:$F,DRE_por_UN!$C:$C,$C200,DRE_por_UN!$E:$E,$E200)*VLOOKUP($D200,$A$25:$H$36,4,0)</f>
        <v>17184.885</v>
      </c>
      <c r="H200" s="61" t="n">
        <f aca="false">VLOOKUP($D200,$A$25:$H$36,5,0)*(1+$B$5)^($A200-2025)*INDEX($B$40:$M$44,MATCH($E200,$A$40:$A$44,0),$B200)</f>
        <v>20609.61</v>
      </c>
      <c r="I200" s="62" t="n">
        <f aca="false">IF(H200=0,0,G200/H200)</f>
        <v>0.833828733294808</v>
      </c>
      <c r="J200" s="61" t="n">
        <f aca="false">G200-H200</f>
        <v>-3424.725</v>
      </c>
      <c r="K200" s="61" t="n">
        <f aca="false">SUMIFS($G$48:$G$479,$D$48:$D$479,$D200,$A$48:$A$479,$A200,$B$48:$B$479,"&lt;="&amp;$B200)</f>
        <v>162817.6675</v>
      </c>
      <c r="L200" s="61" t="n">
        <f aca="false">SUMIFS($H$48:$H$479,$D$48:$D$479,$D200,$A$48:$A$479,$A200,$B$48:$B$479,"&lt;="&amp;$B200)</f>
        <v>195339.69</v>
      </c>
      <c r="M200" s="62" t="n">
        <f aca="false">IF(L200=0,0,K200/L200)</f>
        <v>0.833510422280285</v>
      </c>
    </row>
    <row r="201" customFormat="false" ht="15" hidden="false" customHeight="false" outlineLevel="0" collapsed="false">
      <c r="A201" s="56" t="n">
        <v>2025</v>
      </c>
      <c r="B201" s="56" t="n">
        <v>10</v>
      </c>
      <c r="C201" s="56" t="s">
        <v>157</v>
      </c>
      <c r="D201" s="56" t="s">
        <v>319</v>
      </c>
      <c r="E201" s="56" t="s">
        <v>142</v>
      </c>
      <c r="F201" s="56" t="s">
        <v>337</v>
      </c>
      <c r="G201" s="73" t="n">
        <f aca="false">SUMIFS(DRE_por_UN!$F:$F,DRE_por_UN!$C:$C,$C201,DRE_por_UN!$E:$E,$E201)*VLOOKUP($D201,$A$25:$H$36,4,0)</f>
        <v>17510.6925</v>
      </c>
      <c r="H201" s="61" t="n">
        <f aca="false">VLOOKUP($D201,$A$25:$H$36,5,0)*(1+$B$5)^($A201-2025)*INDEX($B$40:$M$44,MATCH($E201,$A$40:$A$44,0),$B201)</f>
        <v>21020.16</v>
      </c>
      <c r="I201" s="62" t="n">
        <f aca="false">IF(H201=0,0,G201/H201)</f>
        <v>0.833042778932225</v>
      </c>
      <c r="J201" s="61" t="n">
        <f aca="false">G201-H201</f>
        <v>-3509.4675</v>
      </c>
      <c r="K201" s="61" t="n">
        <f aca="false">SUMIFS($G$48:$G$479,$D$48:$D$479,$D201,$A$48:$A$479,$A201,$B$48:$B$479,"&lt;="&amp;$B201)</f>
        <v>180328.36</v>
      </c>
      <c r="L201" s="61" t="n">
        <f aca="false">SUMIFS($H$48:$H$479,$D$48:$D$479,$D201,$A$48:$A$479,$A201,$B$48:$B$479,"&lt;="&amp;$B201)</f>
        <v>216359.85</v>
      </c>
      <c r="M201" s="62" t="n">
        <f aca="false">IF(L201=0,0,K201/L201)</f>
        <v>0.833464988998652</v>
      </c>
    </row>
    <row r="202" customFormat="false" ht="15" hidden="false" customHeight="false" outlineLevel="0" collapsed="false">
      <c r="A202" s="56" t="n">
        <v>2025</v>
      </c>
      <c r="B202" s="56" t="n">
        <v>11</v>
      </c>
      <c r="C202" s="56" t="s">
        <v>158</v>
      </c>
      <c r="D202" s="56" t="s">
        <v>319</v>
      </c>
      <c r="E202" s="56" t="s">
        <v>142</v>
      </c>
      <c r="F202" s="56" t="s">
        <v>337</v>
      </c>
      <c r="G202" s="73" t="n">
        <f aca="false">SUMIFS(DRE_por_UN!$F:$F,DRE_por_UN!$C:$C,$C202,DRE_por_UN!$E:$E,$E202)*VLOOKUP($D202,$A$25:$H$36,4,0)</f>
        <v>22592.63</v>
      </c>
      <c r="H202" s="61" t="n">
        <f aca="false">VLOOKUP($D202,$A$25:$H$36,5,0)*(1+$B$5)^($A202-2025)*INDEX($B$40:$M$44,MATCH($E202,$A$40:$A$44,0),$B202)</f>
        <v>27123.67</v>
      </c>
      <c r="I202" s="62" t="n">
        <f aca="false">IF(H202=0,0,G202/H202)</f>
        <v>0.832948859796628</v>
      </c>
      <c r="J202" s="61" t="n">
        <f aca="false">G202-H202</f>
        <v>-4531.04</v>
      </c>
      <c r="K202" s="61" t="n">
        <f aca="false">SUMIFS($G$48:$G$479,$D$48:$D$479,$D202,$A$48:$A$479,$A202,$B$48:$B$479,"&lt;="&amp;$B202)</f>
        <v>202920.99</v>
      </c>
      <c r="L202" s="61" t="n">
        <f aca="false">SUMIFS($H$48:$H$479,$D$48:$D$479,$D202,$A$48:$A$479,$A202,$B$48:$B$479,"&lt;="&amp;$B202)</f>
        <v>243483.52</v>
      </c>
      <c r="M202" s="62" t="n">
        <f aca="false">IF(L202=0,0,K202/L202)</f>
        <v>0.833407493041008</v>
      </c>
    </row>
    <row r="203" customFormat="false" ht="15" hidden="false" customHeight="false" outlineLevel="0" collapsed="false">
      <c r="A203" s="56" t="n">
        <v>2025</v>
      </c>
      <c r="B203" s="56" t="n">
        <v>12</v>
      </c>
      <c r="C203" s="56" t="s">
        <v>159</v>
      </c>
      <c r="D203" s="56" t="s">
        <v>319</v>
      </c>
      <c r="E203" s="56" t="s">
        <v>142</v>
      </c>
      <c r="F203" s="56" t="s">
        <v>337</v>
      </c>
      <c r="G203" s="73" t="n">
        <f aca="false">SUMIFS(DRE_por_UN!$F:$F,DRE_por_UN!$C:$C,$C203,DRE_por_UN!$E:$E,$E203)*VLOOKUP($D203,$A$25:$H$36,4,0)</f>
        <v>25165.5725</v>
      </c>
      <c r="H203" s="61" t="n">
        <f aca="false">VLOOKUP($D203,$A$25:$H$36,5,0)*(1+$B$5)^($A203-2025)*INDEX($B$40:$M$44,MATCH($E203,$A$40:$A$44,0),$B203)</f>
        <v>30189.11</v>
      </c>
      <c r="I203" s="62" t="n">
        <f aca="false">IF(H203=0,0,G203/H203)</f>
        <v>0.833597694665394</v>
      </c>
      <c r="J203" s="61" t="n">
        <f aca="false">G203-H203</f>
        <v>-5023.5375</v>
      </c>
      <c r="K203" s="61" t="n">
        <f aca="false">SUMIFS($G$48:$G$479,$D$48:$D$479,$D203,$A$48:$A$479,$A203,$B$48:$B$479,"&lt;="&amp;$B203)</f>
        <v>228086.5625</v>
      </c>
      <c r="L203" s="61" t="n">
        <f aca="false">SUMIFS($H$48:$H$479,$D$48:$D$479,$D203,$A$48:$A$479,$A203,$B$48:$B$479,"&lt;="&amp;$B203)</f>
        <v>273672.63</v>
      </c>
      <c r="M203" s="62" t="n">
        <f aca="false">IF(L203=0,0,K203/L203)</f>
        <v>0.833428474378311</v>
      </c>
    </row>
    <row r="204" customFormat="false" ht="15" hidden="false" customHeight="false" outlineLevel="0" collapsed="false">
      <c r="A204" s="56" t="n">
        <v>2026</v>
      </c>
      <c r="B204" s="56" t="n">
        <v>1</v>
      </c>
      <c r="C204" s="56" t="s">
        <v>160</v>
      </c>
      <c r="D204" s="56" t="s">
        <v>319</v>
      </c>
      <c r="E204" s="56" t="s">
        <v>142</v>
      </c>
      <c r="F204" s="56" t="s">
        <v>337</v>
      </c>
      <c r="G204" s="73" t="n">
        <f aca="false">SUMIFS(DRE_por_UN!$F:$F,DRE_por_UN!$C:$C,$C204,DRE_por_UN!$E:$E,$E204)*VLOOKUP($D204,$A$25:$H$36,4,0)</f>
        <v>15680.49</v>
      </c>
      <c r="H204" s="61" t="n">
        <f aca="false">VLOOKUP($D204,$A$25:$H$36,5,0)*(1+$B$5)^($A204-2025)*INDEX($B$40:$M$44,MATCH($E204,$A$40:$A$44,0),$B204)</f>
        <v>19844.3448</v>
      </c>
      <c r="I204" s="62" t="n">
        <f aca="false">IF(H204=0,0,G204/H204)</f>
        <v>0.790174236440399</v>
      </c>
      <c r="J204" s="61" t="n">
        <f aca="false">G204-H204</f>
        <v>-4163.8548</v>
      </c>
      <c r="K204" s="61" t="n">
        <f aca="false">SUMIFS($G$48:$G$479,$D$48:$D$479,$D204,$A$48:$A$479,$A204,$B$48:$B$479,"&lt;="&amp;$B204)</f>
        <v>15680.49</v>
      </c>
      <c r="L204" s="61" t="n">
        <f aca="false">SUMIFS($H$48:$H$479,$D$48:$D$479,$D204,$A$48:$A$479,$A204,$B$48:$B$479,"&lt;="&amp;$B204)</f>
        <v>19844.3448</v>
      </c>
      <c r="M204" s="62" t="n">
        <f aca="false">IF(L204=0,0,K204/L204)</f>
        <v>0.790174236440399</v>
      </c>
    </row>
    <row r="205" customFormat="false" ht="15" hidden="false" customHeight="false" outlineLevel="0" collapsed="false">
      <c r="A205" s="56" t="n">
        <v>2026</v>
      </c>
      <c r="B205" s="56" t="n">
        <v>2</v>
      </c>
      <c r="C205" s="56" t="s">
        <v>161</v>
      </c>
      <c r="D205" s="56" t="s">
        <v>319</v>
      </c>
      <c r="E205" s="56" t="s">
        <v>142</v>
      </c>
      <c r="F205" s="56" t="s">
        <v>337</v>
      </c>
      <c r="G205" s="73" t="n">
        <f aca="false">SUMIFS(DRE_por_UN!$F:$F,DRE_por_UN!$C:$C,$C205,DRE_por_UN!$E:$E,$E205)*VLOOKUP($D205,$A$25:$H$36,4,0)</f>
        <v>12208.7725</v>
      </c>
      <c r="H205" s="61" t="n">
        <f aca="false">VLOOKUP($D205,$A$25:$H$36,5,0)*(1+$B$5)^($A205-2025)*INDEX($B$40:$M$44,MATCH($E205,$A$40:$A$44,0),$B205)</f>
        <v>19699.2838</v>
      </c>
      <c r="I205" s="62" t="n">
        <f aca="false">IF(H205=0,0,G205/H205)</f>
        <v>0.619757176146678</v>
      </c>
      <c r="J205" s="61" t="n">
        <f aca="false">G205-H205</f>
        <v>-7490.5113</v>
      </c>
      <c r="K205" s="61" t="n">
        <f aca="false">SUMIFS($G$48:$G$479,$D$48:$D$479,$D205,$A$48:$A$479,$A205,$B$48:$B$479,"&lt;="&amp;$B205)</f>
        <v>27889.2625</v>
      </c>
      <c r="L205" s="61" t="n">
        <f aca="false">SUMIFS($H$48:$H$479,$D$48:$D$479,$D205,$A$48:$A$479,$A205,$B$48:$B$479,"&lt;="&amp;$B205)</f>
        <v>39543.6286</v>
      </c>
      <c r="M205" s="62" t="n">
        <f aca="false">IF(L205=0,0,K205/L205)</f>
        <v>0.705278283440079</v>
      </c>
    </row>
    <row r="206" customFormat="false" ht="15" hidden="false" customHeight="false" outlineLevel="0" collapsed="false">
      <c r="A206" s="56" t="n">
        <v>2026</v>
      </c>
      <c r="B206" s="56" t="n">
        <v>3</v>
      </c>
      <c r="C206" s="56" t="s">
        <v>162</v>
      </c>
      <c r="D206" s="56" t="s">
        <v>319</v>
      </c>
      <c r="E206" s="56" t="s">
        <v>142</v>
      </c>
      <c r="F206" s="56" t="s">
        <v>337</v>
      </c>
      <c r="G206" s="73" t="n">
        <f aca="false">SUMIFS(DRE_por_UN!$F:$F,DRE_por_UN!$C:$C,$C206,DRE_por_UN!$E:$E,$E206)*VLOOKUP($D206,$A$25:$H$36,4,0)</f>
        <v>20409.09</v>
      </c>
      <c r="H206" s="61" t="n">
        <f aca="false">VLOOKUP($D206,$A$25:$H$36,5,0)*(1+$B$5)^($A206-2025)*INDEX($B$40:$M$44,MATCH($E206,$A$40:$A$44,0),$B206)</f>
        <v>19786.3204</v>
      </c>
      <c r="I206" s="62" t="n">
        <f aca="false">IF(H206=0,0,G206/H206)</f>
        <v>1.03147475565998</v>
      </c>
      <c r="J206" s="61" t="n">
        <f aca="false">G206-H206</f>
        <v>622.7696</v>
      </c>
      <c r="K206" s="61" t="n">
        <f aca="false">SUMIFS($G$48:$G$479,$D$48:$D$479,$D206,$A$48:$A$479,$A206,$B$48:$B$479,"&lt;="&amp;$B206)</f>
        <v>48298.3525</v>
      </c>
      <c r="L206" s="61" t="n">
        <f aca="false">SUMIFS($H$48:$H$479,$D$48:$D$479,$D206,$A$48:$A$479,$A206,$B$48:$B$479,"&lt;="&amp;$B206)</f>
        <v>59329.949</v>
      </c>
      <c r="M206" s="62" t="n">
        <f aca="false">IF(L206=0,0,K206/L206)</f>
        <v>0.814063610605834</v>
      </c>
    </row>
    <row r="207" customFormat="false" ht="15" hidden="false" customHeight="false" outlineLevel="0" collapsed="false">
      <c r="A207" s="56" t="n">
        <v>2026</v>
      </c>
      <c r="B207" s="56" t="n">
        <v>4</v>
      </c>
      <c r="C207" s="56" t="s">
        <v>163</v>
      </c>
      <c r="D207" s="56" t="s">
        <v>319</v>
      </c>
      <c r="E207" s="56" t="s">
        <v>142</v>
      </c>
      <c r="F207" s="56" t="s">
        <v>337</v>
      </c>
      <c r="G207" s="73" t="n">
        <f aca="false">SUMIFS(DRE_por_UN!$F:$F,DRE_por_UN!$C:$C,$C207,DRE_por_UN!$E:$E,$E207)*VLOOKUP($D207,$A$25:$H$36,4,0)</f>
        <v>13497.51</v>
      </c>
      <c r="H207" s="61" t="n">
        <f aca="false">VLOOKUP($D207,$A$25:$H$36,5,0)*(1+$B$5)^($A207-2025)*INDEX($B$40:$M$44,MATCH($E207,$A$40:$A$44,0),$B207)</f>
        <v>23209.76</v>
      </c>
      <c r="I207" s="62" t="n">
        <f aca="false">IF(H207=0,0,G207/H207)</f>
        <v>0.58154457435148</v>
      </c>
      <c r="J207" s="61" t="n">
        <f aca="false">G207-H207</f>
        <v>-9712.25</v>
      </c>
      <c r="K207" s="61" t="n">
        <f aca="false">SUMIFS($G$48:$G$479,$D$48:$D$479,$D207,$A$48:$A$479,$A207,$B$48:$B$479,"&lt;="&amp;$B207)</f>
        <v>61795.8625</v>
      </c>
      <c r="L207" s="61" t="n">
        <f aca="false">SUMIFS($H$48:$H$479,$D$48:$D$479,$D207,$A$48:$A$479,$A207,$B$48:$B$479,"&lt;="&amp;$B207)</f>
        <v>82539.709</v>
      </c>
      <c r="M207" s="62" t="n">
        <f aca="false">IF(L207=0,0,K207/L207)</f>
        <v>0.748680401817264</v>
      </c>
    </row>
    <row r="208" customFormat="false" ht="15" hidden="false" customHeight="false" outlineLevel="0" collapsed="false">
      <c r="A208" s="56" t="n">
        <v>2026</v>
      </c>
      <c r="B208" s="56" t="n">
        <v>5</v>
      </c>
      <c r="C208" s="56" t="s">
        <v>164</v>
      </c>
      <c r="D208" s="56" t="s">
        <v>319</v>
      </c>
      <c r="E208" s="56" t="s">
        <v>142</v>
      </c>
      <c r="F208" s="56" t="s">
        <v>337</v>
      </c>
      <c r="G208" s="73" t="n">
        <f aca="false">SUMIFS(DRE_por_UN!$F:$F,DRE_por_UN!$C:$C,$C208,DRE_por_UN!$E:$E,$E208)*VLOOKUP($D208,$A$25:$H$36,4,0)</f>
        <v>19640.895</v>
      </c>
      <c r="H208" s="61" t="n">
        <f aca="false">VLOOKUP($D208,$A$25:$H$36,5,0)*(1+$B$5)^($A208-2025)*INDEX($B$40:$M$44,MATCH($E208,$A$40:$A$44,0),$B208)</f>
        <v>21701.1256</v>
      </c>
      <c r="I208" s="62" t="n">
        <f aca="false">IF(H208=0,0,G208/H208)</f>
        <v>0.90506342214802</v>
      </c>
      <c r="J208" s="61" t="n">
        <f aca="false">G208-H208</f>
        <v>-2060.2306</v>
      </c>
      <c r="K208" s="61" t="n">
        <f aca="false">SUMIFS($G$48:$G$479,$D$48:$D$479,$D208,$A$48:$A$479,$A208,$B$48:$B$479,"&lt;="&amp;$B208)</f>
        <v>81436.7575</v>
      </c>
      <c r="L208" s="61" t="n">
        <f aca="false">SUMIFS($H$48:$H$479,$D$48:$D$479,$D208,$A$48:$A$479,$A208,$B$48:$B$479,"&lt;="&amp;$B208)</f>
        <v>104240.8346</v>
      </c>
      <c r="M208" s="62" t="n">
        <f aca="false">IF(L208=0,0,K208/L208)</f>
        <v>0.781236622025281</v>
      </c>
    </row>
    <row r="209" customFormat="false" ht="15" hidden="false" customHeight="false" outlineLevel="0" collapsed="false">
      <c r="A209" s="56" t="n">
        <v>2026</v>
      </c>
      <c r="B209" s="56" t="n">
        <v>6</v>
      </c>
      <c r="C209" s="56" t="s">
        <v>165</v>
      </c>
      <c r="D209" s="56" t="s">
        <v>319</v>
      </c>
      <c r="E209" s="56" t="s">
        <v>142</v>
      </c>
      <c r="F209" s="56" t="s">
        <v>337</v>
      </c>
      <c r="G209" s="73" t="n">
        <f aca="false">SUMIFS(DRE_por_UN!$F:$F,DRE_por_UN!$C:$C,$C209,DRE_por_UN!$E:$E,$E209)*VLOOKUP($D209,$A$25:$H$36,4,0)</f>
        <v>18712.175</v>
      </c>
      <c r="H209" s="61" t="n">
        <f aca="false">VLOOKUP($D209,$A$25:$H$36,5,0)*(1+$B$5)^($A209-2025)*INDEX($B$40:$M$44,MATCH($E209,$A$40:$A$44,0),$B209)</f>
        <v>29708.4928</v>
      </c>
      <c r="I209" s="62" t="n">
        <f aca="false">IF(H209=0,0,G209/H209)</f>
        <v>0.629859452176584</v>
      </c>
      <c r="J209" s="61" t="n">
        <f aca="false">G209-H209</f>
        <v>-10996.3178</v>
      </c>
      <c r="K209" s="61" t="n">
        <f aca="false">SUMIFS($G$48:$G$479,$D$48:$D$479,$D209,$A$48:$A$479,$A209,$B$48:$B$479,"&lt;="&amp;$B209)</f>
        <v>100148.9325</v>
      </c>
      <c r="L209" s="61" t="n">
        <f aca="false">SUMIFS($H$48:$H$479,$D$48:$D$479,$D209,$A$48:$A$479,$A209,$B$48:$B$479,"&lt;="&amp;$B209)</f>
        <v>133949.3274</v>
      </c>
      <c r="M209" s="62" t="n">
        <f aca="false">IF(L209=0,0,K209/L209)</f>
        <v>0.747662824770556</v>
      </c>
    </row>
    <row r="210" customFormat="false" ht="15" hidden="false" customHeight="false" outlineLevel="0" collapsed="false">
      <c r="A210" s="56" t="n">
        <v>2026</v>
      </c>
      <c r="B210" s="56" t="n">
        <v>7</v>
      </c>
      <c r="C210" s="56" t="s">
        <v>166</v>
      </c>
      <c r="D210" s="56" t="s">
        <v>319</v>
      </c>
      <c r="E210" s="56" t="s">
        <v>142</v>
      </c>
      <c r="F210" s="56" t="s">
        <v>337</v>
      </c>
      <c r="G210" s="73" t="n">
        <f aca="false">SUMIFS(DRE_por_UN!$F:$F,DRE_por_UN!$C:$C,$C210,DRE_por_UN!$E:$E,$E210)*VLOOKUP($D210,$A$25:$H$36,4,0)</f>
        <v>21403.1575</v>
      </c>
      <c r="H210" s="61" t="n">
        <f aca="false">VLOOKUP($D210,$A$25:$H$36,5,0)*(1+$B$5)^($A210-2025)*INDEX($B$40:$M$44,MATCH($E210,$A$40:$A$44,0),$B210)</f>
        <v>27561.59</v>
      </c>
      <c r="I210" s="62" t="n">
        <f aca="false">IF(H210=0,0,G210/H210)</f>
        <v>0.776557430104722</v>
      </c>
      <c r="J210" s="61" t="n">
        <f aca="false">G210-H210</f>
        <v>-6158.4325</v>
      </c>
      <c r="K210" s="61" t="n">
        <f aca="false">SUMIFS($G$48:$G$479,$D$48:$D$479,$D210,$A$48:$A$479,$A210,$B$48:$B$479,"&lt;="&amp;$B210)</f>
        <v>121552.09</v>
      </c>
      <c r="L210" s="61" t="n">
        <f aca="false">SUMIFS($H$48:$H$479,$D$48:$D$479,$D210,$A$48:$A$479,$A210,$B$48:$B$479,"&lt;="&amp;$B210)</f>
        <v>161510.9174</v>
      </c>
      <c r="M210" s="62" t="n">
        <f aca="false">IF(L210=0,0,K210/L210)</f>
        <v>0.752593644793451</v>
      </c>
    </row>
    <row r="211" customFormat="false" ht="15" hidden="false" customHeight="false" outlineLevel="0" collapsed="false">
      <c r="A211" s="56" t="n">
        <v>2026</v>
      </c>
      <c r="B211" s="56" t="n">
        <v>8</v>
      </c>
      <c r="C211" s="56" t="s">
        <v>167</v>
      </c>
      <c r="D211" s="56" t="s">
        <v>319</v>
      </c>
      <c r="E211" s="56" t="s">
        <v>142</v>
      </c>
      <c r="F211" s="56" t="s">
        <v>337</v>
      </c>
      <c r="G211" s="73" t="n">
        <f aca="false">SUMIFS(DRE_por_UN!$F:$F,DRE_por_UN!$C:$C,$C211,DRE_por_UN!$E:$E,$E211)*VLOOKUP($D211,$A$25:$H$36,4,0)</f>
        <v>18808.34</v>
      </c>
      <c r="H211" s="61" t="n">
        <f aca="false">VLOOKUP($D211,$A$25:$H$36,5,0)*(1+$B$5)^($A211-2025)*INDEX($B$40:$M$44,MATCH($E211,$A$40:$A$44,0),$B211)</f>
        <v>23702.9674</v>
      </c>
      <c r="I211" s="62" t="n">
        <f aca="false">IF(H211=0,0,G211/H211)</f>
        <v>0.793501492138069</v>
      </c>
      <c r="J211" s="61" t="n">
        <f aca="false">G211-H211</f>
        <v>-4894.6274</v>
      </c>
      <c r="K211" s="61" t="n">
        <f aca="false">SUMIFS($G$48:$G$479,$D$48:$D$479,$D211,$A$48:$A$479,$A211,$B$48:$B$479,"&lt;="&amp;$B211)</f>
        <v>140360.43</v>
      </c>
      <c r="L211" s="61" t="n">
        <f aca="false">SUMIFS($H$48:$H$479,$D$48:$D$479,$D211,$A$48:$A$479,$A211,$B$48:$B$479,"&lt;="&amp;$B211)</f>
        <v>185213.8848</v>
      </c>
      <c r="M211" s="62" t="n">
        <f aca="false">IF(L211=0,0,K211/L211)</f>
        <v>0.757828875257197</v>
      </c>
    </row>
    <row r="212" customFormat="false" ht="15" hidden="false" customHeight="false" outlineLevel="0" collapsed="false">
      <c r="A212" s="56" t="n">
        <v>2026</v>
      </c>
      <c r="B212" s="56" t="n">
        <v>9</v>
      </c>
      <c r="C212" s="56" t="s">
        <v>168</v>
      </c>
      <c r="D212" s="56" t="s">
        <v>319</v>
      </c>
      <c r="E212" s="56" t="s">
        <v>142</v>
      </c>
      <c r="F212" s="56" t="s">
        <v>337</v>
      </c>
      <c r="G212" s="73" t="n">
        <f aca="false">SUMIFS(DRE_por_UN!$F:$F,DRE_por_UN!$C:$C,$C212,DRE_por_UN!$E:$E,$E212)*VLOOKUP($D212,$A$25:$H$36,4,0)</f>
        <v>22466.3375</v>
      </c>
      <c r="H212" s="61" t="n">
        <f aca="false">VLOOKUP($D212,$A$25:$H$36,5,0)*(1+$B$5)^($A212-2025)*INDEX($B$40:$M$44,MATCH($E212,$A$40:$A$44,0),$B212)</f>
        <v>21846.1866</v>
      </c>
      <c r="I212" s="62" t="n">
        <f aca="false">IF(H212=0,0,G212/H212)</f>
        <v>1.02838714652378</v>
      </c>
      <c r="J212" s="61" t="n">
        <f aca="false">G212-H212</f>
        <v>620.150900000001</v>
      </c>
      <c r="K212" s="61" t="n">
        <f aca="false">SUMIFS($G$48:$G$479,$D$48:$D$479,$D212,$A$48:$A$479,$A212,$B$48:$B$479,"&lt;="&amp;$B212)</f>
        <v>162826.7675</v>
      </c>
      <c r="L212" s="61" t="n">
        <f aca="false">SUMIFS($H$48:$H$479,$D$48:$D$479,$D212,$A$48:$A$479,$A212,$B$48:$B$479,"&lt;="&amp;$B212)</f>
        <v>207060.0714</v>
      </c>
      <c r="M212" s="62" t="n">
        <f aca="false">IF(L212=0,0,K212/L212)</f>
        <v>0.786374535655647</v>
      </c>
    </row>
    <row r="213" customFormat="false" ht="15" hidden="false" customHeight="false" outlineLevel="0" collapsed="false">
      <c r="A213" s="56" t="n">
        <v>2026</v>
      </c>
      <c r="B213" s="56" t="n">
        <v>10</v>
      </c>
      <c r="C213" s="56" t="s">
        <v>169</v>
      </c>
      <c r="D213" s="56" t="s">
        <v>319</v>
      </c>
      <c r="E213" s="56" t="s">
        <v>142</v>
      </c>
      <c r="F213" s="56" t="s">
        <v>337</v>
      </c>
      <c r="G213" s="73" t="n">
        <f aca="false">SUMIFS(DRE_por_UN!$F:$F,DRE_por_UN!$C:$C,$C213,DRE_por_UN!$E:$E,$E213)*VLOOKUP($D213,$A$25:$H$36,4,0)</f>
        <v>14469.825</v>
      </c>
      <c r="H213" s="61" t="n">
        <f aca="false">VLOOKUP($D213,$A$25:$H$36,5,0)*(1+$B$5)^($A213-2025)*INDEX($B$40:$M$44,MATCH($E213,$A$40:$A$44,0),$B213)</f>
        <v>22281.3696</v>
      </c>
      <c r="I213" s="62" t="n">
        <f aca="false">IF(H213=0,0,G213/H213)</f>
        <v>0.649413624914691</v>
      </c>
      <c r="J213" s="61" t="n">
        <f aca="false">G213-H213</f>
        <v>-7811.5446</v>
      </c>
      <c r="K213" s="61" t="n">
        <f aca="false">SUMIFS($G$48:$G$479,$D$48:$D$479,$D213,$A$48:$A$479,$A213,$B$48:$B$479,"&lt;="&amp;$B213)</f>
        <v>177296.5925</v>
      </c>
      <c r="L213" s="61" t="n">
        <f aca="false">SUMIFS($H$48:$H$479,$D$48:$D$479,$D213,$A$48:$A$479,$A213,$B$48:$B$479,"&lt;="&amp;$B213)</f>
        <v>229341.441</v>
      </c>
      <c r="M213" s="62" t="n">
        <f aca="false">IF(L213=0,0,K213/L213)</f>
        <v>0.773068276395804</v>
      </c>
    </row>
    <row r="214" customFormat="false" ht="15" hidden="false" customHeight="false" outlineLevel="0" collapsed="false">
      <c r="A214" s="56" t="n">
        <v>2026</v>
      </c>
      <c r="B214" s="56" t="n">
        <v>11</v>
      </c>
      <c r="C214" s="56" t="s">
        <v>170</v>
      </c>
      <c r="D214" s="56" t="s">
        <v>319</v>
      </c>
      <c r="E214" s="56" t="s">
        <v>142</v>
      </c>
      <c r="F214" s="56" t="s">
        <v>337</v>
      </c>
      <c r="G214" s="73" t="n">
        <f aca="false">SUMIFS(DRE_por_UN!$F:$F,DRE_por_UN!$C:$C,$C214,DRE_por_UN!$E:$E,$E214)*VLOOKUP($D214,$A$25:$H$36,4,0)</f>
        <v>22949.7825</v>
      </c>
      <c r="H214" s="61" t="n">
        <f aca="false">VLOOKUP($D214,$A$25:$H$36,5,0)*(1+$B$5)^($A214-2025)*INDEX($B$40:$M$44,MATCH($E214,$A$40:$A$44,0),$B214)</f>
        <v>28751.0902</v>
      </c>
      <c r="I214" s="62" t="n">
        <f aca="false">IF(H214=0,0,G214/H214)</f>
        <v>0.798223035730311</v>
      </c>
      <c r="J214" s="61" t="n">
        <f aca="false">G214-H214</f>
        <v>-5801.3077</v>
      </c>
      <c r="K214" s="61" t="n">
        <f aca="false">SUMIFS($G$48:$G$479,$D$48:$D$479,$D214,$A$48:$A$479,$A214,$B$48:$B$479,"&lt;="&amp;$B214)</f>
        <v>200246.375</v>
      </c>
      <c r="L214" s="61" t="n">
        <f aca="false">SUMIFS($H$48:$H$479,$D$48:$D$479,$D214,$A$48:$A$479,$A214,$B$48:$B$479,"&lt;="&amp;$B214)</f>
        <v>258092.5312</v>
      </c>
      <c r="M214" s="62" t="n">
        <f aca="false">IF(L214=0,0,K214/L214)</f>
        <v>0.775870475867533</v>
      </c>
    </row>
    <row r="215" customFormat="false" ht="15" hidden="false" customHeight="false" outlineLevel="0" collapsed="false">
      <c r="A215" s="56" t="n">
        <v>2026</v>
      </c>
      <c r="B215" s="56" t="n">
        <v>12</v>
      </c>
      <c r="C215" s="56" t="s">
        <v>171</v>
      </c>
      <c r="D215" s="56" t="s">
        <v>319</v>
      </c>
      <c r="E215" s="56" t="s">
        <v>142</v>
      </c>
      <c r="F215" s="56" t="s">
        <v>337</v>
      </c>
      <c r="G215" s="73" t="n">
        <f aca="false">SUMIFS(DRE_por_UN!$F:$F,DRE_por_UN!$C:$C,$C215,DRE_por_UN!$E:$E,$E215)*VLOOKUP($D215,$A$25:$H$36,4,0)</f>
        <v>26038.4575</v>
      </c>
      <c r="H215" s="61" t="n">
        <f aca="false">VLOOKUP($D215,$A$25:$H$36,5,0)*(1+$B$5)^($A215-2025)*INDEX($B$40:$M$44,MATCH($E215,$A$40:$A$44,0),$B215)</f>
        <v>32000.4566</v>
      </c>
      <c r="I215" s="62" t="n">
        <f aca="false">IF(H215=0,0,G215/H215)</f>
        <v>0.813690186533151</v>
      </c>
      <c r="J215" s="61" t="n">
        <f aca="false">G215-H215</f>
        <v>-5961.9991</v>
      </c>
      <c r="K215" s="61" t="n">
        <f aca="false">SUMIFS($G$48:$G$479,$D$48:$D$479,$D215,$A$48:$A$479,$A215,$B$48:$B$479,"&lt;="&amp;$B215)</f>
        <v>226284.8325</v>
      </c>
      <c r="L215" s="61" t="n">
        <f aca="false">SUMIFS($H$48:$H$479,$D$48:$D$479,$D215,$A$48:$A$479,$A215,$B$48:$B$479,"&lt;="&amp;$B215)</f>
        <v>290092.9878</v>
      </c>
      <c r="M215" s="62" t="n">
        <f aca="false">IF(L215=0,0,K215/L215)</f>
        <v>0.780042407147078</v>
      </c>
    </row>
    <row r="216" customFormat="false" ht="15" hidden="false" customHeight="false" outlineLevel="0" collapsed="false">
      <c r="A216" s="56" t="n">
        <v>2027</v>
      </c>
      <c r="B216" s="56" t="n">
        <v>1</v>
      </c>
      <c r="C216" s="56" t="s">
        <v>172</v>
      </c>
      <c r="D216" s="56" t="s">
        <v>319</v>
      </c>
      <c r="E216" s="56" t="s">
        <v>142</v>
      </c>
      <c r="F216" s="56" t="s">
        <v>337</v>
      </c>
      <c r="G216" s="73" t="n">
        <f aca="false">SUMIFS(DRE_por_UN!$F:$F,DRE_por_UN!$C:$C,$C216,DRE_por_UN!$E:$E,$E216)*VLOOKUP($D216,$A$25:$H$36,4,0)</f>
        <v>16464.5145</v>
      </c>
      <c r="H216" s="61" t="n">
        <f aca="false">VLOOKUP($D216,$A$25:$H$36,5,0)*(1+$B$5)^($A216-2025)*INDEX($B$40:$M$44,MATCH($E216,$A$40:$A$44,0),$B216)</f>
        <v>21035.005488</v>
      </c>
      <c r="I216" s="62" t="n">
        <f aca="false">IF(H216=0,0,G216/H216)</f>
        <v>0.782719762511716</v>
      </c>
      <c r="J216" s="61" t="n">
        <f aca="false">G216-H216</f>
        <v>-4570.49098800001</v>
      </c>
      <c r="K216" s="61" t="n">
        <f aca="false">SUMIFS($G$48:$G$479,$D$48:$D$479,$D216,$A$48:$A$479,$A216,$B$48:$B$479,"&lt;="&amp;$B216)</f>
        <v>16464.5145</v>
      </c>
      <c r="L216" s="61" t="n">
        <f aca="false">SUMIFS($H$48:$H$479,$D$48:$D$479,$D216,$A$48:$A$479,$A216,$B$48:$B$479,"&lt;="&amp;$B216)</f>
        <v>21035.005488</v>
      </c>
      <c r="M216" s="62" t="n">
        <f aca="false">IF(L216=0,0,K216/L216)</f>
        <v>0.782719762511716</v>
      </c>
    </row>
    <row r="217" customFormat="false" ht="15" hidden="false" customHeight="false" outlineLevel="0" collapsed="false">
      <c r="A217" s="56" t="n">
        <v>2027</v>
      </c>
      <c r="B217" s="56" t="n">
        <v>2</v>
      </c>
      <c r="C217" s="56" t="s">
        <v>173</v>
      </c>
      <c r="D217" s="56" t="s">
        <v>319</v>
      </c>
      <c r="E217" s="56" t="s">
        <v>142</v>
      </c>
      <c r="F217" s="56" t="s">
        <v>337</v>
      </c>
      <c r="G217" s="73" t="n">
        <f aca="false">SUMIFS(DRE_por_UN!$F:$F,DRE_por_UN!$C:$C,$C217,DRE_por_UN!$E:$E,$E217)*VLOOKUP($D217,$A$25:$H$36,4,0)</f>
        <v>12819.211125</v>
      </c>
      <c r="H217" s="61" t="n">
        <f aca="false">VLOOKUP($D217,$A$25:$H$36,5,0)*(1+$B$5)^($A217-2025)*INDEX($B$40:$M$44,MATCH($E217,$A$40:$A$44,0),$B217)</f>
        <v>20881.240828</v>
      </c>
      <c r="I217" s="62" t="n">
        <f aca="false">IF(H217=0,0,G217/H217)</f>
        <v>0.613910410333973</v>
      </c>
      <c r="J217" s="61" t="n">
        <f aca="false">G217-H217</f>
        <v>-8062.02970300001</v>
      </c>
      <c r="K217" s="61" t="n">
        <f aca="false">SUMIFS($G$48:$G$479,$D$48:$D$479,$D217,$A$48:$A$479,$A217,$B$48:$B$479,"&lt;="&amp;$B217)</f>
        <v>29283.725625</v>
      </c>
      <c r="L217" s="61" t="n">
        <f aca="false">SUMIFS($H$48:$H$479,$D$48:$D$479,$D217,$A$48:$A$479,$A217,$B$48:$B$479,"&lt;="&amp;$B217)</f>
        <v>41916.246316</v>
      </c>
      <c r="M217" s="62" t="n">
        <f aca="false">IF(L217=0,0,K217/L217)</f>
        <v>0.69862471472838</v>
      </c>
    </row>
    <row r="218" customFormat="false" ht="15" hidden="false" customHeight="false" outlineLevel="0" collapsed="false">
      <c r="A218" s="56" t="n">
        <v>2027</v>
      </c>
      <c r="B218" s="56" t="n">
        <v>3</v>
      </c>
      <c r="C218" s="56" t="s">
        <v>174</v>
      </c>
      <c r="D218" s="56" t="s">
        <v>319</v>
      </c>
      <c r="E218" s="56" t="s">
        <v>142</v>
      </c>
      <c r="F218" s="56" t="s">
        <v>337</v>
      </c>
      <c r="G218" s="73" t="n">
        <f aca="false">SUMIFS(DRE_por_UN!$F:$F,DRE_por_UN!$C:$C,$C218,DRE_por_UN!$E:$E,$E218)*VLOOKUP($D218,$A$25:$H$36,4,0)</f>
        <v>21429.5445</v>
      </c>
      <c r="H218" s="61" t="n">
        <f aca="false">VLOOKUP($D218,$A$25:$H$36,5,0)*(1+$B$5)^($A218-2025)*INDEX($B$40:$M$44,MATCH($E218,$A$40:$A$44,0),$B218)</f>
        <v>20973.499624</v>
      </c>
      <c r="I218" s="62" t="n">
        <f aca="false">IF(H218=0,0,G218/H218)</f>
        <v>1.02174386173866</v>
      </c>
      <c r="J218" s="61" t="n">
        <f aca="false">G218-H218</f>
        <v>456.044875999996</v>
      </c>
      <c r="K218" s="61" t="n">
        <f aca="false">SUMIFS($G$48:$G$479,$D$48:$D$479,$D218,$A$48:$A$479,$A218,$B$48:$B$479,"&lt;="&amp;$B218)</f>
        <v>50713.270125</v>
      </c>
      <c r="L218" s="61" t="n">
        <f aca="false">SUMIFS($H$48:$H$479,$D$48:$D$479,$D218,$A$48:$A$479,$A218,$B$48:$B$479,"&lt;="&amp;$B218)</f>
        <v>62889.74594</v>
      </c>
      <c r="M218" s="62" t="n">
        <f aca="false">IF(L218=0,0,K218/L218)</f>
        <v>0.80638376522276</v>
      </c>
    </row>
    <row r="219" customFormat="false" ht="15" hidden="false" customHeight="false" outlineLevel="0" collapsed="false">
      <c r="A219" s="56" t="n">
        <v>2027</v>
      </c>
      <c r="B219" s="56" t="n">
        <v>4</v>
      </c>
      <c r="C219" s="56" t="s">
        <v>175</v>
      </c>
      <c r="D219" s="56" t="s">
        <v>319</v>
      </c>
      <c r="E219" s="56" t="s">
        <v>142</v>
      </c>
      <c r="F219" s="56" t="s">
        <v>337</v>
      </c>
      <c r="G219" s="73" t="n">
        <f aca="false">SUMIFS(DRE_por_UN!$F:$F,DRE_por_UN!$C:$C,$C219,DRE_por_UN!$E:$E,$E219)*VLOOKUP($D219,$A$25:$H$36,4,0)</f>
        <v>14172.3855</v>
      </c>
      <c r="H219" s="61" t="n">
        <f aca="false">VLOOKUP($D219,$A$25:$H$36,5,0)*(1+$B$5)^($A219-2025)*INDEX($B$40:$M$44,MATCH($E219,$A$40:$A$44,0),$B219)</f>
        <v>24602.3456</v>
      </c>
      <c r="I219" s="62" t="n">
        <f aca="false">IF(H219=0,0,G219/H219)</f>
        <v>0.576058304782126</v>
      </c>
      <c r="J219" s="61" t="n">
        <f aca="false">G219-H219</f>
        <v>-10429.9601</v>
      </c>
      <c r="K219" s="61" t="n">
        <f aca="false">SUMIFS($G$48:$G$479,$D$48:$D$479,$D219,$A$48:$A$479,$A219,$B$48:$B$479,"&lt;="&amp;$B219)</f>
        <v>64885.655625</v>
      </c>
      <c r="L219" s="61" t="n">
        <f aca="false">SUMIFS($H$48:$H$479,$D$48:$D$479,$D219,$A$48:$A$479,$A219,$B$48:$B$479,"&lt;="&amp;$B219)</f>
        <v>87492.09154</v>
      </c>
      <c r="M219" s="62" t="n">
        <f aca="false">IF(L219=0,0,K219/L219)</f>
        <v>0.74161737915861</v>
      </c>
    </row>
    <row r="220" customFormat="false" ht="15" hidden="false" customHeight="false" outlineLevel="0" collapsed="false">
      <c r="A220" s="56" t="n">
        <v>2027</v>
      </c>
      <c r="B220" s="56" t="n">
        <v>5</v>
      </c>
      <c r="C220" s="56" t="s">
        <v>176</v>
      </c>
      <c r="D220" s="56" t="s">
        <v>319</v>
      </c>
      <c r="E220" s="56" t="s">
        <v>142</v>
      </c>
      <c r="F220" s="56" t="s">
        <v>337</v>
      </c>
      <c r="G220" s="73" t="n">
        <f aca="false">SUMIFS(DRE_por_UN!$F:$F,DRE_por_UN!$C:$C,$C220,DRE_por_UN!$E:$E,$E220)*VLOOKUP($D220,$A$25:$H$36,4,0)</f>
        <v>20622.93975</v>
      </c>
      <c r="H220" s="61" t="n">
        <f aca="false">VLOOKUP($D220,$A$25:$H$36,5,0)*(1+$B$5)^($A220-2025)*INDEX($B$40:$M$44,MATCH($E220,$A$40:$A$44,0),$B220)</f>
        <v>23003.193136</v>
      </c>
      <c r="I220" s="62" t="n">
        <f aca="false">IF(H220=0,0,G220/H220)</f>
        <v>0.896525087976812</v>
      </c>
      <c r="J220" s="61" t="n">
        <f aca="false">G220-H220</f>
        <v>-2380.253386</v>
      </c>
      <c r="K220" s="61" t="n">
        <f aca="false">SUMIFS($G$48:$G$479,$D$48:$D$479,$D220,$A$48:$A$479,$A220,$B$48:$B$479,"&lt;="&amp;$B220)</f>
        <v>85508.595375</v>
      </c>
      <c r="L220" s="61" t="n">
        <f aca="false">SUMIFS($H$48:$H$479,$D$48:$D$479,$D220,$A$48:$A$479,$A220,$B$48:$B$479,"&lt;="&amp;$B220)</f>
        <v>110495.284676</v>
      </c>
      <c r="M220" s="62" t="n">
        <f aca="false">IF(L220=0,0,K220/L220)</f>
        <v>0.773866465213721</v>
      </c>
    </row>
    <row r="221" customFormat="false" ht="15" hidden="false" customHeight="false" outlineLevel="0" collapsed="false">
      <c r="A221" s="56" t="n">
        <v>2027</v>
      </c>
      <c r="B221" s="56" t="n">
        <v>6</v>
      </c>
      <c r="C221" s="56" t="s">
        <v>177</v>
      </c>
      <c r="D221" s="56" t="s">
        <v>319</v>
      </c>
      <c r="E221" s="56" t="s">
        <v>142</v>
      </c>
      <c r="F221" s="56" t="s">
        <v>337</v>
      </c>
      <c r="G221" s="73" t="n">
        <f aca="false">SUMIFS(DRE_por_UN!$F:$F,DRE_por_UN!$C:$C,$C221,DRE_por_UN!$E:$E,$E221)*VLOOKUP($D221,$A$25:$H$36,4,0)</f>
        <v>19647.78375</v>
      </c>
      <c r="H221" s="61" t="n">
        <f aca="false">VLOOKUP($D221,$A$25:$H$36,5,0)*(1+$B$5)^($A221-2025)*INDEX($B$40:$M$44,MATCH($E221,$A$40:$A$44,0),$B221)</f>
        <v>31491.002368</v>
      </c>
      <c r="I221" s="62" t="n">
        <f aca="false">IF(H221=0,0,G221/H221)</f>
        <v>0.623917381873032</v>
      </c>
      <c r="J221" s="61" t="n">
        <f aca="false">G221-H221</f>
        <v>-11843.218618</v>
      </c>
      <c r="K221" s="61" t="n">
        <f aca="false">SUMIFS($G$48:$G$479,$D$48:$D$479,$D221,$A$48:$A$479,$A221,$B$48:$B$479,"&lt;="&amp;$B221)</f>
        <v>105156.379125</v>
      </c>
      <c r="L221" s="61" t="n">
        <f aca="false">SUMIFS($H$48:$H$479,$D$48:$D$479,$D221,$A$48:$A$479,$A221,$B$48:$B$479,"&lt;="&amp;$B221)</f>
        <v>141986.287044</v>
      </c>
      <c r="M221" s="62" t="n">
        <f aca="false">IF(L221=0,0,K221/L221)</f>
        <v>0.740609401895362</v>
      </c>
    </row>
    <row r="222" customFormat="false" ht="15" hidden="false" customHeight="false" outlineLevel="0" collapsed="false">
      <c r="A222" s="56" t="n">
        <v>2027</v>
      </c>
      <c r="B222" s="56" t="n">
        <v>7</v>
      </c>
      <c r="C222" s="56" t="s">
        <v>178</v>
      </c>
      <c r="D222" s="56" t="s">
        <v>319</v>
      </c>
      <c r="E222" s="56" t="s">
        <v>142</v>
      </c>
      <c r="F222" s="56" t="s">
        <v>337</v>
      </c>
      <c r="G222" s="73" t="n">
        <f aca="false">SUMIFS(DRE_por_UN!$F:$F,DRE_por_UN!$C:$C,$C222,DRE_por_UN!$E:$E,$E222)*VLOOKUP($D222,$A$25:$H$36,4,0)</f>
        <v>22473.315375</v>
      </c>
      <c r="H222" s="61" t="n">
        <f aca="false">VLOOKUP($D222,$A$25:$H$36,5,0)*(1+$B$5)^($A222-2025)*INDEX($B$40:$M$44,MATCH($E222,$A$40:$A$44,0),$B222)</f>
        <v>29215.2854</v>
      </c>
      <c r="I222" s="62" t="n">
        <f aca="false">IF(H222=0,0,G222/H222)</f>
        <v>0.769231416613168</v>
      </c>
      <c r="J222" s="61" t="n">
        <f aca="false">G222-H222</f>
        <v>-6741.97002500001</v>
      </c>
      <c r="K222" s="61" t="n">
        <f aca="false">SUMIFS($G$48:$G$479,$D$48:$D$479,$D222,$A$48:$A$479,$A222,$B$48:$B$479,"&lt;="&amp;$B222)</f>
        <v>127629.6945</v>
      </c>
      <c r="L222" s="61" t="n">
        <f aca="false">SUMIFS($H$48:$H$479,$D$48:$D$479,$D222,$A$48:$A$479,$A222,$B$48:$B$479,"&lt;="&amp;$B222)</f>
        <v>171201.572444</v>
      </c>
      <c r="M222" s="62" t="n">
        <f aca="false">IF(L222=0,0,K222/L222)</f>
        <v>0.74549370474823</v>
      </c>
    </row>
    <row r="223" customFormat="false" ht="15" hidden="false" customHeight="false" outlineLevel="0" collapsed="false">
      <c r="A223" s="56" t="n">
        <v>2027</v>
      </c>
      <c r="B223" s="56" t="n">
        <v>8</v>
      </c>
      <c r="C223" s="56" t="s">
        <v>179</v>
      </c>
      <c r="D223" s="56" t="s">
        <v>319</v>
      </c>
      <c r="E223" s="56" t="s">
        <v>142</v>
      </c>
      <c r="F223" s="56" t="s">
        <v>337</v>
      </c>
      <c r="G223" s="73" t="n">
        <f aca="false">SUMIFS(DRE_por_UN!$F:$F,DRE_por_UN!$C:$C,$C223,DRE_por_UN!$E:$E,$E223)*VLOOKUP($D223,$A$25:$H$36,4,0)</f>
        <v>19748.757</v>
      </c>
      <c r="H223" s="61" t="n">
        <f aca="false">VLOOKUP($D223,$A$25:$H$36,5,0)*(1+$B$5)^($A223-2025)*INDEX($B$40:$M$44,MATCH($E223,$A$40:$A$44,0),$B223)</f>
        <v>25125.145444</v>
      </c>
      <c r="I223" s="62" t="n">
        <f aca="false">IF(H223=0,0,G223/H223)</f>
        <v>0.786015629004691</v>
      </c>
      <c r="J223" s="61" t="n">
        <f aca="false">G223-H223</f>
        <v>-5376.388444</v>
      </c>
      <c r="K223" s="61" t="n">
        <f aca="false">SUMIFS($G$48:$G$479,$D$48:$D$479,$D223,$A$48:$A$479,$A223,$B$48:$B$479,"&lt;="&amp;$B223)</f>
        <v>147378.4515</v>
      </c>
      <c r="L223" s="61" t="n">
        <f aca="false">SUMIFS($H$48:$H$479,$D$48:$D$479,$D223,$A$48:$A$479,$A223,$B$48:$B$479,"&lt;="&amp;$B223)</f>
        <v>196326.717888</v>
      </c>
      <c r="M223" s="62" t="n">
        <f aca="false">IF(L223=0,0,K223/L223)</f>
        <v>0.750679546245336</v>
      </c>
    </row>
    <row r="224" customFormat="false" ht="15" hidden="false" customHeight="false" outlineLevel="0" collapsed="false">
      <c r="A224" s="56" t="n">
        <v>2027</v>
      </c>
      <c r="B224" s="56" t="n">
        <v>9</v>
      </c>
      <c r="C224" s="56" t="s">
        <v>180</v>
      </c>
      <c r="D224" s="56" t="s">
        <v>319</v>
      </c>
      <c r="E224" s="56" t="s">
        <v>142</v>
      </c>
      <c r="F224" s="56" t="s">
        <v>337</v>
      </c>
      <c r="G224" s="73" t="n">
        <f aca="false">SUMIFS(DRE_por_UN!$F:$F,DRE_por_UN!$C:$C,$C224,DRE_por_UN!$E:$E,$E224)*VLOOKUP($D224,$A$25:$H$36,4,0)</f>
        <v>23589.654375</v>
      </c>
      <c r="H224" s="61" t="n">
        <f aca="false">VLOOKUP($D224,$A$25:$H$36,5,0)*(1+$B$5)^($A224-2025)*INDEX($B$40:$M$44,MATCH($E224,$A$40:$A$44,0),$B224)</f>
        <v>23156.957796</v>
      </c>
      <c r="I224" s="62" t="n">
        <f aca="false">IF(H224=0,0,G224/H224)</f>
        <v>1.01868538099053</v>
      </c>
      <c r="J224" s="61" t="n">
        <f aca="false">G224-H224</f>
        <v>432.696578999996</v>
      </c>
      <c r="K224" s="61" t="n">
        <f aca="false">SUMIFS($G$48:$G$479,$D$48:$D$479,$D224,$A$48:$A$479,$A224,$B$48:$B$479,"&lt;="&amp;$B224)</f>
        <v>170968.105875</v>
      </c>
      <c r="L224" s="61" t="n">
        <f aca="false">SUMIFS($H$48:$H$479,$D$48:$D$479,$D224,$A$48:$A$479,$A224,$B$48:$B$479,"&lt;="&amp;$B224)</f>
        <v>219483.675684</v>
      </c>
      <c r="M224" s="62" t="n">
        <f aca="false">IF(L224=0,0,K224/L224)</f>
        <v>0.778955907960782</v>
      </c>
    </row>
    <row r="225" customFormat="false" ht="15" hidden="false" customHeight="false" outlineLevel="0" collapsed="false">
      <c r="A225" s="56" t="n">
        <v>2027</v>
      </c>
      <c r="B225" s="56" t="n">
        <v>10</v>
      </c>
      <c r="C225" s="56" t="s">
        <v>181</v>
      </c>
      <c r="D225" s="56" t="s">
        <v>319</v>
      </c>
      <c r="E225" s="56" t="s">
        <v>142</v>
      </c>
      <c r="F225" s="56" t="s">
        <v>337</v>
      </c>
      <c r="G225" s="73" t="n">
        <f aca="false">SUMIFS(DRE_por_UN!$F:$F,DRE_por_UN!$C:$C,$C225,DRE_por_UN!$E:$E,$E225)*VLOOKUP($D225,$A$25:$H$36,4,0)</f>
        <v>15193.31625</v>
      </c>
      <c r="H225" s="61" t="n">
        <f aca="false">VLOOKUP($D225,$A$25:$H$36,5,0)*(1+$B$5)^($A225-2025)*INDEX($B$40:$M$44,MATCH($E225,$A$40:$A$44,0),$B225)</f>
        <v>23618.251776</v>
      </c>
      <c r="I225" s="62" t="n">
        <f aca="false">IF(H225=0,0,G225/H225)</f>
        <v>0.64328708128342</v>
      </c>
      <c r="J225" s="61" t="n">
        <f aca="false">G225-H225</f>
        <v>-8424.935526</v>
      </c>
      <c r="K225" s="61" t="n">
        <f aca="false">SUMIFS($G$48:$G$479,$D$48:$D$479,$D225,$A$48:$A$479,$A225,$B$48:$B$479,"&lt;="&amp;$B225)</f>
        <v>186161.422125</v>
      </c>
      <c r="L225" s="61" t="n">
        <f aca="false">SUMIFS($H$48:$H$479,$D$48:$D$479,$D225,$A$48:$A$479,$A225,$B$48:$B$479,"&lt;="&amp;$B225)</f>
        <v>243101.92746</v>
      </c>
      <c r="M225" s="62" t="n">
        <f aca="false">IF(L225=0,0,K225/L225)</f>
        <v>0.765775179448674</v>
      </c>
    </row>
    <row r="226" customFormat="false" ht="15" hidden="false" customHeight="false" outlineLevel="0" collapsed="false">
      <c r="A226" s="56" t="n">
        <v>2027</v>
      </c>
      <c r="B226" s="56" t="n">
        <v>11</v>
      </c>
      <c r="C226" s="56" t="s">
        <v>182</v>
      </c>
      <c r="D226" s="56" t="s">
        <v>319</v>
      </c>
      <c r="E226" s="56" t="s">
        <v>142</v>
      </c>
      <c r="F226" s="56" t="s">
        <v>337</v>
      </c>
      <c r="G226" s="73" t="n">
        <f aca="false">SUMIFS(DRE_por_UN!$F:$F,DRE_por_UN!$C:$C,$C226,DRE_por_UN!$E:$E,$E226)*VLOOKUP($D226,$A$25:$H$36,4,0)</f>
        <v>24097.271625</v>
      </c>
      <c r="H226" s="61" t="n">
        <f aca="false">VLOOKUP($D226,$A$25:$H$36,5,0)*(1+$B$5)^($A226-2025)*INDEX($B$40:$M$44,MATCH($E226,$A$40:$A$44,0),$B226)</f>
        <v>30476.155612</v>
      </c>
      <c r="I226" s="62" t="n">
        <f aca="false">IF(H226=0,0,G226/H226)</f>
        <v>0.790692629732855</v>
      </c>
      <c r="J226" s="61" t="n">
        <f aca="false">G226-H226</f>
        <v>-6378.88398700001</v>
      </c>
      <c r="K226" s="61" t="n">
        <f aca="false">SUMIFS($G$48:$G$479,$D$48:$D$479,$D226,$A$48:$A$479,$A226,$B$48:$B$479,"&lt;="&amp;$B226)</f>
        <v>210258.69375</v>
      </c>
      <c r="L226" s="61" t="n">
        <f aca="false">SUMIFS($H$48:$H$479,$D$48:$D$479,$D226,$A$48:$A$479,$A226,$B$48:$B$479,"&lt;="&amp;$B226)</f>
        <v>273578.083072</v>
      </c>
      <c r="M226" s="62" t="n">
        <f aca="false">IF(L226=0,0,K226/L226)</f>
        <v>0.768550943076329</v>
      </c>
    </row>
    <row r="227" customFormat="false" ht="15" hidden="false" customHeight="false" outlineLevel="0" collapsed="false">
      <c r="A227" s="56" t="n">
        <v>2027</v>
      </c>
      <c r="B227" s="56" t="n">
        <v>12</v>
      </c>
      <c r="C227" s="56" t="s">
        <v>183</v>
      </c>
      <c r="D227" s="56" t="s">
        <v>319</v>
      </c>
      <c r="E227" s="56" t="s">
        <v>142</v>
      </c>
      <c r="F227" s="56" t="s">
        <v>337</v>
      </c>
      <c r="G227" s="73" t="n">
        <f aca="false">SUMIFS(DRE_por_UN!$F:$F,DRE_por_UN!$C:$C,$C227,DRE_por_UN!$E:$E,$E227)*VLOOKUP($D227,$A$25:$H$36,4,0)</f>
        <v>27340.380375</v>
      </c>
      <c r="H227" s="61" t="n">
        <f aca="false">VLOOKUP($D227,$A$25:$H$36,5,0)*(1+$B$5)^($A227-2025)*INDEX($B$40:$M$44,MATCH($E227,$A$40:$A$44,0),$B227)</f>
        <v>33920.483996</v>
      </c>
      <c r="I227" s="62" t="n">
        <f aca="false">IF(H227=0,0,G227/H227)</f>
        <v>0.806013864018687</v>
      </c>
      <c r="J227" s="61" t="n">
        <f aca="false">G227-H227</f>
        <v>-6580.103621</v>
      </c>
      <c r="K227" s="61" t="n">
        <f aca="false">SUMIFS($G$48:$G$479,$D$48:$D$479,$D227,$A$48:$A$479,$A227,$B$48:$B$479,"&lt;="&amp;$B227)</f>
        <v>237599.074125</v>
      </c>
      <c r="L227" s="61" t="n">
        <f aca="false">SUMIFS($H$48:$H$479,$D$48:$D$479,$D227,$A$48:$A$479,$A227,$B$48:$B$479,"&lt;="&amp;$B227)</f>
        <v>307498.567068</v>
      </c>
      <c r="M227" s="62" t="n">
        <f aca="false">IF(L227=0,0,K227/L227)</f>
        <v>0.772683516513615</v>
      </c>
    </row>
    <row r="228" customFormat="false" ht="15" hidden="false" customHeight="false" outlineLevel="0" collapsed="false">
      <c r="A228" s="56" t="n">
        <v>2025</v>
      </c>
      <c r="B228" s="56" t="n">
        <v>1</v>
      </c>
      <c r="C228" s="56" t="s">
        <v>148</v>
      </c>
      <c r="D228" s="56" t="s">
        <v>320</v>
      </c>
      <c r="E228" s="56" t="s">
        <v>143</v>
      </c>
      <c r="F228" s="56" t="s">
        <v>336</v>
      </c>
      <c r="G228" s="73" t="n">
        <f aca="false">SUMIFS(DRE_por_UN!$F:$F,DRE_por_UN!$C:$C,$C228,DRE_por_UN!$E:$E,$E228)*VLOOKUP($D228,$A$25:$H$36,4,0)</f>
        <v>17889.426</v>
      </c>
      <c r="H228" s="61" t="n">
        <f aca="false">VLOOKUP($D228,$A$25:$H$36,5,0)*(1+$B$5)^($A228-2025)*INDEX($B$40:$M$44,MATCH($E228,$A$40:$A$44,0),$B228)</f>
        <v>18783.2</v>
      </c>
      <c r="I228" s="62" t="n">
        <f aca="false">IF(H228=0,0,G228/H228)</f>
        <v>0.952416308190298</v>
      </c>
      <c r="J228" s="61" t="n">
        <f aca="false">G228-H228</f>
        <v>-893.774000000001</v>
      </c>
      <c r="K228" s="61" t="n">
        <f aca="false">SUMIFS($G$48:$G$479,$D$48:$D$479,$D228,$A$48:$A$479,$A228,$B$48:$B$479,"&lt;="&amp;$B228)</f>
        <v>17889.426</v>
      </c>
      <c r="L228" s="61" t="n">
        <f aca="false">SUMIFS($H$48:$H$479,$D$48:$D$479,$D228,$A$48:$A$479,$A228,$B$48:$B$479,"&lt;="&amp;$B228)</f>
        <v>18783.2</v>
      </c>
      <c r="M228" s="62" t="n">
        <f aca="false">IF(L228=0,0,K228/L228)</f>
        <v>0.952416308190298</v>
      </c>
    </row>
    <row r="229" customFormat="false" ht="15" hidden="false" customHeight="false" outlineLevel="0" collapsed="false">
      <c r="A229" s="56" t="n">
        <v>2025</v>
      </c>
      <c r="B229" s="56" t="n">
        <v>2</v>
      </c>
      <c r="C229" s="56" t="s">
        <v>149</v>
      </c>
      <c r="D229" s="56" t="s">
        <v>320</v>
      </c>
      <c r="E229" s="56" t="s">
        <v>143</v>
      </c>
      <c r="F229" s="56" t="s">
        <v>336</v>
      </c>
      <c r="G229" s="73" t="n">
        <f aca="false">SUMIFS(DRE_por_UN!$F:$F,DRE_por_UN!$C:$C,$C229,DRE_por_UN!$E:$E,$E229)*VLOOKUP($D229,$A$25:$H$36,4,0)</f>
        <v>3234.222</v>
      </c>
      <c r="H229" s="61" t="n">
        <f aca="false">VLOOKUP($D229,$A$25:$H$36,5,0)*(1+$B$5)^($A229-2025)*INDEX($B$40:$M$44,MATCH($E229,$A$40:$A$44,0),$B229)</f>
        <v>3392</v>
      </c>
      <c r="I229" s="62" t="n">
        <f aca="false">IF(H229=0,0,G229/H229)</f>
        <v>0.953485259433962</v>
      </c>
      <c r="J229" s="61" t="n">
        <f aca="false">G229-H229</f>
        <v>-157.778</v>
      </c>
      <c r="K229" s="61" t="n">
        <f aca="false">SUMIFS($G$48:$G$479,$D$48:$D$479,$D229,$A$48:$A$479,$A229,$B$48:$B$479,"&lt;="&amp;$B229)</f>
        <v>21123.648</v>
      </c>
      <c r="L229" s="61" t="n">
        <f aca="false">SUMIFS($H$48:$H$479,$D$48:$D$479,$D229,$A$48:$A$479,$A229,$B$48:$B$479,"&lt;="&amp;$B229)</f>
        <v>22175.2</v>
      </c>
      <c r="M229" s="62" t="n">
        <f aca="false">IF(L229=0,0,K229/L229)</f>
        <v>0.952579818896786</v>
      </c>
    </row>
    <row r="230" customFormat="false" ht="15" hidden="false" customHeight="false" outlineLevel="0" collapsed="false">
      <c r="A230" s="56" t="n">
        <v>2025</v>
      </c>
      <c r="B230" s="56" t="n">
        <v>3</v>
      </c>
      <c r="C230" s="56" t="s">
        <v>150</v>
      </c>
      <c r="D230" s="56" t="s">
        <v>320</v>
      </c>
      <c r="E230" s="56" t="s">
        <v>143</v>
      </c>
      <c r="F230" s="56" t="s">
        <v>336</v>
      </c>
      <c r="G230" s="73" t="n">
        <f aca="false">SUMIFS(DRE_por_UN!$F:$F,DRE_por_UN!$C:$C,$C230,DRE_por_UN!$E:$E,$E230)*VLOOKUP($D230,$A$25:$H$36,4,0)</f>
        <v>5451.342</v>
      </c>
      <c r="H230" s="61" t="n">
        <f aca="false">VLOOKUP($D230,$A$25:$H$36,5,0)*(1+$B$5)^($A230-2025)*INDEX($B$40:$M$44,MATCH($E230,$A$40:$A$44,0),$B230)</f>
        <v>5724</v>
      </c>
      <c r="I230" s="62" t="n">
        <f aca="false">IF(H230=0,0,G230/H230)</f>
        <v>0.952365828092243</v>
      </c>
      <c r="J230" s="61" t="n">
        <f aca="false">G230-H230</f>
        <v>-272.658</v>
      </c>
      <c r="K230" s="61" t="n">
        <f aca="false">SUMIFS($G$48:$G$479,$D$48:$D$479,$D230,$A$48:$A$479,$A230,$B$48:$B$479,"&lt;="&amp;$B230)</f>
        <v>26574.99</v>
      </c>
      <c r="L230" s="61" t="n">
        <f aca="false">SUMIFS($H$48:$H$479,$D$48:$D$479,$D230,$A$48:$A$479,$A230,$B$48:$B$479,"&lt;="&amp;$B230)</f>
        <v>27899.2</v>
      </c>
      <c r="M230" s="62" t="n">
        <f aca="false">IF(L230=0,0,K230/L230)</f>
        <v>0.952535915008316</v>
      </c>
    </row>
    <row r="231" customFormat="false" ht="15" hidden="false" customHeight="false" outlineLevel="0" collapsed="false">
      <c r="A231" s="56" t="n">
        <v>2025</v>
      </c>
      <c r="B231" s="56" t="n">
        <v>4</v>
      </c>
      <c r="C231" s="56" t="s">
        <v>151</v>
      </c>
      <c r="D231" s="56" t="s">
        <v>320</v>
      </c>
      <c r="E231" s="56" t="s">
        <v>143</v>
      </c>
      <c r="F231" s="56" t="s">
        <v>336</v>
      </c>
      <c r="G231" s="73" t="n">
        <f aca="false">SUMIFS(DRE_por_UN!$F:$F,DRE_por_UN!$C:$C,$C231,DRE_por_UN!$E:$E,$E231)*VLOOKUP($D231,$A$25:$H$36,4,0)</f>
        <v>5319.78</v>
      </c>
      <c r="H231" s="61" t="n">
        <f aca="false">VLOOKUP($D231,$A$25:$H$36,5,0)*(1+$B$5)^($A231-2025)*INDEX($B$40:$M$44,MATCH($E231,$A$40:$A$44,0),$B231)</f>
        <v>5588.32</v>
      </c>
      <c r="I231" s="62" t="n">
        <f aca="false">IF(H231=0,0,G231/H231)</f>
        <v>0.951946202078621</v>
      </c>
      <c r="J231" s="61" t="n">
        <f aca="false">G231-H231</f>
        <v>-268.54</v>
      </c>
      <c r="K231" s="61" t="n">
        <f aca="false">SUMIFS($G$48:$G$479,$D$48:$D$479,$D231,$A$48:$A$479,$A231,$B$48:$B$479,"&lt;="&amp;$B231)</f>
        <v>31894.77</v>
      </c>
      <c r="L231" s="61" t="n">
        <f aca="false">SUMIFS($H$48:$H$479,$D$48:$D$479,$D231,$A$48:$A$479,$A231,$B$48:$B$479,"&lt;="&amp;$B231)</f>
        <v>33487.52</v>
      </c>
      <c r="M231" s="62" t="n">
        <f aca="false">IF(L231=0,0,K231/L231)</f>
        <v>0.952437505076518</v>
      </c>
    </row>
    <row r="232" customFormat="false" ht="15" hidden="false" customHeight="false" outlineLevel="0" collapsed="false">
      <c r="A232" s="56" t="n">
        <v>2025</v>
      </c>
      <c r="B232" s="56" t="n">
        <v>5</v>
      </c>
      <c r="C232" s="56" t="s">
        <v>152</v>
      </c>
      <c r="D232" s="56" t="s">
        <v>320</v>
      </c>
      <c r="E232" s="56" t="s">
        <v>143</v>
      </c>
      <c r="F232" s="56" t="s">
        <v>336</v>
      </c>
      <c r="G232" s="73" t="n">
        <f aca="false">SUMIFS(DRE_por_UN!$F:$F,DRE_por_UN!$C:$C,$C232,DRE_por_UN!$E:$E,$E232)*VLOOKUP($D232,$A$25:$H$36,4,0)</f>
        <v>4703.406</v>
      </c>
      <c r="H232" s="61" t="n">
        <f aca="false">VLOOKUP($D232,$A$25:$H$36,5,0)*(1+$B$5)^($A232-2025)*INDEX($B$40:$M$44,MATCH($E232,$A$40:$A$44,0),$B232)</f>
        <v>4935.36</v>
      </c>
      <c r="I232" s="62" t="n">
        <f aca="false">IF(H232=0,0,G232/H232)</f>
        <v>0.953001604746158</v>
      </c>
      <c r="J232" s="61" t="n">
        <f aca="false">G232-H232</f>
        <v>-231.954000000001</v>
      </c>
      <c r="K232" s="61" t="n">
        <f aca="false">SUMIFS($G$48:$G$479,$D$48:$D$479,$D232,$A$48:$A$479,$A232,$B$48:$B$479,"&lt;="&amp;$B232)</f>
        <v>36598.176</v>
      </c>
      <c r="L232" s="61" t="n">
        <f aca="false">SUMIFS($H$48:$H$479,$D$48:$D$479,$D232,$A$48:$A$479,$A232,$B$48:$B$479,"&lt;="&amp;$B232)</f>
        <v>38422.88</v>
      </c>
      <c r="M232" s="62" t="n">
        <f aca="false">IF(L232=0,0,K232/L232)</f>
        <v>0.952509962813823</v>
      </c>
    </row>
    <row r="233" customFormat="false" ht="15" hidden="false" customHeight="false" outlineLevel="0" collapsed="false">
      <c r="A233" s="56" t="n">
        <v>2025</v>
      </c>
      <c r="B233" s="56" t="n">
        <v>6</v>
      </c>
      <c r="C233" s="56" t="s">
        <v>153</v>
      </c>
      <c r="D233" s="56" t="s">
        <v>320</v>
      </c>
      <c r="E233" s="56" t="s">
        <v>143</v>
      </c>
      <c r="F233" s="56" t="s">
        <v>336</v>
      </c>
      <c r="G233" s="73" t="n">
        <f aca="false">SUMIFS(DRE_por_UN!$F:$F,DRE_por_UN!$C:$C,$C233,DRE_por_UN!$E:$E,$E233)*VLOOKUP($D233,$A$25:$H$36,4,0)</f>
        <v>4040.934</v>
      </c>
      <c r="H233" s="61" t="n">
        <f aca="false">VLOOKUP($D233,$A$25:$H$36,5,0)*(1+$B$5)^($A233-2025)*INDEX($B$40:$M$44,MATCH($E233,$A$40:$A$44,0),$B233)</f>
        <v>4240</v>
      </c>
      <c r="I233" s="62" t="n">
        <f aca="false">IF(H233=0,0,G233/H233)</f>
        <v>0.953050471698113</v>
      </c>
      <c r="J233" s="61" t="n">
        <f aca="false">G233-H233</f>
        <v>-199.066</v>
      </c>
      <c r="K233" s="61" t="n">
        <f aca="false">SUMIFS($G$48:$G$479,$D$48:$D$479,$D233,$A$48:$A$479,$A233,$B$48:$B$479,"&lt;="&amp;$B233)</f>
        <v>40639.11</v>
      </c>
      <c r="L233" s="61" t="n">
        <f aca="false">SUMIFS($H$48:$H$479,$D$48:$D$479,$D233,$A$48:$A$479,$A233,$B$48:$B$479,"&lt;="&amp;$B233)</f>
        <v>42662.88</v>
      </c>
      <c r="M233" s="62" t="n">
        <f aca="false">IF(L233=0,0,K233/L233)</f>
        <v>0.952563680651658</v>
      </c>
    </row>
    <row r="234" customFormat="false" ht="15" hidden="false" customHeight="false" outlineLevel="0" collapsed="false">
      <c r="A234" s="56" t="n">
        <v>2025</v>
      </c>
      <c r="B234" s="56" t="n">
        <v>7</v>
      </c>
      <c r="C234" s="56" t="s">
        <v>154</v>
      </c>
      <c r="D234" s="56" t="s">
        <v>320</v>
      </c>
      <c r="E234" s="56" t="s">
        <v>143</v>
      </c>
      <c r="F234" s="56" t="s">
        <v>336</v>
      </c>
      <c r="G234" s="73" t="n">
        <f aca="false">SUMIFS(DRE_por_UN!$F:$F,DRE_por_UN!$C:$C,$C234,DRE_por_UN!$E:$E,$E234)*VLOOKUP($D234,$A$25:$H$36,4,0)</f>
        <v>3293.256</v>
      </c>
      <c r="H234" s="61" t="n">
        <f aca="false">VLOOKUP($D234,$A$25:$H$36,5,0)*(1+$B$5)^($A234-2025)*INDEX($B$40:$M$44,MATCH($E234,$A$40:$A$44,0),$B234)</f>
        <v>3459.84</v>
      </c>
      <c r="I234" s="62" t="n">
        <f aca="false">IF(H234=0,0,G234/H234)</f>
        <v>0.951852108768035</v>
      </c>
      <c r="J234" s="61" t="n">
        <f aca="false">G234-H234</f>
        <v>-166.584</v>
      </c>
      <c r="K234" s="61" t="n">
        <f aca="false">SUMIFS($G$48:$G$479,$D$48:$D$479,$D234,$A$48:$A$479,$A234,$B$48:$B$479,"&lt;="&amp;$B234)</f>
        <v>43932.366</v>
      </c>
      <c r="L234" s="61" t="n">
        <f aca="false">SUMIFS($H$48:$H$479,$D$48:$D$479,$D234,$A$48:$A$479,$A234,$B$48:$B$479,"&lt;="&amp;$B234)</f>
        <v>46122.72</v>
      </c>
      <c r="M234" s="62" t="n">
        <f aca="false">IF(L234=0,0,K234/L234)</f>
        <v>0.952510302948308</v>
      </c>
    </row>
    <row r="235" customFormat="false" ht="15" hidden="false" customHeight="false" outlineLevel="0" collapsed="false">
      <c r="A235" s="56" t="n">
        <v>2025</v>
      </c>
      <c r="B235" s="56" t="n">
        <v>8</v>
      </c>
      <c r="C235" s="56" t="s">
        <v>155</v>
      </c>
      <c r="D235" s="56" t="s">
        <v>320</v>
      </c>
      <c r="E235" s="56" t="s">
        <v>143</v>
      </c>
      <c r="F235" s="56" t="s">
        <v>336</v>
      </c>
      <c r="G235" s="73" t="n">
        <f aca="false">SUMIFS(DRE_por_UN!$F:$F,DRE_por_UN!$C:$C,$C235,DRE_por_UN!$E:$E,$E235)*VLOOKUP($D235,$A$25:$H$36,4,0)</f>
        <v>3524.346</v>
      </c>
      <c r="H235" s="61" t="n">
        <f aca="false">VLOOKUP($D235,$A$25:$H$36,5,0)*(1+$B$5)^($A235-2025)*INDEX($B$40:$M$44,MATCH($E235,$A$40:$A$44,0),$B235)</f>
        <v>3697.28</v>
      </c>
      <c r="I235" s="62" t="n">
        <f aca="false">IF(H235=0,0,G235/H235)</f>
        <v>0.953226696382205</v>
      </c>
      <c r="J235" s="61" t="n">
        <f aca="false">G235-H235</f>
        <v>-172.934</v>
      </c>
      <c r="K235" s="61" t="n">
        <f aca="false">SUMIFS($G$48:$G$479,$D$48:$D$479,$D235,$A$48:$A$479,$A235,$B$48:$B$479,"&lt;="&amp;$B235)</f>
        <v>47456.712</v>
      </c>
      <c r="L235" s="61" t="n">
        <f aca="false">SUMIFS($H$48:$H$479,$D$48:$D$479,$D235,$A$48:$A$479,$A235,$B$48:$B$479,"&lt;="&amp;$B235)</f>
        <v>49820</v>
      </c>
      <c r="M235" s="62" t="n">
        <f aca="false">IF(L235=0,0,K235/L235)</f>
        <v>0.952563468486552</v>
      </c>
    </row>
    <row r="236" customFormat="false" ht="15" hidden="false" customHeight="false" outlineLevel="0" collapsed="false">
      <c r="A236" s="56" t="n">
        <v>2025</v>
      </c>
      <c r="B236" s="56" t="n">
        <v>9</v>
      </c>
      <c r="C236" s="56" t="s">
        <v>156</v>
      </c>
      <c r="D236" s="56" t="s">
        <v>320</v>
      </c>
      <c r="E236" s="56" t="s">
        <v>143</v>
      </c>
      <c r="F236" s="56" t="s">
        <v>336</v>
      </c>
      <c r="G236" s="73" t="n">
        <f aca="false">SUMIFS(DRE_por_UN!$F:$F,DRE_por_UN!$C:$C,$C236,DRE_por_UN!$E:$E,$E236)*VLOOKUP($D236,$A$25:$H$36,4,0)</f>
        <v>15329.7</v>
      </c>
      <c r="H236" s="61" t="n">
        <f aca="false">VLOOKUP($D236,$A$25:$H$36,5,0)*(1+$B$5)^($A236-2025)*INDEX($B$40:$M$44,MATCH($E236,$A$40:$A$44,0),$B236)</f>
        <v>16095.04</v>
      </c>
      <c r="I236" s="62" t="n">
        <f aca="false">IF(H236=0,0,G236/H236)</f>
        <v>0.952448704694117</v>
      </c>
      <c r="J236" s="61" t="n">
        <f aca="false">G236-H236</f>
        <v>-765.34</v>
      </c>
      <c r="K236" s="61" t="n">
        <f aca="false">SUMIFS($G$48:$G$479,$D$48:$D$479,$D236,$A$48:$A$479,$A236,$B$48:$B$479,"&lt;="&amp;$B236)</f>
        <v>62786.412</v>
      </c>
      <c r="L236" s="61" t="n">
        <f aca="false">SUMIFS($H$48:$H$479,$D$48:$D$479,$D236,$A$48:$A$479,$A236,$B$48:$B$479,"&lt;="&amp;$B236)</f>
        <v>65915.04</v>
      </c>
      <c r="M236" s="62" t="n">
        <f aca="false">IF(L236=0,0,K236/L236)</f>
        <v>0.952535445628191</v>
      </c>
    </row>
    <row r="237" customFormat="false" ht="15" hidden="false" customHeight="false" outlineLevel="0" collapsed="false">
      <c r="A237" s="56" t="n">
        <v>2025</v>
      </c>
      <c r="B237" s="56" t="n">
        <v>10</v>
      </c>
      <c r="C237" s="56" t="s">
        <v>157</v>
      </c>
      <c r="D237" s="56" t="s">
        <v>320</v>
      </c>
      <c r="E237" s="56" t="s">
        <v>143</v>
      </c>
      <c r="F237" s="56" t="s">
        <v>336</v>
      </c>
      <c r="G237" s="73" t="n">
        <f aca="false">SUMIFS(DRE_por_UN!$F:$F,DRE_por_UN!$C:$C,$C237,DRE_por_UN!$E:$E,$E237)*VLOOKUP($D237,$A$25:$H$36,4,0)</f>
        <v>4043.778</v>
      </c>
      <c r="H237" s="61" t="n">
        <f aca="false">VLOOKUP($D237,$A$25:$H$36,5,0)*(1+$B$5)^($A237-2025)*INDEX($B$40:$M$44,MATCH($E237,$A$40:$A$44,0),$B237)</f>
        <v>4248.48</v>
      </c>
      <c r="I237" s="62" t="n">
        <f aca="false">IF(H237=0,0,G237/H237)</f>
        <v>0.951817591232629</v>
      </c>
      <c r="J237" s="61" t="n">
        <f aca="false">G237-H237</f>
        <v>-204.702</v>
      </c>
      <c r="K237" s="61" t="n">
        <f aca="false">SUMIFS($G$48:$G$479,$D$48:$D$479,$D237,$A$48:$A$479,$A237,$B$48:$B$479,"&lt;="&amp;$B237)</f>
        <v>66830.19</v>
      </c>
      <c r="L237" s="61" t="n">
        <f aca="false">SUMIFS($H$48:$H$479,$D$48:$D$479,$D237,$A$48:$A$479,$A237,$B$48:$B$479,"&lt;="&amp;$B237)</f>
        <v>70163.52</v>
      </c>
      <c r="M237" s="62" t="n">
        <f aca="false">IF(L237=0,0,K237/L237)</f>
        <v>0.952491978737669</v>
      </c>
    </row>
    <row r="238" customFormat="false" ht="15" hidden="false" customHeight="false" outlineLevel="0" collapsed="false">
      <c r="A238" s="56" t="n">
        <v>2025</v>
      </c>
      <c r="B238" s="56" t="n">
        <v>11</v>
      </c>
      <c r="C238" s="56" t="s">
        <v>158</v>
      </c>
      <c r="D238" s="56" t="s">
        <v>320</v>
      </c>
      <c r="E238" s="56" t="s">
        <v>143</v>
      </c>
      <c r="F238" s="56" t="s">
        <v>336</v>
      </c>
      <c r="G238" s="73" t="n">
        <f aca="false">SUMIFS(DRE_por_UN!$F:$F,DRE_por_UN!$C:$C,$C238,DRE_por_UN!$E:$E,$E238)*VLOOKUP($D238,$A$25:$H$36,4,0)</f>
        <v>3514.752</v>
      </c>
      <c r="H238" s="61" t="n">
        <f aca="false">VLOOKUP($D238,$A$25:$H$36,5,0)*(1+$B$5)^($A238-2025)*INDEX($B$40:$M$44,MATCH($E238,$A$40:$A$44,0),$B238)</f>
        <v>3688.8</v>
      </c>
      <c r="I238" s="62" t="n">
        <f aca="false">IF(H238=0,0,G238/H238)</f>
        <v>0.952817176317502</v>
      </c>
      <c r="J238" s="61" t="n">
        <f aca="false">G238-H238</f>
        <v>-174.048</v>
      </c>
      <c r="K238" s="61" t="n">
        <f aca="false">SUMIFS($G$48:$G$479,$D$48:$D$479,$D238,$A$48:$A$479,$A238,$B$48:$B$479,"&lt;="&amp;$B238)</f>
        <v>70344.942</v>
      </c>
      <c r="L238" s="61" t="n">
        <f aca="false">SUMIFS($H$48:$H$479,$D$48:$D$479,$D238,$A$48:$A$479,$A238,$B$48:$B$479,"&lt;="&amp;$B238)</f>
        <v>73852.32</v>
      </c>
      <c r="M238" s="62" t="n">
        <f aca="false">IF(L238=0,0,K238/L238)</f>
        <v>0.952508221813478</v>
      </c>
    </row>
    <row r="239" customFormat="false" ht="15" hidden="false" customHeight="false" outlineLevel="0" collapsed="false">
      <c r="A239" s="56" t="n">
        <v>2025</v>
      </c>
      <c r="B239" s="56" t="n">
        <v>12</v>
      </c>
      <c r="C239" s="56" t="s">
        <v>159</v>
      </c>
      <c r="D239" s="56" t="s">
        <v>320</v>
      </c>
      <c r="E239" s="56" t="s">
        <v>143</v>
      </c>
      <c r="F239" s="56" t="s">
        <v>336</v>
      </c>
      <c r="G239" s="73" t="n">
        <f aca="false">SUMIFS(DRE_por_UN!$F:$F,DRE_por_UN!$C:$C,$C239,DRE_por_UN!$E:$E,$E239)*VLOOKUP($D239,$A$25:$H$36,4,0)</f>
        <v>10420.602</v>
      </c>
      <c r="H239" s="61" t="n">
        <f aca="false">VLOOKUP($D239,$A$25:$H$36,5,0)*(1+$B$5)^($A239-2025)*INDEX($B$40:$M$44,MATCH($E239,$A$40:$A$44,0),$B239)</f>
        <v>10939.2</v>
      </c>
      <c r="I239" s="62" t="n">
        <f aca="false">IF(H239=0,0,G239/H239)</f>
        <v>0.952592694164107</v>
      </c>
      <c r="J239" s="61" t="n">
        <f aca="false">G239-H239</f>
        <v>-518.598000000002</v>
      </c>
      <c r="K239" s="61" t="n">
        <f aca="false">SUMIFS($G$48:$G$479,$D$48:$D$479,$D239,$A$48:$A$479,$A239,$B$48:$B$479,"&lt;="&amp;$B239)</f>
        <v>80765.544</v>
      </c>
      <c r="L239" s="61" t="n">
        <f aca="false">SUMIFS($H$48:$H$479,$D$48:$D$479,$D239,$A$48:$A$479,$A239,$B$48:$B$479,"&lt;="&amp;$B239)</f>
        <v>84791.52</v>
      </c>
      <c r="M239" s="62" t="n">
        <f aca="false">IF(L239=0,0,K239/L239)</f>
        <v>0.952519119836512</v>
      </c>
    </row>
    <row r="240" customFormat="false" ht="15" hidden="false" customHeight="false" outlineLevel="0" collapsed="false">
      <c r="A240" s="56" t="n">
        <v>2026</v>
      </c>
      <c r="B240" s="56" t="n">
        <v>1</v>
      </c>
      <c r="C240" s="56" t="s">
        <v>160</v>
      </c>
      <c r="D240" s="56" t="s">
        <v>320</v>
      </c>
      <c r="E240" s="56" t="s">
        <v>143</v>
      </c>
      <c r="F240" s="56" t="s">
        <v>336</v>
      </c>
      <c r="G240" s="73" t="n">
        <f aca="false">SUMIFS(DRE_por_UN!$F:$F,DRE_por_UN!$C:$C,$C240,DRE_por_UN!$E:$E,$E240)*VLOOKUP($D240,$A$25:$H$36,4,0)</f>
        <v>15850.254</v>
      </c>
      <c r="H240" s="61" t="n">
        <f aca="false">VLOOKUP($D240,$A$25:$H$36,5,0)*(1+$B$5)^($A240-2025)*INDEX($B$40:$M$44,MATCH($E240,$A$40:$A$44,0),$B240)</f>
        <v>19910.192</v>
      </c>
      <c r="I240" s="62" t="n">
        <f aca="false">IF(H240=0,0,G240/H240)</f>
        <v>0.796087451090376</v>
      </c>
      <c r="J240" s="61" t="n">
        <f aca="false">G240-H240</f>
        <v>-4059.938</v>
      </c>
      <c r="K240" s="61" t="n">
        <f aca="false">SUMIFS($G$48:$G$479,$D$48:$D$479,$D240,$A$48:$A$479,$A240,$B$48:$B$479,"&lt;="&amp;$B240)</f>
        <v>15850.254</v>
      </c>
      <c r="L240" s="61" t="n">
        <f aca="false">SUMIFS($H$48:$H$479,$D$48:$D$479,$D240,$A$48:$A$479,$A240,$B$48:$B$479,"&lt;="&amp;$B240)</f>
        <v>19910.192</v>
      </c>
      <c r="M240" s="62" t="n">
        <f aca="false">IF(L240=0,0,K240/L240)</f>
        <v>0.796087451090376</v>
      </c>
    </row>
    <row r="241" customFormat="false" ht="15" hidden="false" customHeight="false" outlineLevel="0" collapsed="false">
      <c r="A241" s="56" t="n">
        <v>2026</v>
      </c>
      <c r="B241" s="56" t="n">
        <v>2</v>
      </c>
      <c r="C241" s="56" t="s">
        <v>161</v>
      </c>
      <c r="D241" s="56" t="s">
        <v>320</v>
      </c>
      <c r="E241" s="56" t="s">
        <v>143</v>
      </c>
      <c r="F241" s="56" t="s">
        <v>336</v>
      </c>
      <c r="G241" s="73" t="n">
        <f aca="false">SUMIFS(DRE_por_UN!$F:$F,DRE_por_UN!$C:$C,$C241,DRE_por_UN!$E:$E,$E241)*VLOOKUP($D241,$A$25:$H$36,4,0)</f>
        <v>2281.86</v>
      </c>
      <c r="H241" s="61" t="n">
        <f aca="false">VLOOKUP($D241,$A$25:$H$36,5,0)*(1+$B$5)^($A241-2025)*INDEX($B$40:$M$44,MATCH($E241,$A$40:$A$44,0),$B241)</f>
        <v>3595.52</v>
      </c>
      <c r="I241" s="62" t="n">
        <f aca="false">IF(H241=0,0,G241/H241)</f>
        <v>0.634639773940904</v>
      </c>
      <c r="J241" s="61" t="n">
        <f aca="false">G241-H241</f>
        <v>-1313.66</v>
      </c>
      <c r="K241" s="61" t="n">
        <f aca="false">SUMIFS($G$48:$G$479,$D$48:$D$479,$D241,$A$48:$A$479,$A241,$B$48:$B$479,"&lt;="&amp;$B241)</f>
        <v>18132.114</v>
      </c>
      <c r="L241" s="61" t="n">
        <f aca="false">SUMIFS($H$48:$H$479,$D$48:$D$479,$D241,$A$48:$A$479,$A241,$B$48:$B$479,"&lt;="&amp;$B241)</f>
        <v>23505.712</v>
      </c>
      <c r="M241" s="62" t="n">
        <f aca="false">IF(L241=0,0,K241/L241)</f>
        <v>0.771391821698488</v>
      </c>
    </row>
    <row r="242" customFormat="false" ht="15" hidden="false" customHeight="false" outlineLevel="0" collapsed="false">
      <c r="A242" s="56" t="n">
        <v>2026</v>
      </c>
      <c r="B242" s="56" t="n">
        <v>3</v>
      </c>
      <c r="C242" s="56" t="s">
        <v>162</v>
      </c>
      <c r="D242" s="56" t="s">
        <v>320</v>
      </c>
      <c r="E242" s="56" t="s">
        <v>143</v>
      </c>
      <c r="F242" s="56" t="s">
        <v>336</v>
      </c>
      <c r="G242" s="73" t="n">
        <f aca="false">SUMIFS(DRE_por_UN!$F:$F,DRE_por_UN!$C:$C,$C242,DRE_por_UN!$E:$E,$E242)*VLOOKUP($D242,$A$25:$H$36,4,0)</f>
        <v>4087.176</v>
      </c>
      <c r="H242" s="61" t="n">
        <f aca="false">VLOOKUP($D242,$A$25:$H$36,5,0)*(1+$B$5)^($A242-2025)*INDEX($B$40:$M$44,MATCH($E242,$A$40:$A$44,0),$B242)</f>
        <v>6067.44</v>
      </c>
      <c r="I242" s="62" t="n">
        <f aca="false">IF(H242=0,0,G242/H242)</f>
        <v>0.673624461057711</v>
      </c>
      <c r="J242" s="61" t="n">
        <f aca="false">G242-H242</f>
        <v>-1980.264</v>
      </c>
      <c r="K242" s="61" t="n">
        <f aca="false">SUMIFS($G$48:$G$479,$D$48:$D$479,$D242,$A$48:$A$479,$A242,$B$48:$B$479,"&lt;="&amp;$B242)</f>
        <v>22219.29</v>
      </c>
      <c r="L242" s="61" t="n">
        <f aca="false">SUMIFS($H$48:$H$479,$D$48:$D$479,$D242,$A$48:$A$479,$A242,$B$48:$B$479,"&lt;="&amp;$B242)</f>
        <v>29573.152</v>
      </c>
      <c r="M242" s="62" t="n">
        <f aca="false">IF(L242=0,0,K242/L242)</f>
        <v>0.751333168679483</v>
      </c>
    </row>
    <row r="243" customFormat="false" ht="15" hidden="false" customHeight="false" outlineLevel="0" collapsed="false">
      <c r="A243" s="56" t="n">
        <v>2026</v>
      </c>
      <c r="B243" s="56" t="n">
        <v>4</v>
      </c>
      <c r="C243" s="56" t="s">
        <v>163</v>
      </c>
      <c r="D243" s="56" t="s">
        <v>320</v>
      </c>
      <c r="E243" s="56" t="s">
        <v>143</v>
      </c>
      <c r="F243" s="56" t="s">
        <v>336</v>
      </c>
      <c r="G243" s="73" t="n">
        <f aca="false">SUMIFS(DRE_por_UN!$F:$F,DRE_por_UN!$C:$C,$C243,DRE_por_UN!$E:$E,$E243)*VLOOKUP($D243,$A$25:$H$36,4,0)</f>
        <v>3940.992</v>
      </c>
      <c r="H243" s="61" t="n">
        <f aca="false">VLOOKUP($D243,$A$25:$H$36,5,0)*(1+$B$5)^($A243-2025)*INDEX($B$40:$M$44,MATCH($E243,$A$40:$A$44,0),$B243)</f>
        <v>5923.6192</v>
      </c>
      <c r="I243" s="62" t="n">
        <f aca="false">IF(H243=0,0,G243/H243)</f>
        <v>0.665301375213315</v>
      </c>
      <c r="J243" s="61" t="n">
        <f aca="false">G243-H243</f>
        <v>-1982.6272</v>
      </c>
      <c r="K243" s="61" t="n">
        <f aca="false">SUMIFS($G$48:$G$479,$D$48:$D$479,$D243,$A$48:$A$479,$A243,$B$48:$B$479,"&lt;="&amp;$B243)</f>
        <v>26160.282</v>
      </c>
      <c r="L243" s="61" t="n">
        <f aca="false">SUMIFS($H$48:$H$479,$D$48:$D$479,$D243,$A$48:$A$479,$A243,$B$48:$B$479,"&lt;="&amp;$B243)</f>
        <v>35496.7712</v>
      </c>
      <c r="M243" s="62" t="n">
        <f aca="false">IF(L243=0,0,K243/L243)</f>
        <v>0.736976381671581</v>
      </c>
    </row>
    <row r="244" customFormat="false" ht="15" hidden="false" customHeight="false" outlineLevel="0" collapsed="false">
      <c r="A244" s="56" t="n">
        <v>2026</v>
      </c>
      <c r="B244" s="56" t="n">
        <v>5</v>
      </c>
      <c r="C244" s="56" t="s">
        <v>164</v>
      </c>
      <c r="D244" s="56" t="s">
        <v>320</v>
      </c>
      <c r="E244" s="56" t="s">
        <v>143</v>
      </c>
      <c r="F244" s="56" t="s">
        <v>336</v>
      </c>
      <c r="G244" s="73" t="n">
        <f aca="false">SUMIFS(DRE_por_UN!$F:$F,DRE_por_UN!$C:$C,$C244,DRE_por_UN!$E:$E,$E244)*VLOOKUP($D244,$A$25:$H$36,4,0)</f>
        <v>22184.43</v>
      </c>
      <c r="H244" s="61" t="n">
        <f aca="false">VLOOKUP($D244,$A$25:$H$36,5,0)*(1+$B$5)^($A244-2025)*INDEX($B$40:$M$44,MATCH($E244,$A$40:$A$44,0),$B244)</f>
        <v>5231.4816</v>
      </c>
      <c r="I244" s="62" t="n">
        <f aca="false">IF(H244=0,0,G244/H244)</f>
        <v>4.24056351455007</v>
      </c>
      <c r="J244" s="61" t="n">
        <f aca="false">G244-H244</f>
        <v>16952.9484</v>
      </c>
      <c r="K244" s="61" t="n">
        <f aca="false">SUMIFS($G$48:$G$479,$D$48:$D$479,$D244,$A$48:$A$479,$A244,$B$48:$B$479,"&lt;="&amp;$B244)</f>
        <v>48344.712</v>
      </c>
      <c r="L244" s="61" t="n">
        <f aca="false">SUMIFS($H$48:$H$479,$D$48:$D$479,$D244,$A$48:$A$479,$A244,$B$48:$B$479,"&lt;="&amp;$B244)</f>
        <v>40728.2528</v>
      </c>
      <c r="M244" s="62" t="n">
        <f aca="false">IF(L244=0,0,K244/L244)</f>
        <v>1.18700677481554</v>
      </c>
    </row>
    <row r="245" customFormat="false" ht="15" hidden="false" customHeight="false" outlineLevel="0" collapsed="false">
      <c r="A245" s="56" t="n">
        <v>2026</v>
      </c>
      <c r="B245" s="56" t="n">
        <v>6</v>
      </c>
      <c r="C245" s="56" t="s">
        <v>165</v>
      </c>
      <c r="D245" s="56" t="s">
        <v>320</v>
      </c>
      <c r="E245" s="56" t="s">
        <v>143</v>
      </c>
      <c r="F245" s="56" t="s">
        <v>336</v>
      </c>
      <c r="G245" s="73" t="n">
        <f aca="false">SUMIFS(DRE_por_UN!$F:$F,DRE_por_UN!$C:$C,$C245,DRE_por_UN!$E:$E,$E245)*VLOOKUP($D245,$A$25:$H$36,4,0)</f>
        <v>16363.656</v>
      </c>
      <c r="H245" s="61" t="n">
        <f aca="false">VLOOKUP($D245,$A$25:$H$36,5,0)*(1+$B$5)^($A245-2025)*INDEX($B$40:$M$44,MATCH($E245,$A$40:$A$44,0),$B245)</f>
        <v>4494.4</v>
      </c>
      <c r="I245" s="62" t="n">
        <f aca="false">IF(H245=0,0,G245/H245)</f>
        <v>3.64089889640441</v>
      </c>
      <c r="J245" s="61" t="n">
        <f aca="false">G245-H245</f>
        <v>11869.256</v>
      </c>
      <c r="K245" s="61" t="n">
        <f aca="false">SUMIFS($G$48:$G$479,$D$48:$D$479,$D245,$A$48:$A$479,$A245,$B$48:$B$479,"&lt;="&amp;$B245)</f>
        <v>64708.368</v>
      </c>
      <c r="L245" s="61" t="n">
        <f aca="false">SUMIFS($H$48:$H$479,$D$48:$D$479,$D245,$A$48:$A$479,$A245,$B$48:$B$479,"&lt;="&amp;$B245)</f>
        <v>45222.6528</v>
      </c>
      <c r="M245" s="62" t="n">
        <f aca="false">IF(L245=0,0,K245/L245)</f>
        <v>1.4308839484976</v>
      </c>
    </row>
    <row r="246" customFormat="false" ht="15" hidden="false" customHeight="false" outlineLevel="0" collapsed="false">
      <c r="A246" s="56" t="n">
        <v>2026</v>
      </c>
      <c r="B246" s="56" t="n">
        <v>7</v>
      </c>
      <c r="C246" s="56" t="s">
        <v>166</v>
      </c>
      <c r="D246" s="56" t="s">
        <v>320</v>
      </c>
      <c r="E246" s="56" t="s">
        <v>143</v>
      </c>
      <c r="F246" s="56" t="s">
        <v>336</v>
      </c>
      <c r="G246" s="73" t="n">
        <f aca="false">SUMIFS(DRE_por_UN!$F:$F,DRE_por_UN!$C:$C,$C246,DRE_por_UN!$E:$E,$E246)*VLOOKUP($D246,$A$25:$H$36,4,0)</f>
        <v>6825.564</v>
      </c>
      <c r="H246" s="61" t="n">
        <f aca="false">VLOOKUP($D246,$A$25:$H$36,5,0)*(1+$B$5)^($A246-2025)*INDEX($B$40:$M$44,MATCH($E246,$A$40:$A$44,0),$B246)</f>
        <v>3667.4304</v>
      </c>
      <c r="I246" s="62" t="n">
        <f aca="false">IF(H246=0,0,G246/H246)</f>
        <v>1.86112979812787</v>
      </c>
      <c r="J246" s="61" t="n">
        <f aca="false">G246-H246</f>
        <v>3158.1336</v>
      </c>
      <c r="K246" s="61" t="n">
        <f aca="false">SUMIFS($G$48:$G$479,$D$48:$D$479,$D246,$A$48:$A$479,$A246,$B$48:$B$479,"&lt;="&amp;$B246)</f>
        <v>71533.932</v>
      </c>
      <c r="L246" s="61" t="n">
        <f aca="false">SUMIFS($H$48:$H$479,$D$48:$D$479,$D246,$A$48:$A$479,$A246,$B$48:$B$479,"&lt;="&amp;$B246)</f>
        <v>48890.0832</v>
      </c>
      <c r="M246" s="62" t="n">
        <f aca="false">IF(L246=0,0,K246/L246)</f>
        <v>1.46315832000875</v>
      </c>
    </row>
    <row r="247" customFormat="false" ht="15" hidden="false" customHeight="false" outlineLevel="0" collapsed="false">
      <c r="A247" s="56" t="n">
        <v>2026</v>
      </c>
      <c r="B247" s="56" t="n">
        <v>8</v>
      </c>
      <c r="C247" s="56" t="s">
        <v>167</v>
      </c>
      <c r="D247" s="56" t="s">
        <v>320</v>
      </c>
      <c r="E247" s="56" t="s">
        <v>143</v>
      </c>
      <c r="F247" s="56" t="s">
        <v>336</v>
      </c>
      <c r="G247" s="73" t="n">
        <f aca="false">SUMIFS(DRE_por_UN!$F:$F,DRE_por_UN!$C:$C,$C247,DRE_por_UN!$E:$E,$E247)*VLOOKUP($D247,$A$25:$H$36,4,0)</f>
        <v>10827.894</v>
      </c>
      <c r="H247" s="61" t="n">
        <f aca="false">VLOOKUP($D247,$A$25:$H$36,5,0)*(1+$B$5)^($A247-2025)*INDEX($B$40:$M$44,MATCH($E247,$A$40:$A$44,0),$B247)</f>
        <v>3919.1168</v>
      </c>
      <c r="I247" s="62" t="n">
        <f aca="false">IF(H247=0,0,G247/H247)</f>
        <v>2.76284034198726</v>
      </c>
      <c r="J247" s="61" t="n">
        <f aca="false">G247-H247</f>
        <v>6908.7772</v>
      </c>
      <c r="K247" s="61" t="n">
        <f aca="false">SUMIFS($G$48:$G$479,$D$48:$D$479,$D247,$A$48:$A$479,$A247,$B$48:$B$479,"&lt;="&amp;$B247)</f>
        <v>82361.826</v>
      </c>
      <c r="L247" s="61" t="n">
        <f aca="false">SUMIFS($H$48:$H$479,$D$48:$D$479,$D247,$A$48:$A$479,$A247,$B$48:$B$479,"&lt;="&amp;$B247)</f>
        <v>52809.2</v>
      </c>
      <c r="M247" s="62" t="n">
        <f aca="false">IF(L247=0,0,K247/L247)</f>
        <v>1.55961131772494</v>
      </c>
    </row>
    <row r="248" customFormat="false" ht="15" hidden="false" customHeight="false" outlineLevel="0" collapsed="false">
      <c r="A248" s="56" t="n">
        <v>2026</v>
      </c>
      <c r="B248" s="56" t="n">
        <v>9</v>
      </c>
      <c r="C248" s="56" t="s">
        <v>168</v>
      </c>
      <c r="D248" s="56" t="s">
        <v>320</v>
      </c>
      <c r="E248" s="56" t="s">
        <v>143</v>
      </c>
      <c r="F248" s="56" t="s">
        <v>336</v>
      </c>
      <c r="G248" s="73" t="n">
        <f aca="false">SUMIFS(DRE_por_UN!$F:$F,DRE_por_UN!$C:$C,$C248,DRE_por_UN!$E:$E,$E248)*VLOOKUP($D248,$A$25:$H$36,4,0)</f>
        <v>9056.292</v>
      </c>
      <c r="H248" s="61" t="n">
        <f aca="false">VLOOKUP($D248,$A$25:$H$36,5,0)*(1+$B$5)^($A248-2025)*INDEX($B$40:$M$44,MATCH($E248,$A$40:$A$44,0),$B248)</f>
        <v>17060.7424</v>
      </c>
      <c r="I248" s="62" t="n">
        <f aca="false">IF(H248=0,0,G248/H248)</f>
        <v>0.530826372479547</v>
      </c>
      <c r="J248" s="61" t="n">
        <f aca="false">G248-H248</f>
        <v>-8004.4504</v>
      </c>
      <c r="K248" s="61" t="n">
        <f aca="false">SUMIFS($G$48:$G$479,$D$48:$D$479,$D248,$A$48:$A$479,$A248,$B$48:$B$479,"&lt;="&amp;$B248)</f>
        <v>91418.118</v>
      </c>
      <c r="L248" s="61" t="n">
        <f aca="false">SUMIFS($H$48:$H$479,$D$48:$D$479,$D248,$A$48:$A$479,$A248,$B$48:$B$479,"&lt;="&amp;$B248)</f>
        <v>69869.9424</v>
      </c>
      <c r="M248" s="62" t="n">
        <f aca="false">IF(L248=0,0,K248/L248)</f>
        <v>1.30840408421462</v>
      </c>
    </row>
    <row r="249" customFormat="false" ht="15" hidden="false" customHeight="false" outlineLevel="0" collapsed="false">
      <c r="A249" s="56" t="n">
        <v>2026</v>
      </c>
      <c r="B249" s="56" t="n">
        <v>10</v>
      </c>
      <c r="C249" s="56" t="s">
        <v>169</v>
      </c>
      <c r="D249" s="56" t="s">
        <v>320</v>
      </c>
      <c r="E249" s="56" t="s">
        <v>143</v>
      </c>
      <c r="F249" s="56" t="s">
        <v>336</v>
      </c>
      <c r="G249" s="73" t="n">
        <f aca="false">SUMIFS(DRE_por_UN!$F:$F,DRE_por_UN!$C:$C,$C249,DRE_por_UN!$E:$E,$E249)*VLOOKUP($D249,$A$25:$H$36,4,0)</f>
        <v>10946.31</v>
      </c>
      <c r="H249" s="61" t="n">
        <f aca="false">VLOOKUP($D249,$A$25:$H$36,5,0)*(1+$B$5)^($A249-2025)*INDEX($B$40:$M$44,MATCH($E249,$A$40:$A$44,0),$B249)</f>
        <v>4503.3888</v>
      </c>
      <c r="I249" s="62" t="n">
        <f aca="false">IF(H249=0,0,G249/H249)</f>
        <v>2.43068286708889</v>
      </c>
      <c r="J249" s="61" t="n">
        <f aca="false">G249-H249</f>
        <v>6442.9212</v>
      </c>
      <c r="K249" s="61" t="n">
        <f aca="false">SUMIFS($G$48:$G$479,$D$48:$D$479,$D249,$A$48:$A$479,$A249,$B$48:$B$479,"&lt;="&amp;$B249)</f>
        <v>102364.428</v>
      </c>
      <c r="L249" s="61" t="n">
        <f aca="false">SUMIFS($H$48:$H$479,$D$48:$D$479,$D249,$A$48:$A$479,$A249,$B$48:$B$479,"&lt;="&amp;$B249)</f>
        <v>74373.3312</v>
      </c>
      <c r="M249" s="62" t="n">
        <f aca="false">IF(L249=0,0,K249/L249)</f>
        <v>1.37635932596226</v>
      </c>
    </row>
    <row r="250" customFormat="false" ht="15" hidden="false" customHeight="false" outlineLevel="0" collapsed="false">
      <c r="A250" s="56" t="n">
        <v>2026</v>
      </c>
      <c r="B250" s="56" t="n">
        <v>11</v>
      </c>
      <c r="C250" s="56" t="s">
        <v>170</v>
      </c>
      <c r="D250" s="56" t="s">
        <v>320</v>
      </c>
      <c r="E250" s="56" t="s">
        <v>143</v>
      </c>
      <c r="F250" s="56" t="s">
        <v>336</v>
      </c>
      <c r="G250" s="73" t="n">
        <f aca="false">SUMIFS(DRE_por_UN!$F:$F,DRE_por_UN!$C:$C,$C250,DRE_por_UN!$E:$E,$E250)*VLOOKUP($D250,$A$25:$H$36,4,0)</f>
        <v>9555.534</v>
      </c>
      <c r="H250" s="61" t="n">
        <f aca="false">VLOOKUP($D250,$A$25:$H$36,5,0)*(1+$B$5)^($A250-2025)*INDEX($B$40:$M$44,MATCH($E250,$A$40:$A$44,0),$B250)</f>
        <v>3910.128</v>
      </c>
      <c r="I250" s="62" t="n">
        <f aca="false">IF(H250=0,0,G250/H250)</f>
        <v>2.44379058690662</v>
      </c>
      <c r="J250" s="61" t="n">
        <f aca="false">G250-H250</f>
        <v>5645.406</v>
      </c>
      <c r="K250" s="61" t="n">
        <f aca="false">SUMIFS($G$48:$G$479,$D$48:$D$479,$D250,$A$48:$A$479,$A250,$B$48:$B$479,"&lt;="&amp;$B250)</f>
        <v>111919.962</v>
      </c>
      <c r="L250" s="61" t="n">
        <f aca="false">SUMIFS($H$48:$H$479,$D$48:$D$479,$D250,$A$48:$A$479,$A250,$B$48:$B$479,"&lt;="&amp;$B250)</f>
        <v>78283.4592</v>
      </c>
      <c r="M250" s="62" t="n">
        <f aca="false">IF(L250=0,0,K250/L250)</f>
        <v>1.4296757341045</v>
      </c>
    </row>
    <row r="251" customFormat="false" ht="15" hidden="false" customHeight="false" outlineLevel="0" collapsed="false">
      <c r="A251" s="56" t="n">
        <v>2026</v>
      </c>
      <c r="B251" s="56" t="n">
        <v>12</v>
      </c>
      <c r="C251" s="56" t="s">
        <v>171</v>
      </c>
      <c r="D251" s="56" t="s">
        <v>320</v>
      </c>
      <c r="E251" s="56" t="s">
        <v>143</v>
      </c>
      <c r="F251" s="56" t="s">
        <v>336</v>
      </c>
      <c r="G251" s="73" t="n">
        <f aca="false">SUMIFS(DRE_por_UN!$F:$F,DRE_por_UN!$C:$C,$C251,DRE_por_UN!$E:$E,$E251)*VLOOKUP($D251,$A$25:$H$36,4,0)</f>
        <v>6356.742</v>
      </c>
      <c r="H251" s="61" t="n">
        <f aca="false">VLOOKUP($D251,$A$25:$H$36,5,0)*(1+$B$5)^($A251-2025)*INDEX($B$40:$M$44,MATCH($E251,$A$40:$A$44,0),$B251)</f>
        <v>11595.552</v>
      </c>
      <c r="I251" s="62" t="n">
        <f aca="false">IF(H251=0,0,G251/H251)</f>
        <v>0.548205208341957</v>
      </c>
      <c r="J251" s="61" t="n">
        <f aca="false">G251-H251</f>
        <v>-5238.81</v>
      </c>
      <c r="K251" s="61" t="n">
        <f aca="false">SUMIFS($G$48:$G$479,$D$48:$D$479,$D251,$A$48:$A$479,$A251,$B$48:$B$479,"&lt;="&amp;$B251)</f>
        <v>118276.704</v>
      </c>
      <c r="L251" s="61" t="n">
        <f aca="false">SUMIFS($H$48:$H$479,$D$48:$D$479,$D251,$A$48:$A$479,$A251,$B$48:$B$479,"&lt;="&amp;$B251)</f>
        <v>89879.0112</v>
      </c>
      <c r="M251" s="62" t="n">
        <f aca="false">IF(L251=0,0,K251/L251)</f>
        <v>1.31595466417414</v>
      </c>
    </row>
    <row r="252" customFormat="false" ht="15" hidden="false" customHeight="false" outlineLevel="0" collapsed="false">
      <c r="A252" s="56" t="n">
        <v>2027</v>
      </c>
      <c r="B252" s="56" t="n">
        <v>1</v>
      </c>
      <c r="C252" s="56" t="s">
        <v>172</v>
      </c>
      <c r="D252" s="56" t="s">
        <v>320</v>
      </c>
      <c r="E252" s="56" t="s">
        <v>143</v>
      </c>
      <c r="F252" s="56" t="s">
        <v>336</v>
      </c>
      <c r="G252" s="73" t="n">
        <f aca="false">SUMIFS(DRE_por_UN!$F:$F,DRE_por_UN!$C:$C,$C252,DRE_por_UN!$E:$E,$E252)*VLOOKUP($D252,$A$25:$H$36,4,0)</f>
        <v>17435.2794</v>
      </c>
      <c r="H252" s="61" t="n">
        <f aca="false">VLOOKUP($D252,$A$25:$H$36,5,0)*(1+$B$5)^($A252-2025)*INDEX($B$40:$M$44,MATCH($E252,$A$40:$A$44,0),$B252)</f>
        <v>21104.80352</v>
      </c>
      <c r="I252" s="62" t="n">
        <f aca="false">IF(H252=0,0,G252/H252)</f>
        <v>0.826128486980579</v>
      </c>
      <c r="J252" s="61" t="n">
        <f aca="false">G252-H252</f>
        <v>-3669.52412000001</v>
      </c>
      <c r="K252" s="61" t="n">
        <f aca="false">SUMIFS($G$48:$G$479,$D$48:$D$479,$D252,$A$48:$A$479,$A252,$B$48:$B$479,"&lt;="&amp;$B252)</f>
        <v>17435.2794</v>
      </c>
      <c r="L252" s="61" t="n">
        <f aca="false">SUMIFS($H$48:$H$479,$D$48:$D$479,$D252,$A$48:$A$479,$A252,$B$48:$B$479,"&lt;="&amp;$B252)</f>
        <v>21104.80352</v>
      </c>
      <c r="M252" s="62" t="n">
        <f aca="false">IF(L252=0,0,K252/L252)</f>
        <v>0.826128486980579</v>
      </c>
    </row>
    <row r="253" customFormat="false" ht="15" hidden="false" customHeight="false" outlineLevel="0" collapsed="false">
      <c r="A253" s="56" t="n">
        <v>2027</v>
      </c>
      <c r="B253" s="56" t="n">
        <v>2</v>
      </c>
      <c r="C253" s="56" t="s">
        <v>173</v>
      </c>
      <c r="D253" s="56" t="s">
        <v>320</v>
      </c>
      <c r="E253" s="56" t="s">
        <v>143</v>
      </c>
      <c r="F253" s="56" t="s">
        <v>336</v>
      </c>
      <c r="G253" s="73" t="n">
        <f aca="false">SUMIFS(DRE_por_UN!$F:$F,DRE_por_UN!$C:$C,$C253,DRE_por_UN!$E:$E,$E253)*VLOOKUP($D253,$A$25:$H$36,4,0)</f>
        <v>2510.046</v>
      </c>
      <c r="H253" s="61" t="n">
        <f aca="false">VLOOKUP($D253,$A$25:$H$36,5,0)*(1+$B$5)^($A253-2025)*INDEX($B$40:$M$44,MATCH($E253,$A$40:$A$44,0),$B253)</f>
        <v>3811.2512</v>
      </c>
      <c r="I253" s="62" t="n">
        <f aca="false">IF(H253=0,0,G253/H253)</f>
        <v>0.658588444655655</v>
      </c>
      <c r="J253" s="61" t="n">
        <f aca="false">G253-H253</f>
        <v>-1301.2052</v>
      </c>
      <c r="K253" s="61" t="n">
        <f aca="false">SUMIFS($G$48:$G$479,$D$48:$D$479,$D253,$A$48:$A$479,$A253,$B$48:$B$479,"&lt;="&amp;$B253)</f>
        <v>19945.3254</v>
      </c>
      <c r="L253" s="61" t="n">
        <f aca="false">SUMIFS($H$48:$H$479,$D$48:$D$479,$D253,$A$48:$A$479,$A253,$B$48:$B$479,"&lt;="&amp;$B253)</f>
        <v>24916.05472</v>
      </c>
      <c r="M253" s="62" t="n">
        <f aca="false">IF(L253=0,0,K253/L253)</f>
        <v>0.8005009470456</v>
      </c>
    </row>
    <row r="254" customFormat="false" ht="15" hidden="false" customHeight="false" outlineLevel="0" collapsed="false">
      <c r="A254" s="56" t="n">
        <v>2027</v>
      </c>
      <c r="B254" s="56" t="n">
        <v>3</v>
      </c>
      <c r="C254" s="56" t="s">
        <v>174</v>
      </c>
      <c r="D254" s="56" t="s">
        <v>320</v>
      </c>
      <c r="E254" s="56" t="s">
        <v>143</v>
      </c>
      <c r="F254" s="56" t="s">
        <v>336</v>
      </c>
      <c r="G254" s="73" t="n">
        <f aca="false">SUMIFS(DRE_por_UN!$F:$F,DRE_por_UN!$C:$C,$C254,DRE_por_UN!$E:$E,$E254)*VLOOKUP($D254,$A$25:$H$36,4,0)</f>
        <v>4495.8936</v>
      </c>
      <c r="H254" s="61" t="n">
        <f aca="false">VLOOKUP($D254,$A$25:$H$36,5,0)*(1+$B$5)^($A254-2025)*INDEX($B$40:$M$44,MATCH($E254,$A$40:$A$44,0),$B254)</f>
        <v>6431.4864</v>
      </c>
      <c r="I254" s="62" t="n">
        <f aca="false">IF(H254=0,0,G254/H254)</f>
        <v>0.699044252041021</v>
      </c>
      <c r="J254" s="61" t="n">
        <f aca="false">G254-H254</f>
        <v>-1935.5928</v>
      </c>
      <c r="K254" s="61" t="n">
        <f aca="false">SUMIFS($G$48:$G$479,$D$48:$D$479,$D254,$A$48:$A$479,$A254,$B$48:$B$479,"&lt;="&amp;$B254)</f>
        <v>24441.219</v>
      </c>
      <c r="L254" s="61" t="n">
        <f aca="false">SUMIFS($H$48:$H$479,$D$48:$D$479,$D254,$A$48:$A$479,$A254,$B$48:$B$479,"&lt;="&amp;$B254)</f>
        <v>31347.54112</v>
      </c>
      <c r="M254" s="62" t="n">
        <f aca="false">IF(L254=0,0,K254/L254)</f>
        <v>0.779685363723992</v>
      </c>
    </row>
    <row r="255" customFormat="false" ht="15" hidden="false" customHeight="false" outlineLevel="0" collapsed="false">
      <c r="A255" s="56" t="n">
        <v>2027</v>
      </c>
      <c r="B255" s="56" t="n">
        <v>4</v>
      </c>
      <c r="C255" s="56" t="s">
        <v>175</v>
      </c>
      <c r="D255" s="56" t="s">
        <v>320</v>
      </c>
      <c r="E255" s="56" t="s">
        <v>143</v>
      </c>
      <c r="F255" s="56" t="s">
        <v>336</v>
      </c>
      <c r="G255" s="73" t="n">
        <f aca="false">SUMIFS(DRE_por_UN!$F:$F,DRE_por_UN!$C:$C,$C255,DRE_por_UN!$E:$E,$E255)*VLOOKUP($D255,$A$25:$H$36,4,0)</f>
        <v>4335.0912</v>
      </c>
      <c r="H255" s="61" t="n">
        <f aca="false">VLOOKUP($D255,$A$25:$H$36,5,0)*(1+$B$5)^($A255-2025)*INDEX($B$40:$M$44,MATCH($E255,$A$40:$A$44,0),$B255)</f>
        <v>6279.036352</v>
      </c>
      <c r="I255" s="62" t="n">
        <f aca="false">IF(H255=0,0,G255/H255)</f>
        <v>0.690407087485516</v>
      </c>
      <c r="J255" s="61" t="n">
        <f aca="false">G255-H255</f>
        <v>-1943.945152</v>
      </c>
      <c r="K255" s="61" t="n">
        <f aca="false">SUMIFS($G$48:$G$479,$D$48:$D$479,$D255,$A$48:$A$479,$A255,$B$48:$B$479,"&lt;="&amp;$B255)</f>
        <v>28776.3102</v>
      </c>
      <c r="L255" s="61" t="n">
        <f aca="false">SUMIFS($H$48:$H$479,$D$48:$D$479,$D255,$A$48:$A$479,$A255,$B$48:$B$479,"&lt;="&amp;$B255)</f>
        <v>37626.577472</v>
      </c>
      <c r="M255" s="62" t="n">
        <f aca="false">IF(L255=0,0,K255/L255)</f>
        <v>0.764786811168622</v>
      </c>
    </row>
    <row r="256" customFormat="false" ht="15" hidden="false" customHeight="false" outlineLevel="0" collapsed="false">
      <c r="A256" s="56" t="n">
        <v>2027</v>
      </c>
      <c r="B256" s="56" t="n">
        <v>5</v>
      </c>
      <c r="C256" s="56" t="s">
        <v>176</v>
      </c>
      <c r="D256" s="56" t="s">
        <v>320</v>
      </c>
      <c r="E256" s="56" t="s">
        <v>143</v>
      </c>
      <c r="F256" s="56" t="s">
        <v>336</v>
      </c>
      <c r="G256" s="73" t="n">
        <f aca="false">SUMIFS(DRE_por_UN!$F:$F,DRE_por_UN!$C:$C,$C256,DRE_por_UN!$E:$E,$E256)*VLOOKUP($D256,$A$25:$H$36,4,0)</f>
        <v>24402.873</v>
      </c>
      <c r="H256" s="61" t="n">
        <f aca="false">VLOOKUP($D256,$A$25:$H$36,5,0)*(1+$B$5)^($A256-2025)*INDEX($B$40:$M$44,MATCH($E256,$A$40:$A$44,0),$B256)</f>
        <v>5545.370496</v>
      </c>
      <c r="I256" s="62" t="n">
        <f aca="false">IF(H256=0,0,G256/H256)</f>
        <v>4.40058477925007</v>
      </c>
      <c r="J256" s="61" t="n">
        <f aca="false">G256-H256</f>
        <v>18857.502504</v>
      </c>
      <c r="K256" s="61" t="n">
        <f aca="false">SUMIFS($G$48:$G$479,$D$48:$D$479,$D256,$A$48:$A$479,$A256,$B$48:$B$479,"&lt;="&amp;$B256)</f>
        <v>53179.1832</v>
      </c>
      <c r="L256" s="61" t="n">
        <f aca="false">SUMIFS($H$48:$H$479,$D$48:$D$479,$D256,$A$48:$A$479,$A256,$B$48:$B$479,"&lt;="&amp;$B256)</f>
        <v>43171.947968</v>
      </c>
      <c r="M256" s="62" t="n">
        <f aca="false">IF(L256=0,0,K256/L256)</f>
        <v>1.23179948329915</v>
      </c>
    </row>
    <row r="257" customFormat="false" ht="15" hidden="false" customHeight="false" outlineLevel="0" collapsed="false">
      <c r="A257" s="56" t="n">
        <v>2027</v>
      </c>
      <c r="B257" s="56" t="n">
        <v>6</v>
      </c>
      <c r="C257" s="56" t="s">
        <v>177</v>
      </c>
      <c r="D257" s="56" t="s">
        <v>320</v>
      </c>
      <c r="E257" s="56" t="s">
        <v>143</v>
      </c>
      <c r="F257" s="56" t="s">
        <v>336</v>
      </c>
      <c r="G257" s="73" t="n">
        <f aca="false">SUMIFS(DRE_por_UN!$F:$F,DRE_por_UN!$C:$C,$C257,DRE_por_UN!$E:$E,$E257)*VLOOKUP($D257,$A$25:$H$36,4,0)</f>
        <v>18000.0216</v>
      </c>
      <c r="H257" s="61" t="n">
        <f aca="false">VLOOKUP($D257,$A$25:$H$36,5,0)*(1+$B$5)^($A257-2025)*INDEX($B$40:$M$44,MATCH($E257,$A$40:$A$44,0),$B257)</f>
        <v>4764.064</v>
      </c>
      <c r="I257" s="62" t="n">
        <f aca="false">IF(H257=0,0,G257/H257)</f>
        <v>3.77829130758949</v>
      </c>
      <c r="J257" s="61" t="n">
        <f aca="false">G257-H257</f>
        <v>13235.9576</v>
      </c>
      <c r="K257" s="61" t="n">
        <f aca="false">SUMIFS($G$48:$G$479,$D$48:$D$479,$D257,$A$48:$A$479,$A257,$B$48:$B$479,"&lt;="&amp;$B257)</f>
        <v>71179.2048</v>
      </c>
      <c r="L257" s="61" t="n">
        <f aca="false">SUMIFS($H$48:$H$479,$D$48:$D$479,$D257,$A$48:$A$479,$A257,$B$48:$B$479,"&lt;="&amp;$B257)</f>
        <v>47936.011968</v>
      </c>
      <c r="M257" s="62" t="n">
        <f aca="false">IF(L257=0,0,K257/L257)</f>
        <v>1.48487956919562</v>
      </c>
    </row>
    <row r="258" customFormat="false" ht="15" hidden="false" customHeight="false" outlineLevel="0" collapsed="false">
      <c r="A258" s="56" t="n">
        <v>2027</v>
      </c>
      <c r="B258" s="56" t="n">
        <v>7</v>
      </c>
      <c r="C258" s="56" t="s">
        <v>178</v>
      </c>
      <c r="D258" s="56" t="s">
        <v>320</v>
      </c>
      <c r="E258" s="56" t="s">
        <v>143</v>
      </c>
      <c r="F258" s="56" t="s">
        <v>336</v>
      </c>
      <c r="G258" s="73" t="n">
        <f aca="false">SUMIFS(DRE_por_UN!$F:$F,DRE_por_UN!$C:$C,$C258,DRE_por_UN!$E:$E,$E258)*VLOOKUP($D258,$A$25:$H$36,4,0)</f>
        <v>7508.1204</v>
      </c>
      <c r="H258" s="61" t="n">
        <f aca="false">VLOOKUP($D258,$A$25:$H$36,5,0)*(1+$B$5)^($A258-2025)*INDEX($B$40:$M$44,MATCH($E258,$A$40:$A$44,0),$B258)</f>
        <v>3887.476224</v>
      </c>
      <c r="I258" s="62" t="n">
        <f aca="false">IF(H258=0,0,G258/H258)</f>
        <v>1.93136111126477</v>
      </c>
      <c r="J258" s="61" t="n">
        <f aca="false">G258-H258</f>
        <v>3620.644176</v>
      </c>
      <c r="K258" s="61" t="n">
        <f aca="false">SUMIFS($G$48:$G$479,$D$48:$D$479,$D258,$A$48:$A$479,$A258,$B$48:$B$479,"&lt;="&amp;$B258)</f>
        <v>78687.3252</v>
      </c>
      <c r="L258" s="61" t="n">
        <f aca="false">SUMIFS($H$48:$H$479,$D$48:$D$479,$D258,$A$48:$A$479,$A258,$B$48:$B$479,"&lt;="&amp;$B258)</f>
        <v>51823.488192</v>
      </c>
      <c r="M258" s="62" t="n">
        <f aca="false">IF(L258=0,0,K258/L258)</f>
        <v>1.51837184151851</v>
      </c>
    </row>
    <row r="259" customFormat="false" ht="15" hidden="false" customHeight="false" outlineLevel="0" collapsed="false">
      <c r="A259" s="56" t="n">
        <v>2027</v>
      </c>
      <c r="B259" s="56" t="n">
        <v>8</v>
      </c>
      <c r="C259" s="56" t="s">
        <v>179</v>
      </c>
      <c r="D259" s="56" t="s">
        <v>320</v>
      </c>
      <c r="E259" s="56" t="s">
        <v>143</v>
      </c>
      <c r="F259" s="56" t="s">
        <v>336</v>
      </c>
      <c r="G259" s="73" t="n">
        <f aca="false">SUMIFS(DRE_por_UN!$F:$F,DRE_por_UN!$C:$C,$C259,DRE_por_UN!$E:$E,$E259)*VLOOKUP($D259,$A$25:$H$36,4,0)</f>
        <v>11910.6834</v>
      </c>
      <c r="H259" s="61" t="n">
        <f aca="false">VLOOKUP($D259,$A$25:$H$36,5,0)*(1+$B$5)^($A259-2025)*INDEX($B$40:$M$44,MATCH($E259,$A$40:$A$44,0),$B259)</f>
        <v>4154.263808</v>
      </c>
      <c r="I259" s="62" t="n">
        <f aca="false">IF(H259=0,0,G259/H259)</f>
        <v>2.86709846809998</v>
      </c>
      <c r="J259" s="61" t="n">
        <f aca="false">G259-H259</f>
        <v>7756.419592</v>
      </c>
      <c r="K259" s="61" t="n">
        <f aca="false">SUMIFS($G$48:$G$479,$D$48:$D$479,$D259,$A$48:$A$479,$A259,$B$48:$B$479,"&lt;="&amp;$B259)</f>
        <v>90598.0086</v>
      </c>
      <c r="L259" s="61" t="n">
        <f aca="false">SUMIFS($H$48:$H$479,$D$48:$D$479,$D259,$A$48:$A$479,$A259,$B$48:$B$479,"&lt;="&amp;$B259)</f>
        <v>55977.752</v>
      </c>
      <c r="M259" s="62" t="n">
        <f aca="false">IF(L259=0,0,K259/L259)</f>
        <v>1.61846457499758</v>
      </c>
    </row>
    <row r="260" customFormat="false" ht="15" hidden="false" customHeight="false" outlineLevel="0" collapsed="false">
      <c r="A260" s="56" t="n">
        <v>2027</v>
      </c>
      <c r="B260" s="56" t="n">
        <v>9</v>
      </c>
      <c r="C260" s="56" t="s">
        <v>180</v>
      </c>
      <c r="D260" s="56" t="s">
        <v>320</v>
      </c>
      <c r="E260" s="56" t="s">
        <v>143</v>
      </c>
      <c r="F260" s="56" t="s">
        <v>336</v>
      </c>
      <c r="G260" s="73" t="n">
        <f aca="false">SUMIFS(DRE_por_UN!$F:$F,DRE_por_UN!$C:$C,$C260,DRE_por_UN!$E:$E,$E260)*VLOOKUP($D260,$A$25:$H$36,4,0)</f>
        <v>9961.9212</v>
      </c>
      <c r="H260" s="61" t="n">
        <f aca="false">VLOOKUP($D260,$A$25:$H$36,5,0)*(1+$B$5)^($A260-2025)*INDEX($B$40:$M$44,MATCH($E260,$A$40:$A$44,0),$B260)</f>
        <v>18084.386944</v>
      </c>
      <c r="I260" s="62" t="n">
        <f aca="false">IF(H260=0,0,G260/H260)</f>
        <v>0.5508575563467</v>
      </c>
      <c r="J260" s="61" t="n">
        <f aca="false">G260-H260</f>
        <v>-8122.465744</v>
      </c>
      <c r="K260" s="61" t="n">
        <f aca="false">SUMIFS($G$48:$G$479,$D$48:$D$479,$D260,$A$48:$A$479,$A260,$B$48:$B$479,"&lt;="&amp;$B260)</f>
        <v>100559.9298</v>
      </c>
      <c r="L260" s="61" t="n">
        <f aca="false">SUMIFS($H$48:$H$479,$D$48:$D$479,$D260,$A$48:$A$479,$A260,$B$48:$B$479,"&lt;="&amp;$B260)</f>
        <v>74062.138944</v>
      </c>
      <c r="M260" s="62" t="n">
        <f aca="false">IF(L260=0,0,K260/L260)</f>
        <v>1.35777782324158</v>
      </c>
    </row>
    <row r="261" customFormat="false" ht="15" hidden="false" customHeight="false" outlineLevel="0" collapsed="false">
      <c r="A261" s="56" t="n">
        <v>2027</v>
      </c>
      <c r="B261" s="56" t="n">
        <v>10</v>
      </c>
      <c r="C261" s="56" t="s">
        <v>181</v>
      </c>
      <c r="D261" s="56" t="s">
        <v>320</v>
      </c>
      <c r="E261" s="56" t="s">
        <v>143</v>
      </c>
      <c r="F261" s="56" t="s">
        <v>336</v>
      </c>
      <c r="G261" s="73" t="n">
        <f aca="false">SUMIFS(DRE_por_UN!$F:$F,DRE_por_UN!$C:$C,$C261,DRE_por_UN!$E:$E,$E261)*VLOOKUP($D261,$A$25:$H$36,4,0)</f>
        <v>12040.941</v>
      </c>
      <c r="H261" s="61" t="n">
        <f aca="false">VLOOKUP($D261,$A$25:$H$36,5,0)*(1+$B$5)^($A261-2025)*INDEX($B$40:$M$44,MATCH($E261,$A$40:$A$44,0),$B261)</f>
        <v>4773.592128</v>
      </c>
      <c r="I261" s="62" t="n">
        <f aca="false">IF(H261=0,0,G261/H261)</f>
        <v>2.52240674886583</v>
      </c>
      <c r="J261" s="61" t="n">
        <f aca="false">G261-H261</f>
        <v>7267.348872</v>
      </c>
      <c r="K261" s="61" t="n">
        <f aca="false">SUMIFS($G$48:$G$479,$D$48:$D$479,$D261,$A$48:$A$479,$A261,$B$48:$B$479,"&lt;="&amp;$B261)</f>
        <v>112600.8708</v>
      </c>
      <c r="L261" s="61" t="n">
        <f aca="false">SUMIFS($H$48:$H$479,$D$48:$D$479,$D261,$A$48:$A$479,$A261,$B$48:$B$479,"&lt;="&amp;$B261)</f>
        <v>78835.731072</v>
      </c>
      <c r="M261" s="62" t="n">
        <f aca="false">IF(L261=0,0,K261/L261)</f>
        <v>1.42829741373442</v>
      </c>
    </row>
    <row r="262" customFormat="false" ht="15" hidden="false" customHeight="false" outlineLevel="0" collapsed="false">
      <c r="A262" s="56" t="n">
        <v>2027</v>
      </c>
      <c r="B262" s="56" t="n">
        <v>11</v>
      </c>
      <c r="C262" s="56" t="s">
        <v>182</v>
      </c>
      <c r="D262" s="56" t="s">
        <v>320</v>
      </c>
      <c r="E262" s="56" t="s">
        <v>143</v>
      </c>
      <c r="F262" s="56" t="s">
        <v>336</v>
      </c>
      <c r="G262" s="73" t="n">
        <f aca="false">SUMIFS(DRE_por_UN!$F:$F,DRE_por_UN!$C:$C,$C262,DRE_por_UN!$E:$E,$E262)*VLOOKUP($D262,$A$25:$H$36,4,0)</f>
        <v>10511.0874</v>
      </c>
      <c r="H262" s="61" t="n">
        <f aca="false">VLOOKUP($D262,$A$25:$H$36,5,0)*(1+$B$5)^($A262-2025)*INDEX($B$40:$M$44,MATCH($E262,$A$40:$A$44,0),$B262)</f>
        <v>4144.73568</v>
      </c>
      <c r="I262" s="62" t="n">
        <f aca="false">IF(H262=0,0,G262/H262)</f>
        <v>2.53600909962007</v>
      </c>
      <c r="J262" s="61" t="n">
        <f aca="false">G262-H262</f>
        <v>6366.35172</v>
      </c>
      <c r="K262" s="61" t="n">
        <f aca="false">SUMIFS($G$48:$G$479,$D$48:$D$479,$D262,$A$48:$A$479,$A262,$B$48:$B$479,"&lt;="&amp;$B262)</f>
        <v>123111.9582</v>
      </c>
      <c r="L262" s="61" t="n">
        <f aca="false">SUMIFS($H$48:$H$479,$D$48:$D$479,$D262,$A$48:$A$479,$A262,$B$48:$B$479,"&lt;="&amp;$B262)</f>
        <v>82980.466752</v>
      </c>
      <c r="M262" s="62" t="n">
        <f aca="false">IF(L262=0,0,K262/L262)</f>
        <v>1.48362576180656</v>
      </c>
    </row>
    <row r="263" customFormat="false" ht="15" hidden="false" customHeight="false" outlineLevel="0" collapsed="false">
      <c r="A263" s="56" t="n">
        <v>2027</v>
      </c>
      <c r="B263" s="56" t="n">
        <v>12</v>
      </c>
      <c r="C263" s="56" t="s">
        <v>183</v>
      </c>
      <c r="D263" s="56" t="s">
        <v>320</v>
      </c>
      <c r="E263" s="56" t="s">
        <v>143</v>
      </c>
      <c r="F263" s="56" t="s">
        <v>336</v>
      </c>
      <c r="G263" s="73" t="n">
        <f aca="false">SUMIFS(DRE_por_UN!$F:$F,DRE_por_UN!$C:$C,$C263,DRE_por_UN!$E:$E,$E263)*VLOOKUP($D263,$A$25:$H$36,4,0)</f>
        <v>6992.4162</v>
      </c>
      <c r="H263" s="61" t="n">
        <f aca="false">VLOOKUP($D263,$A$25:$H$36,5,0)*(1+$B$5)^($A263-2025)*INDEX($B$40:$M$44,MATCH($E263,$A$40:$A$44,0),$B263)</f>
        <v>12291.28512</v>
      </c>
      <c r="I263" s="62" t="n">
        <f aca="false">IF(H263=0,0,G263/H263)</f>
        <v>0.568892197335993</v>
      </c>
      <c r="J263" s="61" t="n">
        <f aca="false">G263-H263</f>
        <v>-5298.86892</v>
      </c>
      <c r="K263" s="61" t="n">
        <f aca="false">SUMIFS($G$48:$G$479,$D$48:$D$479,$D263,$A$48:$A$479,$A263,$B$48:$B$479,"&lt;="&amp;$B263)</f>
        <v>130104.3744</v>
      </c>
      <c r="L263" s="61" t="n">
        <f aca="false">SUMIFS($H$48:$H$479,$D$48:$D$479,$D263,$A$48:$A$479,$A263,$B$48:$B$479,"&lt;="&amp;$B263)</f>
        <v>95271.751872</v>
      </c>
      <c r="M263" s="62" t="n">
        <f aca="false">IF(L263=0,0,K263/L263)</f>
        <v>1.36561333074675</v>
      </c>
    </row>
    <row r="264" customFormat="false" ht="15" hidden="false" customHeight="false" outlineLevel="0" collapsed="false">
      <c r="A264" s="56" t="n">
        <v>2025</v>
      </c>
      <c r="B264" s="56" t="n">
        <v>1</v>
      </c>
      <c r="C264" s="56" t="s">
        <v>148</v>
      </c>
      <c r="D264" s="56" t="s">
        <v>321</v>
      </c>
      <c r="E264" s="56" t="s">
        <v>143</v>
      </c>
      <c r="F264" s="56" t="s">
        <v>339</v>
      </c>
      <c r="G264" s="73" t="n">
        <f aca="false">SUMIFS(DRE_por_UN!$F:$F,DRE_por_UN!$C:$C,$C264,DRE_por_UN!$E:$E,$E264)*VLOOKUP($D264,$A$25:$H$36,4,0)</f>
        <v>11926.284</v>
      </c>
      <c r="H264" s="61" t="n">
        <f aca="false">VLOOKUP($D264,$A$25:$H$36,5,0)*(1+$B$5)^($A264-2025)*INDEX($B$40:$M$44,MATCH($E264,$A$40:$A$44,0),$B264)</f>
        <v>11916.7</v>
      </c>
      <c r="I264" s="62" t="n">
        <f aca="false">IF(H264=0,0,G264/H264)</f>
        <v>1.0008042494986</v>
      </c>
      <c r="J264" s="61" t="n">
        <f aca="false">G264-H264</f>
        <v>9.58399999999892</v>
      </c>
      <c r="K264" s="61" t="n">
        <f aca="false">SUMIFS($G$48:$G$479,$D$48:$D$479,$D264,$A$48:$A$479,$A264,$B$48:$B$479,"&lt;="&amp;$B264)</f>
        <v>11926.284</v>
      </c>
      <c r="L264" s="61" t="n">
        <f aca="false">SUMIFS($H$48:$H$479,$D$48:$D$479,$D264,$A$48:$A$479,$A264,$B$48:$B$479,"&lt;="&amp;$B264)</f>
        <v>11916.7</v>
      </c>
      <c r="M264" s="62" t="n">
        <f aca="false">IF(L264=0,0,K264/L264)</f>
        <v>1.0008042494986</v>
      </c>
    </row>
    <row r="265" customFormat="false" ht="15" hidden="false" customHeight="false" outlineLevel="0" collapsed="false">
      <c r="A265" s="56" t="n">
        <v>2025</v>
      </c>
      <c r="B265" s="56" t="n">
        <v>2</v>
      </c>
      <c r="C265" s="56" t="s">
        <v>149</v>
      </c>
      <c r="D265" s="56" t="s">
        <v>321</v>
      </c>
      <c r="E265" s="56" t="s">
        <v>143</v>
      </c>
      <c r="F265" s="56" t="s">
        <v>339</v>
      </c>
      <c r="G265" s="73" t="n">
        <f aca="false">SUMIFS(DRE_por_UN!$F:$F,DRE_por_UN!$C:$C,$C265,DRE_por_UN!$E:$E,$E265)*VLOOKUP($D265,$A$25:$H$36,4,0)</f>
        <v>2156.148</v>
      </c>
      <c r="H265" s="61" t="n">
        <f aca="false">VLOOKUP($D265,$A$25:$H$36,5,0)*(1+$B$5)^($A265-2025)*INDEX($B$40:$M$44,MATCH($E265,$A$40:$A$44,0),$B265)</f>
        <v>2152</v>
      </c>
      <c r="I265" s="62" t="n">
        <f aca="false">IF(H265=0,0,G265/H265)</f>
        <v>1.00192750929368</v>
      </c>
      <c r="J265" s="61" t="n">
        <f aca="false">G265-H265</f>
        <v>4.14800000000014</v>
      </c>
      <c r="K265" s="61" t="n">
        <f aca="false">SUMIFS($G$48:$G$479,$D$48:$D$479,$D265,$A$48:$A$479,$A265,$B$48:$B$479,"&lt;="&amp;$B265)</f>
        <v>14082.432</v>
      </c>
      <c r="L265" s="61" t="n">
        <f aca="false">SUMIFS($H$48:$H$479,$D$48:$D$479,$D265,$A$48:$A$479,$A265,$B$48:$B$479,"&lt;="&amp;$B265)</f>
        <v>14068.7</v>
      </c>
      <c r="M265" s="62" t="n">
        <f aca="false">IF(L265=0,0,K265/L265)</f>
        <v>1.00097606744049</v>
      </c>
    </row>
    <row r="266" customFormat="false" ht="15" hidden="false" customHeight="false" outlineLevel="0" collapsed="false">
      <c r="A266" s="56" t="n">
        <v>2025</v>
      </c>
      <c r="B266" s="56" t="n">
        <v>3</v>
      </c>
      <c r="C266" s="56" t="s">
        <v>150</v>
      </c>
      <c r="D266" s="56" t="s">
        <v>321</v>
      </c>
      <c r="E266" s="56" t="s">
        <v>143</v>
      </c>
      <c r="F266" s="56" t="s">
        <v>339</v>
      </c>
      <c r="G266" s="73" t="n">
        <f aca="false">SUMIFS(DRE_por_UN!$F:$F,DRE_por_UN!$C:$C,$C266,DRE_por_UN!$E:$E,$E266)*VLOOKUP($D266,$A$25:$H$36,4,0)</f>
        <v>3634.228</v>
      </c>
      <c r="H266" s="61" t="n">
        <f aca="false">VLOOKUP($D266,$A$25:$H$36,5,0)*(1+$B$5)^($A266-2025)*INDEX($B$40:$M$44,MATCH($E266,$A$40:$A$44,0),$B266)</f>
        <v>3631.5</v>
      </c>
      <c r="I266" s="62" t="n">
        <f aca="false">IF(H266=0,0,G266/H266)</f>
        <v>1.00075120473633</v>
      </c>
      <c r="J266" s="61" t="n">
        <f aca="false">G266-H266</f>
        <v>2.72799999999961</v>
      </c>
      <c r="K266" s="61" t="n">
        <f aca="false">SUMIFS($G$48:$G$479,$D$48:$D$479,$D266,$A$48:$A$479,$A266,$B$48:$B$479,"&lt;="&amp;$B266)</f>
        <v>17716.66</v>
      </c>
      <c r="L266" s="61" t="n">
        <f aca="false">SUMIFS($H$48:$H$479,$D$48:$D$479,$D266,$A$48:$A$479,$A266,$B$48:$B$479,"&lt;="&amp;$B266)</f>
        <v>17700.2</v>
      </c>
      <c r="M266" s="62" t="n">
        <f aca="false">IF(L266=0,0,K266/L266)</f>
        <v>1.00092993299511</v>
      </c>
    </row>
    <row r="267" customFormat="false" ht="15" hidden="false" customHeight="false" outlineLevel="0" collapsed="false">
      <c r="A267" s="56" t="n">
        <v>2025</v>
      </c>
      <c r="B267" s="56" t="n">
        <v>4</v>
      </c>
      <c r="C267" s="56" t="s">
        <v>151</v>
      </c>
      <c r="D267" s="56" t="s">
        <v>321</v>
      </c>
      <c r="E267" s="56" t="s">
        <v>143</v>
      </c>
      <c r="F267" s="56" t="s">
        <v>339</v>
      </c>
      <c r="G267" s="73" t="n">
        <f aca="false">SUMIFS(DRE_por_UN!$F:$F,DRE_por_UN!$C:$C,$C267,DRE_por_UN!$E:$E,$E267)*VLOOKUP($D267,$A$25:$H$36,4,0)</f>
        <v>3546.52</v>
      </c>
      <c r="H267" s="61" t="n">
        <f aca="false">VLOOKUP($D267,$A$25:$H$36,5,0)*(1+$B$5)^($A267-2025)*INDEX($B$40:$M$44,MATCH($E267,$A$40:$A$44,0),$B267)</f>
        <v>3545.42</v>
      </c>
      <c r="I267" s="62" t="n">
        <f aca="false">IF(H267=0,0,G267/H267)</f>
        <v>1.0003102594333</v>
      </c>
      <c r="J267" s="61" t="n">
        <f aca="false">G267-H267</f>
        <v>1.09999999999991</v>
      </c>
      <c r="K267" s="61" t="n">
        <f aca="false">SUMIFS($G$48:$G$479,$D$48:$D$479,$D267,$A$48:$A$479,$A267,$B$48:$B$479,"&lt;="&amp;$B267)</f>
        <v>21263.18</v>
      </c>
      <c r="L267" s="61" t="n">
        <f aca="false">SUMIFS($H$48:$H$479,$D$48:$D$479,$D267,$A$48:$A$479,$A267,$B$48:$B$479,"&lt;="&amp;$B267)</f>
        <v>21245.62</v>
      </c>
      <c r="M267" s="62" t="n">
        <f aca="false">IF(L267=0,0,K267/L267)</f>
        <v>1.00082652330221</v>
      </c>
    </row>
    <row r="268" customFormat="false" ht="15" hidden="false" customHeight="false" outlineLevel="0" collapsed="false">
      <c r="A268" s="56" t="n">
        <v>2025</v>
      </c>
      <c r="B268" s="56" t="n">
        <v>5</v>
      </c>
      <c r="C268" s="56" t="s">
        <v>152</v>
      </c>
      <c r="D268" s="56" t="s">
        <v>321</v>
      </c>
      <c r="E268" s="56" t="s">
        <v>143</v>
      </c>
      <c r="F268" s="56" t="s">
        <v>339</v>
      </c>
      <c r="G268" s="73" t="n">
        <f aca="false">SUMIFS(DRE_por_UN!$F:$F,DRE_por_UN!$C:$C,$C268,DRE_por_UN!$E:$E,$E268)*VLOOKUP($D268,$A$25:$H$36,4,0)</f>
        <v>3135.604</v>
      </c>
      <c r="H268" s="61" t="n">
        <f aca="false">VLOOKUP($D268,$A$25:$H$36,5,0)*(1+$B$5)^($A268-2025)*INDEX($B$40:$M$44,MATCH($E268,$A$40:$A$44,0),$B268)</f>
        <v>3131.16</v>
      </c>
      <c r="I268" s="62" t="n">
        <f aca="false">IF(H268=0,0,G268/H268)</f>
        <v>1.00141928231071</v>
      </c>
      <c r="J268" s="61" t="n">
        <f aca="false">G268-H268</f>
        <v>4.44399999999996</v>
      </c>
      <c r="K268" s="61" t="n">
        <f aca="false">SUMIFS($G$48:$G$479,$D$48:$D$479,$D268,$A$48:$A$479,$A268,$B$48:$B$479,"&lt;="&amp;$B268)</f>
        <v>24398.784</v>
      </c>
      <c r="L268" s="61" t="n">
        <f aca="false">SUMIFS($H$48:$H$479,$D$48:$D$479,$D268,$A$48:$A$479,$A268,$B$48:$B$479,"&lt;="&amp;$B268)</f>
        <v>24376.78</v>
      </c>
      <c r="M268" s="62" t="n">
        <f aca="false">IF(L268=0,0,K268/L268)</f>
        <v>1.00090266228764</v>
      </c>
    </row>
    <row r="269" customFormat="false" ht="15" hidden="false" customHeight="false" outlineLevel="0" collapsed="false">
      <c r="A269" s="56" t="n">
        <v>2025</v>
      </c>
      <c r="B269" s="56" t="n">
        <v>6</v>
      </c>
      <c r="C269" s="56" t="s">
        <v>153</v>
      </c>
      <c r="D269" s="56" t="s">
        <v>321</v>
      </c>
      <c r="E269" s="56" t="s">
        <v>143</v>
      </c>
      <c r="F269" s="56" t="s">
        <v>339</v>
      </c>
      <c r="G269" s="73" t="n">
        <f aca="false">SUMIFS(DRE_por_UN!$F:$F,DRE_por_UN!$C:$C,$C269,DRE_por_UN!$E:$E,$E269)*VLOOKUP($D269,$A$25:$H$36,4,0)</f>
        <v>2693.956</v>
      </c>
      <c r="H269" s="61" t="n">
        <f aca="false">VLOOKUP($D269,$A$25:$H$36,5,0)*(1+$B$5)^($A269-2025)*INDEX($B$40:$M$44,MATCH($E269,$A$40:$A$44,0),$B269)</f>
        <v>2690</v>
      </c>
      <c r="I269" s="62" t="n">
        <f aca="false">IF(H269=0,0,G269/H269)</f>
        <v>1.00147063197026</v>
      </c>
      <c r="J269" s="61" t="n">
        <f aca="false">G269-H269</f>
        <v>3.95600000000013</v>
      </c>
      <c r="K269" s="61" t="n">
        <f aca="false">SUMIFS($G$48:$G$479,$D$48:$D$479,$D269,$A$48:$A$479,$A269,$B$48:$B$479,"&lt;="&amp;$B269)</f>
        <v>27092.74</v>
      </c>
      <c r="L269" s="61" t="n">
        <f aca="false">SUMIFS($H$48:$H$479,$D$48:$D$479,$D269,$A$48:$A$479,$A269,$B$48:$B$479,"&lt;="&amp;$B269)</f>
        <v>27066.78</v>
      </c>
      <c r="M269" s="62" t="n">
        <f aca="false">IF(L269=0,0,K269/L269)</f>
        <v>1.00095910928452</v>
      </c>
    </row>
    <row r="270" customFormat="false" ht="15" hidden="false" customHeight="false" outlineLevel="0" collapsed="false">
      <c r="A270" s="56" t="n">
        <v>2025</v>
      </c>
      <c r="B270" s="56" t="n">
        <v>7</v>
      </c>
      <c r="C270" s="56" t="s">
        <v>154</v>
      </c>
      <c r="D270" s="56" t="s">
        <v>321</v>
      </c>
      <c r="E270" s="56" t="s">
        <v>143</v>
      </c>
      <c r="F270" s="56" t="s">
        <v>339</v>
      </c>
      <c r="G270" s="73" t="n">
        <f aca="false">SUMIFS(DRE_por_UN!$F:$F,DRE_por_UN!$C:$C,$C270,DRE_por_UN!$E:$E,$E270)*VLOOKUP($D270,$A$25:$H$36,4,0)</f>
        <v>2195.504</v>
      </c>
      <c r="H270" s="61" t="n">
        <f aca="false">VLOOKUP($D270,$A$25:$H$36,5,0)*(1+$B$5)^($A270-2025)*INDEX($B$40:$M$44,MATCH($E270,$A$40:$A$44,0),$B270)</f>
        <v>2195.04</v>
      </c>
      <c r="I270" s="62" t="n">
        <f aca="false">IF(H270=0,0,G270/H270)</f>
        <v>1.00021138566951</v>
      </c>
      <c r="J270" s="61" t="n">
        <f aca="false">G270-H270</f>
        <v>0.464000000000397</v>
      </c>
      <c r="K270" s="61" t="n">
        <f aca="false">SUMIFS($G$48:$G$479,$D$48:$D$479,$D270,$A$48:$A$479,$A270,$B$48:$B$479,"&lt;="&amp;$B270)</f>
        <v>29288.244</v>
      </c>
      <c r="L270" s="61" t="n">
        <f aca="false">SUMIFS($H$48:$H$479,$D$48:$D$479,$D270,$A$48:$A$479,$A270,$B$48:$B$479,"&lt;="&amp;$B270)</f>
        <v>29261.82</v>
      </c>
      <c r="M270" s="62" t="n">
        <f aca="false">IF(L270=0,0,K270/L270)</f>
        <v>1.00090301970281</v>
      </c>
    </row>
    <row r="271" customFormat="false" ht="15" hidden="false" customHeight="false" outlineLevel="0" collapsed="false">
      <c r="A271" s="56" t="n">
        <v>2025</v>
      </c>
      <c r="B271" s="56" t="n">
        <v>8</v>
      </c>
      <c r="C271" s="56" t="s">
        <v>155</v>
      </c>
      <c r="D271" s="56" t="s">
        <v>321</v>
      </c>
      <c r="E271" s="56" t="s">
        <v>143</v>
      </c>
      <c r="F271" s="56" t="s">
        <v>339</v>
      </c>
      <c r="G271" s="73" t="n">
        <f aca="false">SUMIFS(DRE_por_UN!$F:$F,DRE_por_UN!$C:$C,$C271,DRE_por_UN!$E:$E,$E271)*VLOOKUP($D271,$A$25:$H$36,4,0)</f>
        <v>2349.564</v>
      </c>
      <c r="H271" s="61" t="n">
        <f aca="false">VLOOKUP($D271,$A$25:$H$36,5,0)*(1+$B$5)^($A271-2025)*INDEX($B$40:$M$44,MATCH($E271,$A$40:$A$44,0),$B271)</f>
        <v>2345.68</v>
      </c>
      <c r="I271" s="62" t="n">
        <f aca="false">IF(H271=0,0,G271/H271)</f>
        <v>1.00165580982913</v>
      </c>
      <c r="J271" s="61" t="n">
        <f aca="false">G271-H271</f>
        <v>3.88400000000001</v>
      </c>
      <c r="K271" s="61" t="n">
        <f aca="false">SUMIFS($G$48:$G$479,$D$48:$D$479,$D271,$A$48:$A$479,$A271,$B$48:$B$479,"&lt;="&amp;$B271)</f>
        <v>31637.808</v>
      </c>
      <c r="L271" s="61" t="n">
        <f aca="false">SUMIFS($H$48:$H$479,$D$48:$D$479,$D271,$A$48:$A$479,$A271,$B$48:$B$479,"&lt;="&amp;$B271)</f>
        <v>31607.5</v>
      </c>
      <c r="M271" s="62" t="n">
        <f aca="false">IF(L271=0,0,K271/L271)</f>
        <v>1.00095888634027</v>
      </c>
    </row>
    <row r="272" customFormat="false" ht="15" hidden="false" customHeight="false" outlineLevel="0" collapsed="false">
      <c r="A272" s="56" t="n">
        <v>2025</v>
      </c>
      <c r="B272" s="56" t="n">
        <v>9</v>
      </c>
      <c r="C272" s="56" t="s">
        <v>156</v>
      </c>
      <c r="D272" s="56" t="s">
        <v>321</v>
      </c>
      <c r="E272" s="56" t="s">
        <v>143</v>
      </c>
      <c r="F272" s="56" t="s">
        <v>339</v>
      </c>
      <c r="G272" s="73" t="n">
        <f aca="false">SUMIFS(DRE_por_UN!$F:$F,DRE_por_UN!$C:$C,$C272,DRE_por_UN!$E:$E,$E272)*VLOOKUP($D272,$A$25:$H$36,4,0)</f>
        <v>10219.8</v>
      </c>
      <c r="H272" s="61" t="n">
        <f aca="false">VLOOKUP($D272,$A$25:$H$36,5,0)*(1+$B$5)^($A272-2025)*INDEX($B$40:$M$44,MATCH($E272,$A$40:$A$44,0),$B272)</f>
        <v>10211.24</v>
      </c>
      <c r="I272" s="62" t="n">
        <f aca="false">IF(H272=0,0,G272/H272)</f>
        <v>1.00083829192145</v>
      </c>
      <c r="J272" s="61" t="n">
        <f aca="false">G272-H272</f>
        <v>8.56000000000131</v>
      </c>
      <c r="K272" s="61" t="n">
        <f aca="false">SUMIFS($G$48:$G$479,$D$48:$D$479,$D272,$A$48:$A$479,$A272,$B$48:$B$479,"&lt;="&amp;$B272)</f>
        <v>41857.608</v>
      </c>
      <c r="L272" s="61" t="n">
        <f aca="false">SUMIFS($H$48:$H$479,$D$48:$D$479,$D272,$A$48:$A$479,$A272,$B$48:$B$479,"&lt;="&amp;$B272)</f>
        <v>41818.74</v>
      </c>
      <c r="M272" s="62" t="n">
        <f aca="false">IF(L272=0,0,K272/L272)</f>
        <v>1.00092943976791</v>
      </c>
    </row>
    <row r="273" customFormat="false" ht="15" hidden="false" customHeight="false" outlineLevel="0" collapsed="false">
      <c r="A273" s="56" t="n">
        <v>2025</v>
      </c>
      <c r="B273" s="56" t="n">
        <v>10</v>
      </c>
      <c r="C273" s="56" t="s">
        <v>157</v>
      </c>
      <c r="D273" s="56" t="s">
        <v>321</v>
      </c>
      <c r="E273" s="56" t="s">
        <v>143</v>
      </c>
      <c r="F273" s="56" t="s">
        <v>339</v>
      </c>
      <c r="G273" s="73" t="n">
        <f aca="false">SUMIFS(DRE_por_UN!$F:$F,DRE_por_UN!$C:$C,$C273,DRE_por_UN!$E:$E,$E273)*VLOOKUP($D273,$A$25:$H$36,4,0)</f>
        <v>2695.852</v>
      </c>
      <c r="H273" s="61" t="n">
        <f aca="false">VLOOKUP($D273,$A$25:$H$36,5,0)*(1+$B$5)^($A273-2025)*INDEX($B$40:$M$44,MATCH($E273,$A$40:$A$44,0),$B273)</f>
        <v>2695.38</v>
      </c>
      <c r="I273" s="62" t="n">
        <f aca="false">IF(H273=0,0,G273/H273)</f>
        <v>1.0001751144551</v>
      </c>
      <c r="J273" s="61" t="n">
        <f aca="false">G273-H273</f>
        <v>0.472000000000207</v>
      </c>
      <c r="K273" s="61" t="n">
        <f aca="false">SUMIFS($G$48:$G$479,$D$48:$D$479,$D273,$A$48:$A$479,$A273,$B$48:$B$479,"&lt;="&amp;$B273)</f>
        <v>44553.46</v>
      </c>
      <c r="L273" s="61" t="n">
        <f aca="false">SUMIFS($H$48:$H$479,$D$48:$D$479,$D273,$A$48:$A$479,$A273,$B$48:$B$479,"&lt;="&amp;$B273)</f>
        <v>44514.12</v>
      </c>
      <c r="M273" s="62" t="n">
        <f aca="false">IF(L273=0,0,K273/L273)</f>
        <v>1.00088376452236</v>
      </c>
    </row>
    <row r="274" customFormat="false" ht="15" hidden="false" customHeight="false" outlineLevel="0" collapsed="false">
      <c r="A274" s="56" t="n">
        <v>2025</v>
      </c>
      <c r="B274" s="56" t="n">
        <v>11</v>
      </c>
      <c r="C274" s="56" t="s">
        <v>158</v>
      </c>
      <c r="D274" s="56" t="s">
        <v>321</v>
      </c>
      <c r="E274" s="56" t="s">
        <v>143</v>
      </c>
      <c r="F274" s="56" t="s">
        <v>339</v>
      </c>
      <c r="G274" s="73" t="n">
        <f aca="false">SUMIFS(DRE_por_UN!$F:$F,DRE_por_UN!$C:$C,$C274,DRE_por_UN!$E:$E,$E274)*VLOOKUP($D274,$A$25:$H$36,4,0)</f>
        <v>2343.168</v>
      </c>
      <c r="H274" s="61" t="n">
        <f aca="false">VLOOKUP($D274,$A$25:$H$36,5,0)*(1+$B$5)^($A274-2025)*INDEX($B$40:$M$44,MATCH($E274,$A$40:$A$44,0),$B274)</f>
        <v>2340.3</v>
      </c>
      <c r="I274" s="62" t="n">
        <f aca="false">IF(H274=0,0,G274/H274)</f>
        <v>1.00122548391232</v>
      </c>
      <c r="J274" s="61" t="n">
        <f aca="false">G274-H274</f>
        <v>2.86800000000039</v>
      </c>
      <c r="K274" s="61" t="n">
        <f aca="false">SUMIFS($G$48:$G$479,$D$48:$D$479,$D274,$A$48:$A$479,$A274,$B$48:$B$479,"&lt;="&amp;$B274)</f>
        <v>46896.628</v>
      </c>
      <c r="L274" s="61" t="n">
        <f aca="false">SUMIFS($H$48:$H$479,$D$48:$D$479,$D274,$A$48:$A$479,$A274,$B$48:$B$479,"&lt;="&amp;$B274)</f>
        <v>46854.42</v>
      </c>
      <c r="M274" s="62" t="n">
        <f aca="false">IF(L274=0,0,K274/L274)</f>
        <v>1.00090083283498</v>
      </c>
    </row>
    <row r="275" customFormat="false" ht="15" hidden="false" customHeight="false" outlineLevel="0" collapsed="false">
      <c r="A275" s="56" t="n">
        <v>2025</v>
      </c>
      <c r="B275" s="56" t="n">
        <v>12</v>
      </c>
      <c r="C275" s="56" t="s">
        <v>159</v>
      </c>
      <c r="D275" s="56" t="s">
        <v>321</v>
      </c>
      <c r="E275" s="56" t="s">
        <v>143</v>
      </c>
      <c r="F275" s="56" t="s">
        <v>339</v>
      </c>
      <c r="G275" s="73" t="n">
        <f aca="false">SUMIFS(DRE_por_UN!$F:$F,DRE_por_UN!$C:$C,$C275,DRE_por_UN!$E:$E,$E275)*VLOOKUP($D275,$A$25:$H$36,4,0)</f>
        <v>6947.068</v>
      </c>
      <c r="H275" s="61" t="n">
        <f aca="false">VLOOKUP($D275,$A$25:$H$36,5,0)*(1+$B$5)^($A275-2025)*INDEX($B$40:$M$44,MATCH($E275,$A$40:$A$44,0),$B275)</f>
        <v>6940.2</v>
      </c>
      <c r="I275" s="62" t="n">
        <f aca="false">IF(H275=0,0,G275/H275)</f>
        <v>1.00098959684159</v>
      </c>
      <c r="J275" s="61" t="n">
        <f aca="false">G275-H275</f>
        <v>6.86799999999948</v>
      </c>
      <c r="K275" s="61" t="n">
        <f aca="false">SUMIFS($G$48:$G$479,$D$48:$D$479,$D275,$A$48:$A$479,$A275,$B$48:$B$479,"&lt;="&amp;$B275)</f>
        <v>53843.696</v>
      </c>
      <c r="L275" s="61" t="n">
        <f aca="false">SUMIFS($H$48:$H$479,$D$48:$D$479,$D275,$A$48:$A$479,$A275,$B$48:$B$479,"&lt;="&amp;$B275)</f>
        <v>53794.62</v>
      </c>
      <c r="M275" s="62" t="n">
        <f aca="false">IF(L275=0,0,K275/L275)</f>
        <v>1.000912284537</v>
      </c>
    </row>
    <row r="276" customFormat="false" ht="15" hidden="false" customHeight="false" outlineLevel="0" collapsed="false">
      <c r="A276" s="56" t="n">
        <v>2026</v>
      </c>
      <c r="B276" s="56" t="n">
        <v>1</v>
      </c>
      <c r="C276" s="56" t="s">
        <v>160</v>
      </c>
      <c r="D276" s="56" t="s">
        <v>321</v>
      </c>
      <c r="E276" s="56" t="s">
        <v>143</v>
      </c>
      <c r="F276" s="56" t="s">
        <v>339</v>
      </c>
      <c r="G276" s="73" t="n">
        <f aca="false">SUMIFS(DRE_por_UN!$F:$F,DRE_por_UN!$C:$C,$C276,DRE_por_UN!$E:$E,$E276)*VLOOKUP($D276,$A$25:$H$36,4,0)</f>
        <v>10566.836</v>
      </c>
      <c r="H276" s="61" t="n">
        <f aca="false">VLOOKUP($D276,$A$25:$H$36,5,0)*(1+$B$5)^($A276-2025)*INDEX($B$40:$M$44,MATCH($E276,$A$40:$A$44,0),$B276)</f>
        <v>12631.702</v>
      </c>
      <c r="I276" s="62" t="n">
        <f aca="false">IF(H276=0,0,G276/H276)</f>
        <v>0.83653303410736</v>
      </c>
      <c r="J276" s="61" t="n">
        <f aca="false">G276-H276</f>
        <v>-2064.866</v>
      </c>
      <c r="K276" s="61" t="n">
        <f aca="false">SUMIFS($G$48:$G$479,$D$48:$D$479,$D276,$A$48:$A$479,$A276,$B$48:$B$479,"&lt;="&amp;$B276)</f>
        <v>10566.836</v>
      </c>
      <c r="L276" s="61" t="n">
        <f aca="false">SUMIFS($H$48:$H$479,$D$48:$D$479,$D276,$A$48:$A$479,$A276,$B$48:$B$479,"&lt;="&amp;$B276)</f>
        <v>12631.702</v>
      </c>
      <c r="M276" s="62" t="n">
        <f aca="false">IF(L276=0,0,K276/L276)</f>
        <v>0.83653303410736</v>
      </c>
    </row>
    <row r="277" customFormat="false" ht="15" hidden="false" customHeight="false" outlineLevel="0" collapsed="false">
      <c r="A277" s="56" t="n">
        <v>2026</v>
      </c>
      <c r="B277" s="56" t="n">
        <v>2</v>
      </c>
      <c r="C277" s="56" t="s">
        <v>161</v>
      </c>
      <c r="D277" s="56" t="s">
        <v>321</v>
      </c>
      <c r="E277" s="56" t="s">
        <v>143</v>
      </c>
      <c r="F277" s="56" t="s">
        <v>339</v>
      </c>
      <c r="G277" s="73" t="n">
        <f aca="false">SUMIFS(DRE_por_UN!$F:$F,DRE_por_UN!$C:$C,$C277,DRE_por_UN!$E:$E,$E277)*VLOOKUP($D277,$A$25:$H$36,4,0)</f>
        <v>1521.24</v>
      </c>
      <c r="H277" s="61" t="n">
        <f aca="false">VLOOKUP($D277,$A$25:$H$36,5,0)*(1+$B$5)^($A277-2025)*INDEX($B$40:$M$44,MATCH($E277,$A$40:$A$44,0),$B277)</f>
        <v>2281.12</v>
      </c>
      <c r="I277" s="62" t="n">
        <f aca="false">IF(H277=0,0,G277/H277)</f>
        <v>0.666882934698745</v>
      </c>
      <c r="J277" s="61" t="n">
        <f aca="false">G277-H277</f>
        <v>-759.88</v>
      </c>
      <c r="K277" s="61" t="n">
        <f aca="false">SUMIFS($G$48:$G$479,$D$48:$D$479,$D277,$A$48:$A$479,$A277,$B$48:$B$479,"&lt;="&amp;$B277)</f>
        <v>12088.076</v>
      </c>
      <c r="L277" s="61" t="n">
        <f aca="false">SUMIFS($H$48:$H$479,$D$48:$D$479,$D277,$A$48:$A$479,$A277,$B$48:$B$479,"&lt;="&amp;$B277)</f>
        <v>14912.822</v>
      </c>
      <c r="M277" s="62" t="n">
        <f aca="false">IF(L277=0,0,K277/L277)</f>
        <v>0.810582732094569</v>
      </c>
    </row>
    <row r="278" customFormat="false" ht="15" hidden="false" customHeight="false" outlineLevel="0" collapsed="false">
      <c r="A278" s="56" t="n">
        <v>2026</v>
      </c>
      <c r="B278" s="56" t="n">
        <v>3</v>
      </c>
      <c r="C278" s="56" t="s">
        <v>162</v>
      </c>
      <c r="D278" s="56" t="s">
        <v>321</v>
      </c>
      <c r="E278" s="56" t="s">
        <v>143</v>
      </c>
      <c r="F278" s="56" t="s">
        <v>339</v>
      </c>
      <c r="G278" s="73" t="n">
        <f aca="false">SUMIFS(DRE_por_UN!$F:$F,DRE_por_UN!$C:$C,$C278,DRE_por_UN!$E:$E,$E278)*VLOOKUP($D278,$A$25:$H$36,4,0)</f>
        <v>2724.784</v>
      </c>
      <c r="H278" s="61" t="n">
        <f aca="false">VLOOKUP($D278,$A$25:$H$36,5,0)*(1+$B$5)^($A278-2025)*INDEX($B$40:$M$44,MATCH($E278,$A$40:$A$44,0),$B278)</f>
        <v>3849.39</v>
      </c>
      <c r="I278" s="62" t="n">
        <f aca="false">IF(H278=0,0,G278/H278)</f>
        <v>0.707848256477</v>
      </c>
      <c r="J278" s="61" t="n">
        <f aca="false">G278-H278</f>
        <v>-1124.606</v>
      </c>
      <c r="K278" s="61" t="n">
        <f aca="false">SUMIFS($G$48:$G$479,$D$48:$D$479,$D278,$A$48:$A$479,$A278,$B$48:$B$479,"&lt;="&amp;$B278)</f>
        <v>14812.86</v>
      </c>
      <c r="L278" s="61" t="n">
        <f aca="false">SUMIFS($H$48:$H$479,$D$48:$D$479,$D278,$A$48:$A$479,$A278,$B$48:$B$479,"&lt;="&amp;$B278)</f>
        <v>18762.212</v>
      </c>
      <c r="M278" s="62" t="n">
        <f aca="false">IF(L278=0,0,K278/L278)</f>
        <v>0.789504990136558</v>
      </c>
    </row>
    <row r="279" customFormat="false" ht="15" hidden="false" customHeight="false" outlineLevel="0" collapsed="false">
      <c r="A279" s="56" t="n">
        <v>2026</v>
      </c>
      <c r="B279" s="56" t="n">
        <v>4</v>
      </c>
      <c r="C279" s="56" t="s">
        <v>163</v>
      </c>
      <c r="D279" s="56" t="s">
        <v>321</v>
      </c>
      <c r="E279" s="56" t="s">
        <v>143</v>
      </c>
      <c r="F279" s="56" t="s">
        <v>339</v>
      </c>
      <c r="G279" s="73" t="n">
        <f aca="false">SUMIFS(DRE_por_UN!$F:$F,DRE_por_UN!$C:$C,$C279,DRE_por_UN!$E:$E,$E279)*VLOOKUP($D279,$A$25:$H$36,4,0)</f>
        <v>2627.328</v>
      </c>
      <c r="H279" s="61" t="n">
        <f aca="false">VLOOKUP($D279,$A$25:$H$36,5,0)*(1+$B$5)^($A279-2025)*INDEX($B$40:$M$44,MATCH($E279,$A$40:$A$44,0),$B279)</f>
        <v>3758.1452</v>
      </c>
      <c r="I279" s="62" t="n">
        <f aca="false">IF(H279=0,0,G279/H279)</f>
        <v>0.699102312491811</v>
      </c>
      <c r="J279" s="61" t="n">
        <f aca="false">G279-H279</f>
        <v>-1130.8172</v>
      </c>
      <c r="K279" s="61" t="n">
        <f aca="false">SUMIFS($G$48:$G$479,$D$48:$D$479,$D279,$A$48:$A$479,$A279,$B$48:$B$479,"&lt;="&amp;$B279)</f>
        <v>17440.188</v>
      </c>
      <c r="L279" s="61" t="n">
        <f aca="false">SUMIFS($H$48:$H$479,$D$48:$D$479,$D279,$A$48:$A$479,$A279,$B$48:$B$479,"&lt;="&amp;$B279)</f>
        <v>22520.3572</v>
      </c>
      <c r="M279" s="62" t="n">
        <f aca="false">IF(L279=0,0,K279/L279)</f>
        <v>0.774418800071253</v>
      </c>
    </row>
    <row r="280" customFormat="false" ht="15" hidden="false" customHeight="false" outlineLevel="0" collapsed="false">
      <c r="A280" s="56" t="n">
        <v>2026</v>
      </c>
      <c r="B280" s="56" t="n">
        <v>5</v>
      </c>
      <c r="C280" s="56" t="s">
        <v>164</v>
      </c>
      <c r="D280" s="56" t="s">
        <v>321</v>
      </c>
      <c r="E280" s="56" t="s">
        <v>143</v>
      </c>
      <c r="F280" s="56" t="s">
        <v>339</v>
      </c>
      <c r="G280" s="73" t="n">
        <f aca="false">SUMIFS(DRE_por_UN!$F:$F,DRE_por_UN!$C:$C,$C280,DRE_por_UN!$E:$E,$E280)*VLOOKUP($D280,$A$25:$H$36,4,0)</f>
        <v>14789.62</v>
      </c>
      <c r="H280" s="61" t="n">
        <f aca="false">VLOOKUP($D280,$A$25:$H$36,5,0)*(1+$B$5)^($A280-2025)*INDEX($B$40:$M$44,MATCH($E280,$A$40:$A$44,0),$B280)</f>
        <v>3319.0296</v>
      </c>
      <c r="I280" s="62" t="n">
        <f aca="false">IF(H280=0,0,G280/H280)</f>
        <v>4.45600726188161</v>
      </c>
      <c r="J280" s="61" t="n">
        <f aca="false">G280-H280</f>
        <v>11470.5904</v>
      </c>
      <c r="K280" s="61" t="n">
        <f aca="false">SUMIFS($G$48:$G$479,$D$48:$D$479,$D280,$A$48:$A$479,$A280,$B$48:$B$479,"&lt;="&amp;$B280)</f>
        <v>32229.808</v>
      </c>
      <c r="L280" s="61" t="n">
        <f aca="false">SUMIFS($H$48:$H$479,$D$48:$D$479,$D280,$A$48:$A$479,$A280,$B$48:$B$479,"&lt;="&amp;$B280)</f>
        <v>25839.3868</v>
      </c>
      <c r="M280" s="62" t="n">
        <f aca="false">IF(L280=0,0,K280/L280)</f>
        <v>1.24731319088424</v>
      </c>
    </row>
    <row r="281" customFormat="false" ht="15" hidden="false" customHeight="false" outlineLevel="0" collapsed="false">
      <c r="A281" s="56" t="n">
        <v>2026</v>
      </c>
      <c r="B281" s="56" t="n">
        <v>6</v>
      </c>
      <c r="C281" s="56" t="s">
        <v>165</v>
      </c>
      <c r="D281" s="56" t="s">
        <v>321</v>
      </c>
      <c r="E281" s="56" t="s">
        <v>143</v>
      </c>
      <c r="F281" s="56" t="s">
        <v>339</v>
      </c>
      <c r="G281" s="73" t="n">
        <f aca="false">SUMIFS(DRE_por_UN!$F:$F,DRE_por_UN!$C:$C,$C281,DRE_por_UN!$E:$E,$E281)*VLOOKUP($D281,$A$25:$H$36,4,0)</f>
        <v>10909.104</v>
      </c>
      <c r="H281" s="61" t="n">
        <f aca="false">VLOOKUP($D281,$A$25:$H$36,5,0)*(1+$B$5)^($A281-2025)*INDEX($B$40:$M$44,MATCH($E281,$A$40:$A$44,0),$B281)</f>
        <v>2851.4</v>
      </c>
      <c r="I281" s="62" t="n">
        <f aca="false">IF(H281=0,0,G281/H281)</f>
        <v>3.82587641158729</v>
      </c>
      <c r="J281" s="61" t="n">
        <f aca="false">G281-H281</f>
        <v>8057.704</v>
      </c>
      <c r="K281" s="61" t="n">
        <f aca="false">SUMIFS($G$48:$G$479,$D$48:$D$479,$D281,$A$48:$A$479,$A281,$B$48:$B$479,"&lt;="&amp;$B281)</f>
        <v>43138.912</v>
      </c>
      <c r="L281" s="61" t="n">
        <f aca="false">SUMIFS($H$48:$H$479,$D$48:$D$479,$D281,$A$48:$A$479,$A281,$B$48:$B$479,"&lt;="&amp;$B281)</f>
        <v>28690.7868</v>
      </c>
      <c r="M281" s="62" t="n">
        <f aca="false">IF(L281=0,0,K281/L281)</f>
        <v>1.50358065467901</v>
      </c>
    </row>
    <row r="282" customFormat="false" ht="15" hidden="false" customHeight="false" outlineLevel="0" collapsed="false">
      <c r="A282" s="56" t="n">
        <v>2026</v>
      </c>
      <c r="B282" s="56" t="n">
        <v>7</v>
      </c>
      <c r="C282" s="56" t="s">
        <v>166</v>
      </c>
      <c r="D282" s="56" t="s">
        <v>321</v>
      </c>
      <c r="E282" s="56" t="s">
        <v>143</v>
      </c>
      <c r="F282" s="56" t="s">
        <v>339</v>
      </c>
      <c r="G282" s="73" t="n">
        <f aca="false">SUMIFS(DRE_por_UN!$F:$F,DRE_por_UN!$C:$C,$C282,DRE_por_UN!$E:$E,$E282)*VLOOKUP($D282,$A$25:$H$36,4,0)</f>
        <v>4550.376</v>
      </c>
      <c r="H282" s="61" t="n">
        <f aca="false">VLOOKUP($D282,$A$25:$H$36,5,0)*(1+$B$5)^($A282-2025)*INDEX($B$40:$M$44,MATCH($E282,$A$40:$A$44,0),$B282)</f>
        <v>2326.7424</v>
      </c>
      <c r="I282" s="62" t="n">
        <f aca="false">IF(H282=0,0,G282/H282)</f>
        <v>1.95568533929669</v>
      </c>
      <c r="J282" s="61" t="n">
        <f aca="false">G282-H282</f>
        <v>2223.6336</v>
      </c>
      <c r="K282" s="61" t="n">
        <f aca="false">SUMIFS($G$48:$G$479,$D$48:$D$479,$D282,$A$48:$A$479,$A282,$B$48:$B$479,"&lt;="&amp;$B282)</f>
        <v>47689.288</v>
      </c>
      <c r="L282" s="61" t="n">
        <f aca="false">SUMIFS($H$48:$H$479,$D$48:$D$479,$D282,$A$48:$A$479,$A282,$B$48:$B$479,"&lt;="&amp;$B282)</f>
        <v>31017.5292</v>
      </c>
      <c r="M282" s="62" t="n">
        <f aca="false">IF(L282=0,0,K282/L282)</f>
        <v>1.53749474023224</v>
      </c>
    </row>
    <row r="283" customFormat="false" ht="15" hidden="false" customHeight="false" outlineLevel="0" collapsed="false">
      <c r="A283" s="56" t="n">
        <v>2026</v>
      </c>
      <c r="B283" s="56" t="n">
        <v>8</v>
      </c>
      <c r="C283" s="56" t="s">
        <v>167</v>
      </c>
      <c r="D283" s="56" t="s">
        <v>321</v>
      </c>
      <c r="E283" s="56" t="s">
        <v>143</v>
      </c>
      <c r="F283" s="56" t="s">
        <v>339</v>
      </c>
      <c r="G283" s="73" t="n">
        <f aca="false">SUMIFS(DRE_por_UN!$F:$F,DRE_por_UN!$C:$C,$C283,DRE_por_UN!$E:$E,$E283)*VLOOKUP($D283,$A$25:$H$36,4,0)</f>
        <v>7218.596</v>
      </c>
      <c r="H283" s="61" t="n">
        <f aca="false">VLOOKUP($D283,$A$25:$H$36,5,0)*(1+$B$5)^($A283-2025)*INDEX($B$40:$M$44,MATCH($E283,$A$40:$A$44,0),$B283)</f>
        <v>2486.4208</v>
      </c>
      <c r="I283" s="62" t="n">
        <f aca="false">IF(H283=0,0,G283/H283)</f>
        <v>2.90320769517372</v>
      </c>
      <c r="J283" s="61" t="n">
        <f aca="false">G283-H283</f>
        <v>4732.1752</v>
      </c>
      <c r="K283" s="61" t="n">
        <f aca="false">SUMIFS($G$48:$G$479,$D$48:$D$479,$D283,$A$48:$A$479,$A283,$B$48:$B$479,"&lt;="&amp;$B283)</f>
        <v>54907.884</v>
      </c>
      <c r="L283" s="61" t="n">
        <f aca="false">SUMIFS($H$48:$H$479,$D$48:$D$479,$D283,$A$48:$A$479,$A283,$B$48:$B$479,"&lt;="&amp;$B283)</f>
        <v>33503.95</v>
      </c>
      <c r="M283" s="62" t="n">
        <f aca="false">IF(L283=0,0,K283/L283)</f>
        <v>1.63884807612237</v>
      </c>
    </row>
    <row r="284" customFormat="false" ht="15" hidden="false" customHeight="false" outlineLevel="0" collapsed="false">
      <c r="A284" s="56" t="n">
        <v>2026</v>
      </c>
      <c r="B284" s="56" t="n">
        <v>9</v>
      </c>
      <c r="C284" s="56" t="s">
        <v>168</v>
      </c>
      <c r="D284" s="56" t="s">
        <v>321</v>
      </c>
      <c r="E284" s="56" t="s">
        <v>143</v>
      </c>
      <c r="F284" s="56" t="s">
        <v>339</v>
      </c>
      <c r="G284" s="73" t="n">
        <f aca="false">SUMIFS(DRE_por_UN!$F:$F,DRE_por_UN!$C:$C,$C284,DRE_por_UN!$E:$E,$E284)*VLOOKUP($D284,$A$25:$H$36,4,0)</f>
        <v>6037.528</v>
      </c>
      <c r="H284" s="61" t="n">
        <f aca="false">VLOOKUP($D284,$A$25:$H$36,5,0)*(1+$B$5)^($A284-2025)*INDEX($B$40:$M$44,MATCH($E284,$A$40:$A$44,0),$B284)</f>
        <v>10823.9144</v>
      </c>
      <c r="I284" s="62" t="n">
        <f aca="false">IF(H284=0,0,G284/H284)</f>
        <v>0.557795246422126</v>
      </c>
      <c r="J284" s="61" t="n">
        <f aca="false">G284-H284</f>
        <v>-4786.3864</v>
      </c>
      <c r="K284" s="61" t="n">
        <f aca="false">SUMIFS($G$48:$G$479,$D$48:$D$479,$D284,$A$48:$A$479,$A284,$B$48:$B$479,"&lt;="&amp;$B284)</f>
        <v>60945.412</v>
      </c>
      <c r="L284" s="61" t="n">
        <f aca="false">SUMIFS($H$48:$H$479,$D$48:$D$479,$D284,$A$48:$A$479,$A284,$B$48:$B$479,"&lt;="&amp;$B284)</f>
        <v>44327.8644</v>
      </c>
      <c r="M284" s="62" t="n">
        <f aca="false">IF(L284=0,0,K284/L284)</f>
        <v>1.37487814549442</v>
      </c>
    </row>
    <row r="285" customFormat="false" ht="15" hidden="false" customHeight="false" outlineLevel="0" collapsed="false">
      <c r="A285" s="56" t="n">
        <v>2026</v>
      </c>
      <c r="B285" s="56" t="n">
        <v>10</v>
      </c>
      <c r="C285" s="56" t="s">
        <v>169</v>
      </c>
      <c r="D285" s="56" t="s">
        <v>321</v>
      </c>
      <c r="E285" s="56" t="s">
        <v>143</v>
      </c>
      <c r="F285" s="56" t="s">
        <v>339</v>
      </c>
      <c r="G285" s="73" t="n">
        <f aca="false">SUMIFS(DRE_por_UN!$F:$F,DRE_por_UN!$C:$C,$C285,DRE_por_UN!$E:$E,$E285)*VLOOKUP($D285,$A$25:$H$36,4,0)</f>
        <v>7297.54</v>
      </c>
      <c r="H285" s="61" t="n">
        <f aca="false">VLOOKUP($D285,$A$25:$H$36,5,0)*(1+$B$5)^($A285-2025)*INDEX($B$40:$M$44,MATCH($E285,$A$40:$A$44,0),$B285)</f>
        <v>2857.1028</v>
      </c>
      <c r="I285" s="62" t="n">
        <f aca="false">IF(H285=0,0,G285/H285)</f>
        <v>2.55417480953083</v>
      </c>
      <c r="J285" s="61" t="n">
        <f aca="false">G285-H285</f>
        <v>4440.4372</v>
      </c>
      <c r="K285" s="61" t="n">
        <f aca="false">SUMIFS($G$48:$G$479,$D$48:$D$479,$D285,$A$48:$A$479,$A285,$B$48:$B$479,"&lt;="&amp;$B285)</f>
        <v>68242.952</v>
      </c>
      <c r="L285" s="61" t="n">
        <f aca="false">SUMIFS($H$48:$H$479,$D$48:$D$479,$D285,$A$48:$A$479,$A285,$B$48:$B$479,"&lt;="&amp;$B285)</f>
        <v>47184.9672</v>
      </c>
      <c r="M285" s="62" t="n">
        <f aca="false">IF(L285=0,0,K285/L285)</f>
        <v>1.44628588403469</v>
      </c>
    </row>
    <row r="286" customFormat="false" ht="15" hidden="false" customHeight="false" outlineLevel="0" collapsed="false">
      <c r="A286" s="56" t="n">
        <v>2026</v>
      </c>
      <c r="B286" s="56" t="n">
        <v>11</v>
      </c>
      <c r="C286" s="56" t="s">
        <v>170</v>
      </c>
      <c r="D286" s="56" t="s">
        <v>321</v>
      </c>
      <c r="E286" s="56" t="s">
        <v>143</v>
      </c>
      <c r="F286" s="56" t="s">
        <v>339</v>
      </c>
      <c r="G286" s="73" t="n">
        <f aca="false">SUMIFS(DRE_por_UN!$F:$F,DRE_por_UN!$C:$C,$C286,DRE_por_UN!$E:$E,$E286)*VLOOKUP($D286,$A$25:$H$36,4,0)</f>
        <v>6370.356</v>
      </c>
      <c r="H286" s="61" t="n">
        <f aca="false">VLOOKUP($D286,$A$25:$H$36,5,0)*(1+$B$5)^($A286-2025)*INDEX($B$40:$M$44,MATCH($E286,$A$40:$A$44,0),$B286)</f>
        <v>2480.718</v>
      </c>
      <c r="I286" s="62" t="n">
        <f aca="false">IF(H286=0,0,G286/H286)</f>
        <v>2.56794847298242</v>
      </c>
      <c r="J286" s="61" t="n">
        <f aca="false">G286-H286</f>
        <v>3889.638</v>
      </c>
      <c r="K286" s="61" t="n">
        <f aca="false">SUMIFS($G$48:$G$479,$D$48:$D$479,$D286,$A$48:$A$479,$A286,$B$48:$B$479,"&lt;="&amp;$B286)</f>
        <v>74613.308</v>
      </c>
      <c r="L286" s="61" t="n">
        <f aca="false">SUMIFS($H$48:$H$479,$D$48:$D$479,$D286,$A$48:$A$479,$A286,$B$48:$B$479,"&lt;="&amp;$B286)</f>
        <v>49665.6852</v>
      </c>
      <c r="M286" s="62" t="n">
        <f aca="false">IF(L286=0,0,K286/L286)</f>
        <v>1.50231105640721</v>
      </c>
    </row>
    <row r="287" customFormat="false" ht="15" hidden="false" customHeight="false" outlineLevel="0" collapsed="false">
      <c r="A287" s="56" t="n">
        <v>2026</v>
      </c>
      <c r="B287" s="56" t="n">
        <v>12</v>
      </c>
      <c r="C287" s="56" t="s">
        <v>171</v>
      </c>
      <c r="D287" s="56" t="s">
        <v>321</v>
      </c>
      <c r="E287" s="56" t="s">
        <v>143</v>
      </c>
      <c r="F287" s="56" t="s">
        <v>339</v>
      </c>
      <c r="G287" s="73" t="n">
        <f aca="false">SUMIFS(DRE_por_UN!$F:$F,DRE_por_UN!$C:$C,$C287,DRE_por_UN!$E:$E,$E287)*VLOOKUP($D287,$A$25:$H$36,4,0)</f>
        <v>4237.828</v>
      </c>
      <c r="H287" s="61" t="n">
        <f aca="false">VLOOKUP($D287,$A$25:$H$36,5,0)*(1+$B$5)^($A287-2025)*INDEX($B$40:$M$44,MATCH($E287,$A$40:$A$44,0),$B287)</f>
        <v>7356.612</v>
      </c>
      <c r="I287" s="62" t="n">
        <f aca="false">IF(H287=0,0,G287/H287)</f>
        <v>0.576057021900842</v>
      </c>
      <c r="J287" s="61" t="n">
        <f aca="false">G287-H287</f>
        <v>-3118.784</v>
      </c>
      <c r="K287" s="61" t="n">
        <f aca="false">SUMIFS($G$48:$G$479,$D$48:$D$479,$D287,$A$48:$A$479,$A287,$B$48:$B$479,"&lt;="&amp;$B287)</f>
        <v>78851.136</v>
      </c>
      <c r="L287" s="61" t="n">
        <f aca="false">SUMIFS($H$48:$H$479,$D$48:$D$479,$D287,$A$48:$A$479,$A287,$B$48:$B$479,"&lt;="&amp;$B287)</f>
        <v>57022.2972</v>
      </c>
      <c r="M287" s="62" t="n">
        <f aca="false">IF(L287=0,0,K287/L287)</f>
        <v>1.38281233608386</v>
      </c>
    </row>
    <row r="288" customFormat="false" ht="15" hidden="false" customHeight="false" outlineLevel="0" collapsed="false">
      <c r="A288" s="56" t="n">
        <v>2027</v>
      </c>
      <c r="B288" s="56" t="n">
        <v>1</v>
      </c>
      <c r="C288" s="56" t="s">
        <v>172</v>
      </c>
      <c r="D288" s="56" t="s">
        <v>321</v>
      </c>
      <c r="E288" s="56" t="s">
        <v>143</v>
      </c>
      <c r="F288" s="56" t="s">
        <v>339</v>
      </c>
      <c r="G288" s="73" t="n">
        <f aca="false">SUMIFS(DRE_por_UN!$F:$F,DRE_por_UN!$C:$C,$C288,DRE_por_UN!$E:$E,$E288)*VLOOKUP($D288,$A$25:$H$36,4,0)</f>
        <v>11623.5196</v>
      </c>
      <c r="H288" s="61" t="n">
        <f aca="false">VLOOKUP($D288,$A$25:$H$36,5,0)*(1+$B$5)^($A288-2025)*INDEX($B$40:$M$44,MATCH($E288,$A$40:$A$44,0),$B288)</f>
        <v>13389.60412</v>
      </c>
      <c r="I288" s="62" t="n">
        <f aca="false">IF(H288=0,0,G288/H288)</f>
        <v>0.868100318413298</v>
      </c>
      <c r="J288" s="61" t="n">
        <f aca="false">G288-H288</f>
        <v>-1766.08452</v>
      </c>
      <c r="K288" s="61" t="n">
        <f aca="false">SUMIFS($G$48:$G$479,$D$48:$D$479,$D288,$A$48:$A$479,$A288,$B$48:$B$479,"&lt;="&amp;$B288)</f>
        <v>11623.5196</v>
      </c>
      <c r="L288" s="61" t="n">
        <f aca="false">SUMIFS($H$48:$H$479,$D$48:$D$479,$D288,$A$48:$A$479,$A288,$B$48:$B$479,"&lt;="&amp;$B288)</f>
        <v>13389.60412</v>
      </c>
      <c r="M288" s="62" t="n">
        <f aca="false">IF(L288=0,0,K288/L288)</f>
        <v>0.868100318413298</v>
      </c>
    </row>
    <row r="289" customFormat="false" ht="15" hidden="false" customHeight="false" outlineLevel="0" collapsed="false">
      <c r="A289" s="56" t="n">
        <v>2027</v>
      </c>
      <c r="B289" s="56" t="n">
        <v>2</v>
      </c>
      <c r="C289" s="56" t="s">
        <v>173</v>
      </c>
      <c r="D289" s="56" t="s">
        <v>321</v>
      </c>
      <c r="E289" s="56" t="s">
        <v>143</v>
      </c>
      <c r="F289" s="56" t="s">
        <v>339</v>
      </c>
      <c r="G289" s="73" t="n">
        <f aca="false">SUMIFS(DRE_por_UN!$F:$F,DRE_por_UN!$C:$C,$C289,DRE_por_UN!$E:$E,$E289)*VLOOKUP($D289,$A$25:$H$36,4,0)</f>
        <v>1673.364</v>
      </c>
      <c r="H289" s="61" t="n">
        <f aca="false">VLOOKUP($D289,$A$25:$H$36,5,0)*(1+$B$5)^($A289-2025)*INDEX($B$40:$M$44,MATCH($E289,$A$40:$A$44,0),$B289)</f>
        <v>2417.9872</v>
      </c>
      <c r="I289" s="62" t="n">
        <f aca="false">IF(H289=0,0,G289/H289)</f>
        <v>0.692048328460961</v>
      </c>
      <c r="J289" s="61" t="n">
        <f aca="false">G289-H289</f>
        <v>-744.623200000001</v>
      </c>
      <c r="K289" s="61" t="n">
        <f aca="false">SUMIFS($G$48:$G$479,$D$48:$D$479,$D289,$A$48:$A$479,$A289,$B$48:$B$479,"&lt;="&amp;$B289)</f>
        <v>13296.8836</v>
      </c>
      <c r="L289" s="61" t="n">
        <f aca="false">SUMIFS($H$48:$H$479,$D$48:$D$479,$D289,$A$48:$A$479,$A289,$B$48:$B$479,"&lt;="&amp;$B289)</f>
        <v>15807.59132</v>
      </c>
      <c r="M289" s="62" t="n">
        <f aca="false">IF(L289=0,0,K289/L289)</f>
        <v>0.841170759720779</v>
      </c>
    </row>
    <row r="290" customFormat="false" ht="15" hidden="false" customHeight="false" outlineLevel="0" collapsed="false">
      <c r="A290" s="56" t="n">
        <v>2027</v>
      </c>
      <c r="B290" s="56" t="n">
        <v>3</v>
      </c>
      <c r="C290" s="56" t="s">
        <v>174</v>
      </c>
      <c r="D290" s="56" t="s">
        <v>321</v>
      </c>
      <c r="E290" s="56" t="s">
        <v>143</v>
      </c>
      <c r="F290" s="56" t="s">
        <v>339</v>
      </c>
      <c r="G290" s="73" t="n">
        <f aca="false">SUMIFS(DRE_por_UN!$F:$F,DRE_por_UN!$C:$C,$C290,DRE_por_UN!$E:$E,$E290)*VLOOKUP($D290,$A$25:$H$36,4,0)</f>
        <v>2997.2624</v>
      </c>
      <c r="H290" s="61" t="n">
        <f aca="false">VLOOKUP($D290,$A$25:$H$36,5,0)*(1+$B$5)^($A290-2025)*INDEX($B$40:$M$44,MATCH($E290,$A$40:$A$44,0),$B290)</f>
        <v>4080.3534</v>
      </c>
      <c r="I290" s="62" t="n">
        <f aca="false">IF(H290=0,0,G290/H290)</f>
        <v>0.734559511438397</v>
      </c>
      <c r="J290" s="61" t="n">
        <f aca="false">G290-H290</f>
        <v>-1083.091</v>
      </c>
      <c r="K290" s="61" t="n">
        <f aca="false">SUMIFS($G$48:$G$479,$D$48:$D$479,$D290,$A$48:$A$479,$A290,$B$48:$B$479,"&lt;="&amp;$B290)</f>
        <v>16294.146</v>
      </c>
      <c r="L290" s="61" t="n">
        <f aca="false">SUMIFS($H$48:$H$479,$D$48:$D$479,$D290,$A$48:$A$479,$A290,$B$48:$B$479,"&lt;="&amp;$B290)</f>
        <v>19887.94472</v>
      </c>
      <c r="M290" s="62" t="n">
        <f aca="false">IF(L290=0,0,K290/L290)</f>
        <v>0.819297631273786</v>
      </c>
    </row>
    <row r="291" customFormat="false" ht="15" hidden="false" customHeight="false" outlineLevel="0" collapsed="false">
      <c r="A291" s="56" t="n">
        <v>2027</v>
      </c>
      <c r="B291" s="56" t="n">
        <v>4</v>
      </c>
      <c r="C291" s="56" t="s">
        <v>175</v>
      </c>
      <c r="D291" s="56" t="s">
        <v>321</v>
      </c>
      <c r="E291" s="56" t="s">
        <v>143</v>
      </c>
      <c r="F291" s="56" t="s">
        <v>339</v>
      </c>
      <c r="G291" s="73" t="n">
        <f aca="false">SUMIFS(DRE_por_UN!$F:$F,DRE_por_UN!$C:$C,$C291,DRE_por_UN!$E:$E,$E291)*VLOOKUP($D291,$A$25:$H$36,4,0)</f>
        <v>2890.0608</v>
      </c>
      <c r="H291" s="61" t="n">
        <f aca="false">VLOOKUP($D291,$A$25:$H$36,5,0)*(1+$B$5)^($A291-2025)*INDEX($B$40:$M$44,MATCH($E291,$A$40:$A$44,0),$B291)</f>
        <v>3983.633912</v>
      </c>
      <c r="I291" s="62" t="n">
        <f aca="false">IF(H291=0,0,G291/H291)</f>
        <v>0.725483531831125</v>
      </c>
      <c r="J291" s="61" t="n">
        <f aca="false">G291-H291</f>
        <v>-1093.573112</v>
      </c>
      <c r="K291" s="61" t="n">
        <f aca="false">SUMIFS($G$48:$G$479,$D$48:$D$479,$D291,$A$48:$A$479,$A291,$B$48:$B$479,"&lt;="&amp;$B291)</f>
        <v>19184.2068</v>
      </c>
      <c r="L291" s="61" t="n">
        <f aca="false">SUMIFS($H$48:$H$479,$D$48:$D$479,$D291,$A$48:$A$479,$A291,$B$48:$B$479,"&lt;="&amp;$B291)</f>
        <v>23871.578632</v>
      </c>
      <c r="M291" s="62" t="n">
        <f aca="false">IF(L291=0,0,K291/L291)</f>
        <v>0.803642151017338</v>
      </c>
    </row>
    <row r="292" customFormat="false" ht="15" hidden="false" customHeight="false" outlineLevel="0" collapsed="false">
      <c r="A292" s="56" t="n">
        <v>2027</v>
      </c>
      <c r="B292" s="56" t="n">
        <v>5</v>
      </c>
      <c r="C292" s="56" t="s">
        <v>176</v>
      </c>
      <c r="D292" s="56" t="s">
        <v>321</v>
      </c>
      <c r="E292" s="56" t="s">
        <v>143</v>
      </c>
      <c r="F292" s="56" t="s">
        <v>339</v>
      </c>
      <c r="G292" s="73" t="n">
        <f aca="false">SUMIFS(DRE_por_UN!$F:$F,DRE_por_UN!$C:$C,$C292,DRE_por_UN!$E:$E,$E292)*VLOOKUP($D292,$A$25:$H$36,4,0)</f>
        <v>16268.582</v>
      </c>
      <c r="H292" s="61" t="n">
        <f aca="false">VLOOKUP($D292,$A$25:$H$36,5,0)*(1+$B$5)^($A292-2025)*INDEX($B$40:$M$44,MATCH($E292,$A$40:$A$44,0),$B292)</f>
        <v>3518.171376</v>
      </c>
      <c r="I292" s="62" t="n">
        <f aca="false">IF(H292=0,0,G292/H292)</f>
        <v>4.6241584793111</v>
      </c>
      <c r="J292" s="61" t="n">
        <f aca="false">G292-H292</f>
        <v>12750.410624</v>
      </c>
      <c r="K292" s="61" t="n">
        <f aca="false">SUMIFS($G$48:$G$479,$D$48:$D$479,$D292,$A$48:$A$479,$A292,$B$48:$B$479,"&lt;="&amp;$B292)</f>
        <v>35452.7888</v>
      </c>
      <c r="L292" s="61" t="n">
        <f aca="false">SUMIFS($H$48:$H$479,$D$48:$D$479,$D292,$A$48:$A$479,$A292,$B$48:$B$479,"&lt;="&amp;$B292)</f>
        <v>27389.750008</v>
      </c>
      <c r="M292" s="62" t="n">
        <f aca="false">IF(L292=0,0,K292/L292)</f>
        <v>1.29438161318175</v>
      </c>
    </row>
    <row r="293" customFormat="false" ht="15" hidden="false" customHeight="false" outlineLevel="0" collapsed="false">
      <c r="A293" s="56" t="n">
        <v>2027</v>
      </c>
      <c r="B293" s="56" t="n">
        <v>6</v>
      </c>
      <c r="C293" s="56" t="s">
        <v>177</v>
      </c>
      <c r="D293" s="56" t="s">
        <v>321</v>
      </c>
      <c r="E293" s="56" t="s">
        <v>143</v>
      </c>
      <c r="F293" s="56" t="s">
        <v>339</v>
      </c>
      <c r="G293" s="73" t="n">
        <f aca="false">SUMIFS(DRE_por_UN!$F:$F,DRE_por_UN!$C:$C,$C293,DRE_por_UN!$E:$E,$E293)*VLOOKUP($D293,$A$25:$H$36,4,0)</f>
        <v>12000.0144</v>
      </c>
      <c r="H293" s="61" t="n">
        <f aca="false">VLOOKUP($D293,$A$25:$H$36,5,0)*(1+$B$5)^($A293-2025)*INDEX($B$40:$M$44,MATCH($E293,$A$40:$A$44,0),$B293)</f>
        <v>3022.484</v>
      </c>
      <c r="I293" s="62" t="n">
        <f aca="false">IF(H293=0,0,G293/H293)</f>
        <v>3.97024910636417</v>
      </c>
      <c r="J293" s="61" t="n">
        <f aca="false">G293-H293</f>
        <v>8977.5304</v>
      </c>
      <c r="K293" s="61" t="n">
        <f aca="false">SUMIFS($G$48:$G$479,$D$48:$D$479,$D293,$A$48:$A$479,$A293,$B$48:$B$479,"&lt;="&amp;$B293)</f>
        <v>47452.8032</v>
      </c>
      <c r="L293" s="61" t="n">
        <f aca="false">SUMIFS($H$48:$H$479,$D$48:$D$479,$D293,$A$48:$A$479,$A293,$B$48:$B$479,"&lt;="&amp;$B293)</f>
        <v>30412.234008</v>
      </c>
      <c r="M293" s="62" t="n">
        <f aca="false">IF(L293=0,0,K293/L293)</f>
        <v>1.56031954730841</v>
      </c>
    </row>
    <row r="294" customFormat="false" ht="15" hidden="false" customHeight="false" outlineLevel="0" collapsed="false">
      <c r="A294" s="56" t="n">
        <v>2027</v>
      </c>
      <c r="B294" s="56" t="n">
        <v>7</v>
      </c>
      <c r="C294" s="56" t="s">
        <v>178</v>
      </c>
      <c r="D294" s="56" t="s">
        <v>321</v>
      </c>
      <c r="E294" s="56" t="s">
        <v>143</v>
      </c>
      <c r="F294" s="56" t="s">
        <v>339</v>
      </c>
      <c r="G294" s="73" t="n">
        <f aca="false">SUMIFS(DRE_por_UN!$F:$F,DRE_por_UN!$C:$C,$C294,DRE_por_UN!$E:$E,$E294)*VLOOKUP($D294,$A$25:$H$36,4,0)</f>
        <v>5005.4136</v>
      </c>
      <c r="H294" s="61" t="n">
        <f aca="false">VLOOKUP($D294,$A$25:$H$36,5,0)*(1+$B$5)^($A294-2025)*INDEX($B$40:$M$44,MATCH($E294,$A$40:$A$44,0),$B294)</f>
        <v>2466.346944</v>
      </c>
      <c r="I294" s="62" t="n">
        <f aca="false">IF(H294=0,0,G294/H294)</f>
        <v>2.02948478606261</v>
      </c>
      <c r="J294" s="61" t="n">
        <f aca="false">G294-H294</f>
        <v>2539.066656</v>
      </c>
      <c r="K294" s="61" t="n">
        <f aca="false">SUMIFS($G$48:$G$479,$D$48:$D$479,$D294,$A$48:$A$479,$A294,$B$48:$B$479,"&lt;="&amp;$B294)</f>
        <v>52458.2168</v>
      </c>
      <c r="L294" s="61" t="n">
        <f aca="false">SUMIFS($H$48:$H$479,$D$48:$D$479,$D294,$A$48:$A$479,$A294,$B$48:$B$479,"&lt;="&amp;$B294)</f>
        <v>32878.580952</v>
      </c>
      <c r="M294" s="62" t="n">
        <f aca="false">IF(L294=0,0,K294/L294)</f>
        <v>1.59551340967497</v>
      </c>
    </row>
    <row r="295" customFormat="false" ht="15" hidden="false" customHeight="false" outlineLevel="0" collapsed="false">
      <c r="A295" s="56" t="n">
        <v>2027</v>
      </c>
      <c r="B295" s="56" t="n">
        <v>8</v>
      </c>
      <c r="C295" s="56" t="s">
        <v>179</v>
      </c>
      <c r="D295" s="56" t="s">
        <v>321</v>
      </c>
      <c r="E295" s="56" t="s">
        <v>143</v>
      </c>
      <c r="F295" s="56" t="s">
        <v>339</v>
      </c>
      <c r="G295" s="73" t="n">
        <f aca="false">SUMIFS(DRE_por_UN!$F:$F,DRE_por_UN!$C:$C,$C295,DRE_por_UN!$E:$E,$E295)*VLOOKUP($D295,$A$25:$H$36,4,0)</f>
        <v>7940.4556</v>
      </c>
      <c r="H295" s="61" t="n">
        <f aca="false">VLOOKUP($D295,$A$25:$H$36,5,0)*(1+$B$5)^($A295-2025)*INDEX($B$40:$M$44,MATCH($E295,$A$40:$A$44,0),$B295)</f>
        <v>2635.606048</v>
      </c>
      <c r="I295" s="62" t="n">
        <f aca="false">IF(H295=0,0,G295/H295)</f>
        <v>3.01276270253877</v>
      </c>
      <c r="J295" s="61" t="n">
        <f aca="false">G295-H295</f>
        <v>5304.849552</v>
      </c>
      <c r="K295" s="61" t="n">
        <f aca="false">SUMIFS($G$48:$G$479,$D$48:$D$479,$D295,$A$48:$A$479,$A295,$B$48:$B$479,"&lt;="&amp;$B295)</f>
        <v>60398.6724</v>
      </c>
      <c r="L295" s="61" t="n">
        <f aca="false">SUMIFS($H$48:$H$479,$D$48:$D$479,$D295,$A$48:$A$479,$A295,$B$48:$B$479,"&lt;="&amp;$B295)</f>
        <v>35514.187</v>
      </c>
      <c r="M295" s="62" t="n">
        <f aca="false">IF(L295=0,0,K295/L295)</f>
        <v>1.70069139974963</v>
      </c>
    </row>
    <row r="296" customFormat="false" ht="15" hidden="false" customHeight="false" outlineLevel="0" collapsed="false">
      <c r="A296" s="56" t="n">
        <v>2027</v>
      </c>
      <c r="B296" s="56" t="n">
        <v>9</v>
      </c>
      <c r="C296" s="56" t="s">
        <v>180</v>
      </c>
      <c r="D296" s="56" t="s">
        <v>321</v>
      </c>
      <c r="E296" s="56" t="s">
        <v>143</v>
      </c>
      <c r="F296" s="56" t="s">
        <v>339</v>
      </c>
      <c r="G296" s="73" t="n">
        <f aca="false">SUMIFS(DRE_por_UN!$F:$F,DRE_por_UN!$C:$C,$C296,DRE_por_UN!$E:$E,$E296)*VLOOKUP($D296,$A$25:$H$36,4,0)</f>
        <v>6641.2808</v>
      </c>
      <c r="H296" s="61" t="n">
        <f aca="false">VLOOKUP($D296,$A$25:$H$36,5,0)*(1+$B$5)^($A296-2025)*INDEX($B$40:$M$44,MATCH($E296,$A$40:$A$44,0),$B296)</f>
        <v>11473.349264</v>
      </c>
      <c r="I296" s="62" t="n">
        <f aca="false">IF(H296=0,0,G296/H296)</f>
        <v>0.578844123645603</v>
      </c>
      <c r="J296" s="61" t="n">
        <f aca="false">G296-H296</f>
        <v>-4832.068464</v>
      </c>
      <c r="K296" s="61" t="n">
        <f aca="false">SUMIFS($G$48:$G$479,$D$48:$D$479,$D296,$A$48:$A$479,$A296,$B$48:$B$479,"&lt;="&amp;$B296)</f>
        <v>67039.9532</v>
      </c>
      <c r="L296" s="61" t="n">
        <f aca="false">SUMIFS($H$48:$H$479,$D$48:$D$479,$D296,$A$48:$A$479,$A296,$B$48:$B$479,"&lt;="&amp;$B296)</f>
        <v>46987.536264</v>
      </c>
      <c r="M296" s="62" t="n">
        <f aca="false">IF(L296=0,0,K296/L296)</f>
        <v>1.42676033966402</v>
      </c>
    </row>
    <row r="297" customFormat="false" ht="15" hidden="false" customHeight="false" outlineLevel="0" collapsed="false">
      <c r="A297" s="56" t="n">
        <v>2027</v>
      </c>
      <c r="B297" s="56" t="n">
        <v>10</v>
      </c>
      <c r="C297" s="56" t="s">
        <v>181</v>
      </c>
      <c r="D297" s="56" t="s">
        <v>321</v>
      </c>
      <c r="E297" s="56" t="s">
        <v>143</v>
      </c>
      <c r="F297" s="56" t="s">
        <v>339</v>
      </c>
      <c r="G297" s="73" t="n">
        <f aca="false">SUMIFS(DRE_por_UN!$F:$F,DRE_por_UN!$C:$C,$C297,DRE_por_UN!$E:$E,$E297)*VLOOKUP($D297,$A$25:$H$36,4,0)</f>
        <v>8027.294</v>
      </c>
      <c r="H297" s="61" t="n">
        <f aca="false">VLOOKUP($D297,$A$25:$H$36,5,0)*(1+$B$5)^($A297-2025)*INDEX($B$40:$M$44,MATCH($E297,$A$40:$A$44,0),$B297)</f>
        <v>3028.528968</v>
      </c>
      <c r="I297" s="62" t="n">
        <f aca="false">IF(H297=0,0,G297/H297)</f>
        <v>2.65055876460747</v>
      </c>
      <c r="J297" s="61" t="n">
        <f aca="false">G297-H297</f>
        <v>4998.765032</v>
      </c>
      <c r="K297" s="61" t="n">
        <f aca="false">SUMIFS($G$48:$G$479,$D$48:$D$479,$D297,$A$48:$A$479,$A297,$B$48:$B$479,"&lt;="&amp;$B297)</f>
        <v>75067.2472</v>
      </c>
      <c r="L297" s="61" t="n">
        <f aca="false">SUMIFS($H$48:$H$479,$D$48:$D$479,$D297,$A$48:$A$479,$A297,$B$48:$B$479,"&lt;="&amp;$B297)</f>
        <v>50016.065232</v>
      </c>
      <c r="M297" s="62" t="n">
        <f aca="false">IF(L297=0,0,K297/L297)</f>
        <v>1.50086270984732</v>
      </c>
    </row>
    <row r="298" customFormat="false" ht="15" hidden="false" customHeight="false" outlineLevel="0" collapsed="false">
      <c r="A298" s="56" t="n">
        <v>2027</v>
      </c>
      <c r="B298" s="56" t="n">
        <v>11</v>
      </c>
      <c r="C298" s="56" t="s">
        <v>182</v>
      </c>
      <c r="D298" s="56" t="s">
        <v>321</v>
      </c>
      <c r="E298" s="56" t="s">
        <v>143</v>
      </c>
      <c r="F298" s="56" t="s">
        <v>339</v>
      </c>
      <c r="G298" s="73" t="n">
        <f aca="false">SUMIFS(DRE_por_UN!$F:$F,DRE_por_UN!$C:$C,$C298,DRE_por_UN!$E:$E,$E298)*VLOOKUP($D298,$A$25:$H$36,4,0)</f>
        <v>7007.3916</v>
      </c>
      <c r="H298" s="61" t="n">
        <f aca="false">VLOOKUP($D298,$A$25:$H$36,5,0)*(1+$B$5)^($A298-2025)*INDEX($B$40:$M$44,MATCH($E298,$A$40:$A$44,0),$B298)</f>
        <v>2629.56108</v>
      </c>
      <c r="I298" s="62" t="n">
        <f aca="false">IF(H298=0,0,G298/H298)</f>
        <v>2.66485218894402</v>
      </c>
      <c r="J298" s="61" t="n">
        <f aca="false">G298-H298</f>
        <v>4377.83052</v>
      </c>
      <c r="K298" s="61" t="n">
        <f aca="false">SUMIFS($G$48:$G$479,$D$48:$D$479,$D298,$A$48:$A$479,$A298,$B$48:$B$479,"&lt;="&amp;$B298)</f>
        <v>82074.6388</v>
      </c>
      <c r="L298" s="61" t="n">
        <f aca="false">SUMIFS($H$48:$H$479,$D$48:$D$479,$D298,$A$48:$A$479,$A298,$B$48:$B$479,"&lt;="&amp;$B298)</f>
        <v>52645.626312</v>
      </c>
      <c r="M298" s="62" t="n">
        <f aca="false">IF(L298=0,0,K298/L298)</f>
        <v>1.55900203966786</v>
      </c>
    </row>
    <row r="299" customFormat="false" ht="15" hidden="false" customHeight="false" outlineLevel="0" collapsed="false">
      <c r="A299" s="56" t="n">
        <v>2027</v>
      </c>
      <c r="B299" s="56" t="n">
        <v>12</v>
      </c>
      <c r="C299" s="56" t="s">
        <v>183</v>
      </c>
      <c r="D299" s="56" t="s">
        <v>321</v>
      </c>
      <c r="E299" s="56" t="s">
        <v>143</v>
      </c>
      <c r="F299" s="56" t="s">
        <v>339</v>
      </c>
      <c r="G299" s="73" t="n">
        <f aca="false">SUMIFS(DRE_por_UN!$F:$F,DRE_por_UN!$C:$C,$C299,DRE_por_UN!$E:$E,$E299)*VLOOKUP($D299,$A$25:$H$36,4,0)</f>
        <v>4661.6108</v>
      </c>
      <c r="H299" s="61" t="n">
        <f aca="false">VLOOKUP($D299,$A$25:$H$36,5,0)*(1+$B$5)^($A299-2025)*INDEX($B$40:$M$44,MATCH($E299,$A$40:$A$44,0),$B299)</f>
        <v>7798.00872</v>
      </c>
      <c r="I299" s="62" t="n">
        <f aca="false">IF(H299=0,0,G299/H299)</f>
        <v>0.597795022727289</v>
      </c>
      <c r="J299" s="61" t="n">
        <f aca="false">G299-H299</f>
        <v>-3136.39792</v>
      </c>
      <c r="K299" s="61" t="n">
        <f aca="false">SUMIFS($G$48:$G$479,$D$48:$D$479,$D299,$A$48:$A$479,$A299,$B$48:$B$479,"&lt;="&amp;$B299)</f>
        <v>86736.2496</v>
      </c>
      <c r="L299" s="61" t="n">
        <f aca="false">SUMIFS($H$48:$H$479,$D$48:$D$479,$D299,$A$48:$A$479,$A299,$B$48:$B$479,"&lt;="&amp;$B299)</f>
        <v>60443.635032</v>
      </c>
      <c r="M299" s="62" t="n">
        <f aca="false">IF(L299=0,0,K299/L299)</f>
        <v>1.43499393367193</v>
      </c>
    </row>
    <row r="300" customFormat="false" ht="15" hidden="false" customHeight="false" outlineLevel="0" collapsed="false">
      <c r="A300" s="56" t="n">
        <v>2025</v>
      </c>
      <c r="B300" s="56" t="n">
        <v>1</v>
      </c>
      <c r="C300" s="56" t="s">
        <v>148</v>
      </c>
      <c r="D300" s="56" t="s">
        <v>322</v>
      </c>
      <c r="E300" s="56" t="s">
        <v>144</v>
      </c>
      <c r="F300" s="56" t="s">
        <v>336</v>
      </c>
      <c r="G300" s="73" t="n">
        <f aca="false">SUMIFS(DRE_por_UN!$F:$F,DRE_por_UN!$C:$C,$C300,DRE_por_UN!$E:$E,$E300)*VLOOKUP($D300,$A$25:$H$36,4,0)</f>
        <v>22453.0955</v>
      </c>
      <c r="H300" s="61" t="n">
        <f aca="false">VLOOKUP($D300,$A$25:$H$36,5,0)*(1+$B$5)^($A300-2025)*INDEX($B$40:$M$44,MATCH($E300,$A$40:$A$44,0),$B300)</f>
        <v>22464.9</v>
      </c>
      <c r="I300" s="62" t="n">
        <f aca="false">IF(H300=0,0,G300/H300)</f>
        <v>0.999474535831453</v>
      </c>
      <c r="J300" s="61" t="n">
        <f aca="false">G300-H300</f>
        <v>-11.8044999999984</v>
      </c>
      <c r="K300" s="61" t="n">
        <f aca="false">SUMIFS($G$48:$G$479,$D$48:$D$479,$D300,$A$48:$A$479,$A300,$B$48:$B$479,"&lt;="&amp;$B300)</f>
        <v>22453.0955</v>
      </c>
      <c r="L300" s="61" t="n">
        <f aca="false">SUMIFS($H$48:$H$479,$D$48:$D$479,$D300,$A$48:$A$479,$A300,$B$48:$B$479,"&lt;="&amp;$B300)</f>
        <v>22464.9</v>
      </c>
      <c r="M300" s="62" t="n">
        <f aca="false">IF(L300=0,0,K300/L300)</f>
        <v>0.999474535831453</v>
      </c>
    </row>
    <row r="301" customFormat="false" ht="15" hidden="false" customHeight="false" outlineLevel="0" collapsed="false">
      <c r="A301" s="56" t="n">
        <v>2025</v>
      </c>
      <c r="B301" s="56" t="n">
        <v>2</v>
      </c>
      <c r="C301" s="56" t="s">
        <v>149</v>
      </c>
      <c r="D301" s="56" t="s">
        <v>322</v>
      </c>
      <c r="E301" s="56" t="s">
        <v>144</v>
      </c>
      <c r="F301" s="56" t="s">
        <v>336</v>
      </c>
      <c r="G301" s="73" t="n">
        <f aca="false">SUMIFS(DRE_por_UN!$F:$F,DRE_por_UN!$C:$C,$C301,DRE_por_UN!$E:$E,$E301)*VLOOKUP($D301,$A$25:$H$36,4,0)</f>
        <v>25059.1605</v>
      </c>
      <c r="H301" s="61" t="n">
        <f aca="false">VLOOKUP($D301,$A$25:$H$36,5,0)*(1+$B$5)^($A301-2025)*INDEX($B$40:$M$44,MATCH($E301,$A$40:$A$44,0),$B301)</f>
        <v>25048.2</v>
      </c>
      <c r="I301" s="62" t="n">
        <f aca="false">IF(H301=0,0,G301/H301)</f>
        <v>1.00043757635279</v>
      </c>
      <c r="J301" s="61" t="n">
        <f aca="false">G301-H301</f>
        <v>10.960500000001</v>
      </c>
      <c r="K301" s="61" t="n">
        <f aca="false">SUMIFS($G$48:$G$479,$D$48:$D$479,$D301,$A$48:$A$479,$A301,$B$48:$B$479,"&lt;="&amp;$B301)</f>
        <v>47512.256</v>
      </c>
      <c r="L301" s="61" t="n">
        <f aca="false">SUMIFS($H$48:$H$479,$D$48:$D$479,$D301,$A$48:$A$479,$A301,$B$48:$B$479,"&lt;="&amp;$B301)</f>
        <v>47513.1</v>
      </c>
      <c r="M301" s="62" t="n">
        <f aca="false">IF(L301=0,0,K301/L301)</f>
        <v>0.99998223647794</v>
      </c>
    </row>
    <row r="302" customFormat="false" ht="15" hidden="false" customHeight="false" outlineLevel="0" collapsed="false">
      <c r="A302" s="56" t="n">
        <v>2025</v>
      </c>
      <c r="B302" s="56" t="n">
        <v>3</v>
      </c>
      <c r="C302" s="56" t="s">
        <v>150</v>
      </c>
      <c r="D302" s="56" t="s">
        <v>322</v>
      </c>
      <c r="E302" s="56" t="s">
        <v>144</v>
      </c>
      <c r="F302" s="56" t="s">
        <v>336</v>
      </c>
      <c r="G302" s="73" t="n">
        <f aca="false">SUMIFS(DRE_por_UN!$F:$F,DRE_por_UN!$C:$C,$C302,DRE_por_UN!$E:$E,$E302)*VLOOKUP($D302,$A$25:$H$36,4,0)</f>
        <v>26318.501</v>
      </c>
      <c r="H302" s="61" t="n">
        <f aca="false">VLOOKUP($D302,$A$25:$H$36,5,0)*(1+$B$5)^($A302-2025)*INDEX($B$40:$M$44,MATCH($E302,$A$40:$A$44,0),$B302)</f>
        <v>26323.5</v>
      </c>
      <c r="I302" s="62" t="n">
        <f aca="false">IF(H302=0,0,G302/H302)</f>
        <v>0.999810093642563</v>
      </c>
      <c r="J302" s="61" t="n">
        <f aca="false">G302-H302</f>
        <v>-4.9989999999998</v>
      </c>
      <c r="K302" s="61" t="n">
        <f aca="false">SUMIFS($G$48:$G$479,$D$48:$D$479,$D302,$A$48:$A$479,$A302,$B$48:$B$479,"&lt;="&amp;$B302)</f>
        <v>73830.757</v>
      </c>
      <c r="L302" s="61" t="n">
        <f aca="false">SUMIFS($H$48:$H$479,$D$48:$D$479,$D302,$A$48:$A$479,$A302,$B$48:$B$479,"&lt;="&amp;$B302)</f>
        <v>73836.6</v>
      </c>
      <c r="M302" s="62" t="n">
        <f aca="false">IF(L302=0,0,K302/L302)</f>
        <v>0.99992086580368</v>
      </c>
    </row>
    <row r="303" customFormat="false" ht="15" hidden="false" customHeight="false" outlineLevel="0" collapsed="false">
      <c r="A303" s="56" t="n">
        <v>2025</v>
      </c>
      <c r="B303" s="56" t="n">
        <v>4</v>
      </c>
      <c r="C303" s="56" t="s">
        <v>151</v>
      </c>
      <c r="D303" s="56" t="s">
        <v>322</v>
      </c>
      <c r="E303" s="56" t="s">
        <v>144</v>
      </c>
      <c r="F303" s="56" t="s">
        <v>336</v>
      </c>
      <c r="G303" s="73" t="n">
        <f aca="false">SUMIFS(DRE_por_UN!$F:$F,DRE_por_UN!$C:$C,$C303,DRE_por_UN!$E:$E,$E303)*VLOOKUP($D303,$A$25:$H$36,4,0)</f>
        <v>30170.4535</v>
      </c>
      <c r="H303" s="61" t="n">
        <f aca="false">VLOOKUP($D303,$A$25:$H$36,5,0)*(1+$B$5)^($A303-2025)*INDEX($B$40:$M$44,MATCH($E303,$A$40:$A$44,0),$B303)</f>
        <v>30182.1</v>
      </c>
      <c r="I303" s="62" t="n">
        <f aca="false">IF(H303=0,0,G303/H303)</f>
        <v>0.999614125590996</v>
      </c>
      <c r="J303" s="61" t="n">
        <f aca="false">G303-H303</f>
        <v>-11.6464999999953</v>
      </c>
      <c r="K303" s="61" t="n">
        <f aca="false">SUMIFS($G$48:$G$479,$D$48:$D$479,$D303,$A$48:$A$479,$A303,$B$48:$B$479,"&lt;="&amp;$B303)</f>
        <v>104001.2105</v>
      </c>
      <c r="L303" s="61" t="n">
        <f aca="false">SUMIFS($H$48:$H$479,$D$48:$D$479,$D303,$A$48:$A$479,$A303,$B$48:$B$479,"&lt;="&amp;$B303)</f>
        <v>104018.7</v>
      </c>
      <c r="M303" s="62" t="n">
        <f aca="false">IF(L303=0,0,K303/L303)</f>
        <v>0.999831861963282</v>
      </c>
    </row>
    <row r="304" customFormat="false" ht="15" hidden="false" customHeight="false" outlineLevel="0" collapsed="false">
      <c r="A304" s="56" t="n">
        <v>2025</v>
      </c>
      <c r="B304" s="56" t="n">
        <v>5</v>
      </c>
      <c r="C304" s="56" t="s">
        <v>152</v>
      </c>
      <c r="D304" s="56" t="s">
        <v>322</v>
      </c>
      <c r="E304" s="56" t="s">
        <v>144</v>
      </c>
      <c r="F304" s="56" t="s">
        <v>336</v>
      </c>
      <c r="G304" s="73" t="n">
        <f aca="false">SUMIFS(DRE_por_UN!$F:$F,DRE_por_UN!$C:$C,$C304,DRE_por_UN!$E:$E,$E304)*VLOOKUP($D304,$A$25:$H$36,4,0)</f>
        <v>26466.242</v>
      </c>
      <c r="H304" s="61" t="n">
        <f aca="false">VLOOKUP($D304,$A$25:$H$36,5,0)*(1+$B$5)^($A304-2025)*INDEX($B$40:$M$44,MATCH($E304,$A$40:$A$44,0),$B304)</f>
        <v>26454.3</v>
      </c>
      <c r="I304" s="62" t="n">
        <f aca="false">IF(H304=0,0,G304/H304)</f>
        <v>1.00045141999599</v>
      </c>
      <c r="J304" s="61" t="n">
        <f aca="false">G304-H304</f>
        <v>11.9420000000027</v>
      </c>
      <c r="K304" s="61" t="n">
        <f aca="false">SUMIFS($G$48:$G$479,$D$48:$D$479,$D304,$A$48:$A$479,$A304,$B$48:$B$479,"&lt;="&amp;$B304)</f>
        <v>130467.4525</v>
      </c>
      <c r="L304" s="61" t="n">
        <f aca="false">SUMIFS($H$48:$H$479,$D$48:$D$479,$D304,$A$48:$A$479,$A304,$B$48:$B$479,"&lt;="&amp;$B304)</f>
        <v>130473</v>
      </c>
      <c r="M304" s="62" t="n">
        <f aca="false">IF(L304=0,0,K304/L304)</f>
        <v>0.999957481624551</v>
      </c>
    </row>
    <row r="305" customFormat="false" ht="15" hidden="false" customHeight="false" outlineLevel="0" collapsed="false">
      <c r="A305" s="56" t="n">
        <v>2025</v>
      </c>
      <c r="B305" s="56" t="n">
        <v>6</v>
      </c>
      <c r="C305" s="56" t="s">
        <v>153</v>
      </c>
      <c r="D305" s="56" t="s">
        <v>322</v>
      </c>
      <c r="E305" s="56" t="s">
        <v>144</v>
      </c>
      <c r="F305" s="56" t="s">
        <v>336</v>
      </c>
      <c r="G305" s="73" t="n">
        <f aca="false">SUMIFS(DRE_por_UN!$F:$F,DRE_por_UN!$C:$C,$C305,DRE_por_UN!$E:$E,$E305)*VLOOKUP($D305,$A$25:$H$36,4,0)</f>
        <v>25093.0955</v>
      </c>
      <c r="H305" s="61" t="n">
        <f aca="false">VLOOKUP($D305,$A$25:$H$36,5,0)*(1+$B$5)^($A305-2025)*INDEX($B$40:$M$44,MATCH($E305,$A$40:$A$44,0),$B305)</f>
        <v>25080.9</v>
      </c>
      <c r="I305" s="62" t="n">
        <f aca="false">IF(H305=0,0,G305/H305)</f>
        <v>1.00048624650631</v>
      </c>
      <c r="J305" s="61" t="n">
        <f aca="false">G305-H305</f>
        <v>12.195499999998</v>
      </c>
      <c r="K305" s="61" t="n">
        <f aca="false">SUMIFS($G$48:$G$479,$D$48:$D$479,$D305,$A$48:$A$479,$A305,$B$48:$B$479,"&lt;="&amp;$B305)</f>
        <v>155560.548</v>
      </c>
      <c r="L305" s="61" t="n">
        <f aca="false">SUMIFS($H$48:$H$479,$D$48:$D$479,$D305,$A$48:$A$479,$A305,$B$48:$B$479,"&lt;="&amp;$B305)</f>
        <v>155553.9</v>
      </c>
      <c r="M305" s="62" t="n">
        <f aca="false">IF(L305=0,0,K305/L305)</f>
        <v>1.00004273759771</v>
      </c>
    </row>
    <row r="306" customFormat="false" ht="15" hidden="false" customHeight="false" outlineLevel="0" collapsed="false">
      <c r="A306" s="56" t="n">
        <v>2025</v>
      </c>
      <c r="B306" s="56" t="n">
        <v>7</v>
      </c>
      <c r="C306" s="56" t="s">
        <v>154</v>
      </c>
      <c r="D306" s="56" t="s">
        <v>322</v>
      </c>
      <c r="E306" s="56" t="s">
        <v>144</v>
      </c>
      <c r="F306" s="56" t="s">
        <v>336</v>
      </c>
      <c r="G306" s="73" t="n">
        <f aca="false">SUMIFS(DRE_por_UN!$F:$F,DRE_por_UN!$C:$C,$C306,DRE_por_UN!$E:$E,$E306)*VLOOKUP($D306,$A$25:$H$36,4,0)</f>
        <v>29873.5855</v>
      </c>
      <c r="H306" s="61" t="n">
        <f aca="false">VLOOKUP($D306,$A$25:$H$36,5,0)*(1+$B$5)^($A306-2025)*INDEX($B$40:$M$44,MATCH($E306,$A$40:$A$44,0),$B306)</f>
        <v>29855.1</v>
      </c>
      <c r="I306" s="62" t="n">
        <f aca="false">IF(H306=0,0,G306/H306)</f>
        <v>1.00061917394348</v>
      </c>
      <c r="J306" s="61" t="n">
        <f aca="false">G306-H306</f>
        <v>18.4854999999989</v>
      </c>
      <c r="K306" s="61" t="n">
        <f aca="false">SUMIFS($G$48:$G$479,$D$48:$D$479,$D306,$A$48:$A$479,$A306,$B$48:$B$479,"&lt;="&amp;$B306)</f>
        <v>185434.1335</v>
      </c>
      <c r="L306" s="61" t="n">
        <f aca="false">SUMIFS($H$48:$H$479,$D$48:$D$479,$D306,$A$48:$A$479,$A306,$B$48:$B$479,"&lt;="&amp;$B306)</f>
        <v>185409</v>
      </c>
      <c r="M306" s="62" t="n">
        <f aca="false">IF(L306=0,0,K306/L306)</f>
        <v>1.00013555706573</v>
      </c>
    </row>
    <row r="307" customFormat="false" ht="15" hidden="false" customHeight="false" outlineLevel="0" collapsed="false">
      <c r="A307" s="56" t="n">
        <v>2025</v>
      </c>
      <c r="B307" s="56" t="n">
        <v>8</v>
      </c>
      <c r="C307" s="56" t="s">
        <v>155</v>
      </c>
      <c r="D307" s="56" t="s">
        <v>322</v>
      </c>
      <c r="E307" s="56" t="s">
        <v>144</v>
      </c>
      <c r="F307" s="56" t="s">
        <v>336</v>
      </c>
      <c r="G307" s="73" t="n">
        <f aca="false">SUMIFS(DRE_por_UN!$F:$F,DRE_por_UN!$C:$C,$C307,DRE_por_UN!$E:$E,$E307)*VLOOKUP($D307,$A$25:$H$36,4,0)</f>
        <v>22542.85</v>
      </c>
      <c r="H307" s="61" t="n">
        <f aca="false">VLOOKUP($D307,$A$25:$H$36,5,0)*(1+$B$5)^($A307-2025)*INDEX($B$40:$M$44,MATCH($E307,$A$40:$A$44,0),$B307)</f>
        <v>22530.3</v>
      </c>
      <c r="I307" s="62" t="n">
        <f aca="false">IF(H307=0,0,G307/H307)</f>
        <v>1.00055702764721</v>
      </c>
      <c r="J307" s="61" t="n">
        <f aca="false">G307-H307</f>
        <v>12.5500000000029</v>
      </c>
      <c r="K307" s="61" t="n">
        <f aca="false">SUMIFS($G$48:$G$479,$D$48:$D$479,$D307,$A$48:$A$479,$A307,$B$48:$B$479,"&lt;="&amp;$B307)</f>
        <v>207976.9835</v>
      </c>
      <c r="L307" s="61" t="n">
        <f aca="false">SUMIFS($H$48:$H$479,$D$48:$D$479,$D307,$A$48:$A$479,$A307,$B$48:$B$479,"&lt;="&amp;$B307)</f>
        <v>207939.3</v>
      </c>
      <c r="M307" s="62" t="n">
        <f aca="false">IF(L307=0,0,K307/L307)</f>
        <v>1.00018122355899</v>
      </c>
    </row>
    <row r="308" customFormat="false" ht="15" hidden="false" customHeight="false" outlineLevel="0" collapsed="false">
      <c r="A308" s="56" t="n">
        <v>2025</v>
      </c>
      <c r="B308" s="56" t="n">
        <v>9</v>
      </c>
      <c r="C308" s="56" t="s">
        <v>156</v>
      </c>
      <c r="D308" s="56" t="s">
        <v>322</v>
      </c>
      <c r="E308" s="56" t="s">
        <v>144</v>
      </c>
      <c r="F308" s="56" t="s">
        <v>336</v>
      </c>
      <c r="G308" s="73" t="n">
        <f aca="false">SUMIFS(DRE_por_UN!$F:$F,DRE_por_UN!$C:$C,$C308,DRE_por_UN!$E:$E,$E308)*VLOOKUP($D308,$A$25:$H$36,4,0)</f>
        <v>22701.8165</v>
      </c>
      <c r="H308" s="61" t="n">
        <f aca="false">VLOOKUP($D308,$A$25:$H$36,5,0)*(1+$B$5)^($A308-2025)*INDEX($B$40:$M$44,MATCH($E308,$A$40:$A$44,0),$B308)</f>
        <v>22693.8</v>
      </c>
      <c r="I308" s="62" t="n">
        <f aca="false">IF(H308=0,0,G308/H308)</f>
        <v>1.00035324626109</v>
      </c>
      <c r="J308" s="61" t="n">
        <f aca="false">G308-H308</f>
        <v>8.01649999999791</v>
      </c>
      <c r="K308" s="61" t="n">
        <f aca="false">SUMIFS($G$48:$G$479,$D$48:$D$479,$D308,$A$48:$A$479,$A308,$B$48:$B$479,"&lt;="&amp;$B308)</f>
        <v>230678.8</v>
      </c>
      <c r="L308" s="61" t="n">
        <f aca="false">SUMIFS($H$48:$H$479,$D$48:$D$479,$D308,$A$48:$A$479,$A308,$B$48:$B$479,"&lt;="&amp;$B308)</f>
        <v>230633.1</v>
      </c>
      <c r="M308" s="62" t="n">
        <f aca="false">IF(L308=0,0,K308/L308)</f>
        <v>1.00019815022215</v>
      </c>
    </row>
    <row r="309" customFormat="false" ht="15" hidden="false" customHeight="false" outlineLevel="0" collapsed="false">
      <c r="A309" s="56" t="n">
        <v>2025</v>
      </c>
      <c r="B309" s="56" t="n">
        <v>10</v>
      </c>
      <c r="C309" s="56" t="s">
        <v>157</v>
      </c>
      <c r="D309" s="56" t="s">
        <v>322</v>
      </c>
      <c r="E309" s="56" t="s">
        <v>144</v>
      </c>
      <c r="F309" s="56" t="s">
        <v>336</v>
      </c>
      <c r="G309" s="73" t="n">
        <f aca="false">SUMIFS(DRE_por_UN!$F:$F,DRE_por_UN!$C:$C,$C309,DRE_por_UN!$E:$E,$E309)*VLOOKUP($D309,$A$25:$H$36,4,0)</f>
        <v>28839.3545</v>
      </c>
      <c r="H309" s="61" t="n">
        <f aca="false">VLOOKUP($D309,$A$25:$H$36,5,0)*(1+$B$5)^($A309-2025)*INDEX($B$40:$M$44,MATCH($E309,$A$40:$A$44,0),$B309)</f>
        <v>28841.4</v>
      </c>
      <c r="I309" s="62" t="n">
        <f aca="false">IF(H309=0,0,G309/H309)</f>
        <v>0.99992907764533</v>
      </c>
      <c r="J309" s="61" t="n">
        <f aca="false">G309-H309</f>
        <v>-2.04549999999654</v>
      </c>
      <c r="K309" s="61" t="n">
        <f aca="false">SUMIFS($G$48:$G$479,$D$48:$D$479,$D309,$A$48:$A$479,$A309,$B$48:$B$479,"&lt;="&amp;$B309)</f>
        <v>259518.1545</v>
      </c>
      <c r="L309" s="61" t="n">
        <f aca="false">SUMIFS($H$48:$H$479,$D$48:$D$479,$D309,$A$48:$A$479,$A309,$B$48:$B$479,"&lt;="&amp;$B309)</f>
        <v>259474.5</v>
      </c>
      <c r="M309" s="62" t="n">
        <f aca="false">IF(L309=0,0,K309/L309)</f>
        <v>1.00016824196597</v>
      </c>
    </row>
    <row r="310" customFormat="false" ht="15" hidden="false" customHeight="false" outlineLevel="0" collapsed="false">
      <c r="A310" s="56" t="n">
        <v>2025</v>
      </c>
      <c r="B310" s="56" t="n">
        <v>11</v>
      </c>
      <c r="C310" s="56" t="s">
        <v>158</v>
      </c>
      <c r="D310" s="56" t="s">
        <v>322</v>
      </c>
      <c r="E310" s="56" t="s">
        <v>144</v>
      </c>
      <c r="F310" s="56" t="s">
        <v>336</v>
      </c>
      <c r="G310" s="73" t="n">
        <f aca="false">SUMIFS(DRE_por_UN!$F:$F,DRE_por_UN!$C:$C,$C310,DRE_por_UN!$E:$E,$E310)*VLOOKUP($D310,$A$25:$H$36,4,0)</f>
        <v>34675.8115</v>
      </c>
      <c r="H310" s="61" t="n">
        <f aca="false">VLOOKUP($D310,$A$25:$H$36,5,0)*(1+$B$5)^($A310-2025)*INDEX($B$40:$M$44,MATCH($E310,$A$40:$A$44,0),$B310)</f>
        <v>34662</v>
      </c>
      <c r="I310" s="62" t="n">
        <f aca="false">IF(H310=0,0,G310/H310)</f>
        <v>1.000398462293</v>
      </c>
      <c r="J310" s="61" t="n">
        <f aca="false">G310-H310</f>
        <v>13.8115000000034</v>
      </c>
      <c r="K310" s="61" t="n">
        <f aca="false">SUMIFS($G$48:$G$479,$D$48:$D$479,$D310,$A$48:$A$479,$A310,$B$48:$B$479,"&lt;="&amp;$B310)</f>
        <v>294193.966</v>
      </c>
      <c r="L310" s="61" t="n">
        <f aca="false">SUMIFS($H$48:$H$479,$D$48:$D$479,$D310,$A$48:$A$479,$A310,$B$48:$B$479,"&lt;="&amp;$B310)</f>
        <v>294136.5</v>
      </c>
      <c r="M310" s="62" t="n">
        <f aca="false">IF(L310=0,0,K310/L310)</f>
        <v>1.00019537187666</v>
      </c>
    </row>
    <row r="311" customFormat="false" ht="15" hidden="false" customHeight="false" outlineLevel="0" collapsed="false">
      <c r="A311" s="56" t="n">
        <v>2025</v>
      </c>
      <c r="B311" s="56" t="n">
        <v>12</v>
      </c>
      <c r="C311" s="56" t="s">
        <v>159</v>
      </c>
      <c r="D311" s="56" t="s">
        <v>322</v>
      </c>
      <c r="E311" s="56" t="s">
        <v>144</v>
      </c>
      <c r="F311" s="56" t="s">
        <v>336</v>
      </c>
      <c r="G311" s="73" t="n">
        <f aca="false">SUMIFS(DRE_por_UN!$F:$F,DRE_por_UN!$C:$C,$C311,DRE_por_UN!$E:$E,$E311)*VLOOKUP($D311,$A$25:$H$36,4,0)</f>
        <v>32852.193</v>
      </c>
      <c r="H311" s="61" t="n">
        <f aca="false">VLOOKUP($D311,$A$25:$H$36,5,0)*(1+$B$5)^($A311-2025)*INDEX($B$40:$M$44,MATCH($E311,$A$40:$A$44,0),$B311)</f>
        <v>32863.5</v>
      </c>
      <c r="I311" s="62" t="n">
        <f aca="false">IF(H311=0,0,G311/H311)</f>
        <v>0.999655940481081</v>
      </c>
      <c r="J311" s="61" t="n">
        <f aca="false">G311-H311</f>
        <v>-11.3069999999934</v>
      </c>
      <c r="K311" s="61" t="n">
        <f aca="false">SUMIFS($G$48:$G$479,$D$48:$D$479,$D311,$A$48:$A$479,$A311,$B$48:$B$479,"&lt;="&amp;$B311)</f>
        <v>327046.159</v>
      </c>
      <c r="L311" s="61" t="n">
        <f aca="false">SUMIFS($H$48:$H$479,$D$48:$D$479,$D311,$A$48:$A$479,$A311,$B$48:$B$479,"&lt;="&amp;$B311)</f>
        <v>327000</v>
      </c>
      <c r="M311" s="62" t="n">
        <f aca="false">IF(L311=0,0,K311/L311)</f>
        <v>1.00014115902141</v>
      </c>
    </row>
    <row r="312" customFormat="false" ht="15" hidden="false" customHeight="false" outlineLevel="0" collapsed="false">
      <c r="A312" s="56" t="n">
        <v>2026</v>
      </c>
      <c r="B312" s="56" t="n">
        <v>1</v>
      </c>
      <c r="C312" s="56" t="s">
        <v>160</v>
      </c>
      <c r="D312" s="56" t="s">
        <v>322</v>
      </c>
      <c r="E312" s="56" t="s">
        <v>144</v>
      </c>
      <c r="F312" s="56" t="s">
        <v>336</v>
      </c>
      <c r="G312" s="73" t="n">
        <f aca="false">SUMIFS(DRE_por_UN!$F:$F,DRE_por_UN!$C:$C,$C312,DRE_por_UN!$E:$E,$E312)*VLOOKUP($D312,$A$25:$H$36,4,0)</f>
        <v>23714.8065</v>
      </c>
      <c r="H312" s="61" t="n">
        <f aca="false">VLOOKUP($D312,$A$25:$H$36,5,0)*(1+$B$5)^($A312-2025)*INDEX($B$40:$M$44,MATCH($E312,$A$40:$A$44,0),$B312)</f>
        <v>23812.794</v>
      </c>
      <c r="I312" s="62" t="n">
        <f aca="false">IF(H312=0,0,G312/H312)</f>
        <v>0.995885090174635</v>
      </c>
      <c r="J312" s="61" t="n">
        <f aca="false">G312-H312</f>
        <v>-97.9874999999956</v>
      </c>
      <c r="K312" s="61" t="n">
        <f aca="false">SUMIFS($G$48:$G$479,$D$48:$D$479,$D312,$A$48:$A$479,$A312,$B$48:$B$479,"&lt;="&amp;$B312)</f>
        <v>23714.8065</v>
      </c>
      <c r="L312" s="61" t="n">
        <f aca="false">SUMIFS($H$48:$H$479,$D$48:$D$479,$D312,$A$48:$A$479,$A312,$B$48:$B$479,"&lt;="&amp;$B312)</f>
        <v>23812.794</v>
      </c>
      <c r="M312" s="62" t="n">
        <f aca="false">IF(L312=0,0,K312/L312)</f>
        <v>0.995885090174635</v>
      </c>
    </row>
    <row r="313" customFormat="false" ht="15" hidden="false" customHeight="false" outlineLevel="0" collapsed="false">
      <c r="A313" s="56" t="n">
        <v>2026</v>
      </c>
      <c r="B313" s="56" t="n">
        <v>2</v>
      </c>
      <c r="C313" s="56" t="s">
        <v>161</v>
      </c>
      <c r="D313" s="56" t="s">
        <v>322</v>
      </c>
      <c r="E313" s="56" t="s">
        <v>144</v>
      </c>
      <c r="F313" s="56" t="s">
        <v>336</v>
      </c>
      <c r="G313" s="73" t="n">
        <f aca="false">SUMIFS(DRE_por_UN!$F:$F,DRE_por_UN!$C:$C,$C313,DRE_por_UN!$E:$E,$E313)*VLOOKUP($D313,$A$25:$H$36,4,0)</f>
        <v>17540.281</v>
      </c>
      <c r="H313" s="61" t="n">
        <f aca="false">VLOOKUP($D313,$A$25:$H$36,5,0)*(1+$B$5)^($A313-2025)*INDEX($B$40:$M$44,MATCH($E313,$A$40:$A$44,0),$B313)</f>
        <v>26551.092</v>
      </c>
      <c r="I313" s="62" t="n">
        <f aca="false">IF(H313=0,0,G313/H313)</f>
        <v>0.660623713706389</v>
      </c>
      <c r="J313" s="61" t="n">
        <f aca="false">G313-H313</f>
        <v>-9010.811</v>
      </c>
      <c r="K313" s="61" t="n">
        <f aca="false">SUMIFS($G$48:$G$479,$D$48:$D$479,$D313,$A$48:$A$479,$A313,$B$48:$B$479,"&lt;="&amp;$B313)</f>
        <v>41255.0875</v>
      </c>
      <c r="L313" s="61" t="n">
        <f aca="false">SUMIFS($H$48:$H$479,$D$48:$D$479,$D313,$A$48:$A$479,$A313,$B$48:$B$479,"&lt;="&amp;$B313)</f>
        <v>50363.886</v>
      </c>
      <c r="M313" s="62" t="n">
        <f aca="false">IF(L313=0,0,K313/L313)</f>
        <v>0.819140276427439</v>
      </c>
    </row>
    <row r="314" customFormat="false" ht="15" hidden="false" customHeight="false" outlineLevel="0" collapsed="false">
      <c r="A314" s="56" t="n">
        <v>2026</v>
      </c>
      <c r="B314" s="56" t="n">
        <v>3</v>
      </c>
      <c r="C314" s="56" t="s">
        <v>162</v>
      </c>
      <c r="D314" s="56" t="s">
        <v>322</v>
      </c>
      <c r="E314" s="56" t="s">
        <v>144</v>
      </c>
      <c r="F314" s="56" t="s">
        <v>336</v>
      </c>
      <c r="G314" s="73" t="n">
        <f aca="false">SUMIFS(DRE_por_UN!$F:$F,DRE_por_UN!$C:$C,$C314,DRE_por_UN!$E:$E,$E314)*VLOOKUP($D314,$A$25:$H$36,4,0)</f>
        <v>23386.3905</v>
      </c>
      <c r="H314" s="61" t="n">
        <f aca="false">VLOOKUP($D314,$A$25:$H$36,5,0)*(1+$B$5)^($A314-2025)*INDEX($B$40:$M$44,MATCH($E314,$A$40:$A$44,0),$B314)</f>
        <v>27902.91</v>
      </c>
      <c r="I314" s="62" t="n">
        <f aca="false">IF(H314=0,0,G314/H314)</f>
        <v>0.838134463394678</v>
      </c>
      <c r="J314" s="61" t="n">
        <f aca="false">G314-H314</f>
        <v>-4516.5195</v>
      </c>
      <c r="K314" s="61" t="n">
        <f aca="false">SUMIFS($G$48:$G$479,$D$48:$D$479,$D314,$A$48:$A$479,$A314,$B$48:$B$479,"&lt;="&amp;$B314)</f>
        <v>64641.478</v>
      </c>
      <c r="L314" s="61" t="n">
        <f aca="false">SUMIFS($H$48:$H$479,$D$48:$D$479,$D314,$A$48:$A$479,$A314,$B$48:$B$479,"&lt;="&amp;$B314)</f>
        <v>78266.796</v>
      </c>
      <c r="M314" s="62" t="n">
        <f aca="false">IF(L314=0,0,K314/L314)</f>
        <v>0.825911897556149</v>
      </c>
    </row>
    <row r="315" customFormat="false" ht="15" hidden="false" customHeight="false" outlineLevel="0" collapsed="false">
      <c r="A315" s="56" t="n">
        <v>2026</v>
      </c>
      <c r="B315" s="56" t="n">
        <v>4</v>
      </c>
      <c r="C315" s="56" t="s">
        <v>163</v>
      </c>
      <c r="D315" s="56" t="s">
        <v>322</v>
      </c>
      <c r="E315" s="56" t="s">
        <v>144</v>
      </c>
      <c r="F315" s="56" t="s">
        <v>336</v>
      </c>
      <c r="G315" s="73" t="n">
        <f aca="false">SUMIFS(DRE_por_UN!$F:$F,DRE_por_UN!$C:$C,$C315,DRE_por_UN!$E:$E,$E315)*VLOOKUP($D315,$A$25:$H$36,4,0)</f>
        <v>29492.9525</v>
      </c>
      <c r="H315" s="61" t="n">
        <f aca="false">VLOOKUP($D315,$A$25:$H$36,5,0)*(1+$B$5)^($A315-2025)*INDEX($B$40:$M$44,MATCH($E315,$A$40:$A$44,0),$B315)</f>
        <v>31993.026</v>
      </c>
      <c r="I315" s="62" t="n">
        <f aca="false">IF(H315=0,0,G315/H315)</f>
        <v>0.921855672545636</v>
      </c>
      <c r="J315" s="61" t="n">
        <f aca="false">G315-H315</f>
        <v>-2500.0735</v>
      </c>
      <c r="K315" s="61" t="n">
        <f aca="false">SUMIFS($G$48:$G$479,$D$48:$D$479,$D315,$A$48:$A$479,$A315,$B$48:$B$479,"&lt;="&amp;$B315)</f>
        <v>94134.4305</v>
      </c>
      <c r="L315" s="61" t="n">
        <f aca="false">SUMIFS($H$48:$H$479,$D$48:$D$479,$D315,$A$48:$A$479,$A315,$B$48:$B$479,"&lt;="&amp;$B315)</f>
        <v>110259.822</v>
      </c>
      <c r="M315" s="62" t="n">
        <f aca="false">IF(L315=0,0,K315/L315)</f>
        <v>0.853750974675073</v>
      </c>
    </row>
    <row r="316" customFormat="false" ht="15" hidden="false" customHeight="false" outlineLevel="0" collapsed="false">
      <c r="A316" s="56" t="n">
        <v>2026</v>
      </c>
      <c r="B316" s="56" t="n">
        <v>5</v>
      </c>
      <c r="C316" s="56" t="s">
        <v>164</v>
      </c>
      <c r="D316" s="56" t="s">
        <v>322</v>
      </c>
      <c r="E316" s="56" t="s">
        <v>144</v>
      </c>
      <c r="F316" s="56" t="s">
        <v>336</v>
      </c>
      <c r="G316" s="73" t="n">
        <f aca="false">SUMIFS(DRE_por_UN!$F:$F,DRE_por_UN!$C:$C,$C316,DRE_por_UN!$E:$E,$E316)*VLOOKUP($D316,$A$25:$H$36,4,0)</f>
        <v>30887.505</v>
      </c>
      <c r="H316" s="61" t="n">
        <f aca="false">VLOOKUP($D316,$A$25:$H$36,5,0)*(1+$B$5)^($A316-2025)*INDEX($B$40:$M$44,MATCH($E316,$A$40:$A$44,0),$B316)</f>
        <v>28041.558</v>
      </c>
      <c r="I316" s="62" t="n">
        <f aca="false">IF(H316=0,0,G316/H316)</f>
        <v>1.10149033088675</v>
      </c>
      <c r="J316" s="61" t="n">
        <f aca="false">G316-H316</f>
        <v>2845.947</v>
      </c>
      <c r="K316" s="61" t="n">
        <f aca="false">SUMIFS($G$48:$G$479,$D$48:$D$479,$D316,$A$48:$A$479,$A316,$B$48:$B$479,"&lt;="&amp;$B316)</f>
        <v>125021.9355</v>
      </c>
      <c r="L316" s="61" t="n">
        <f aca="false">SUMIFS($H$48:$H$479,$D$48:$D$479,$D316,$A$48:$A$479,$A316,$B$48:$B$479,"&lt;="&amp;$B316)</f>
        <v>138301.38</v>
      </c>
      <c r="M316" s="62" t="n">
        <f aca="false">IF(L316=0,0,K316/L316)</f>
        <v>0.903981836623756</v>
      </c>
    </row>
    <row r="317" customFormat="false" ht="15" hidden="false" customHeight="false" outlineLevel="0" collapsed="false">
      <c r="A317" s="56" t="n">
        <v>2026</v>
      </c>
      <c r="B317" s="56" t="n">
        <v>6</v>
      </c>
      <c r="C317" s="56" t="s">
        <v>165</v>
      </c>
      <c r="D317" s="56" t="s">
        <v>322</v>
      </c>
      <c r="E317" s="56" t="s">
        <v>144</v>
      </c>
      <c r="F317" s="56" t="s">
        <v>336</v>
      </c>
      <c r="G317" s="73" t="n">
        <f aca="false">SUMIFS(DRE_por_UN!$F:$F,DRE_por_UN!$C:$C,$C317,DRE_por_UN!$E:$E,$E317)*VLOOKUP($D317,$A$25:$H$36,4,0)</f>
        <v>31788.6305</v>
      </c>
      <c r="H317" s="61" t="n">
        <f aca="false">VLOOKUP($D317,$A$25:$H$36,5,0)*(1+$B$5)^($A317-2025)*INDEX($B$40:$M$44,MATCH($E317,$A$40:$A$44,0),$B317)</f>
        <v>26585.754</v>
      </c>
      <c r="I317" s="62" t="n">
        <f aca="false">IF(H317=0,0,G317/H317)</f>
        <v>1.19570167165468</v>
      </c>
      <c r="J317" s="61" t="n">
        <f aca="false">G317-H317</f>
        <v>5202.8765</v>
      </c>
      <c r="K317" s="61" t="n">
        <f aca="false">SUMIFS($G$48:$G$479,$D$48:$D$479,$D317,$A$48:$A$479,$A317,$B$48:$B$479,"&lt;="&amp;$B317)</f>
        <v>156810.566</v>
      </c>
      <c r="L317" s="61" t="n">
        <f aca="false">SUMIFS($H$48:$H$479,$D$48:$D$479,$D317,$A$48:$A$479,$A317,$B$48:$B$479,"&lt;="&amp;$B317)</f>
        <v>164887.134</v>
      </c>
      <c r="M317" s="62" t="n">
        <f aca="false">IF(L317=0,0,K317/L317)</f>
        <v>0.951017597285668</v>
      </c>
    </row>
    <row r="318" customFormat="false" ht="15" hidden="false" customHeight="false" outlineLevel="0" collapsed="false">
      <c r="A318" s="56" t="n">
        <v>2026</v>
      </c>
      <c r="B318" s="56" t="n">
        <v>7</v>
      </c>
      <c r="C318" s="56" t="s">
        <v>166</v>
      </c>
      <c r="D318" s="56" t="s">
        <v>322</v>
      </c>
      <c r="E318" s="56" t="s">
        <v>144</v>
      </c>
      <c r="F318" s="56" t="s">
        <v>336</v>
      </c>
      <c r="G318" s="73" t="n">
        <f aca="false">SUMIFS(DRE_por_UN!$F:$F,DRE_por_UN!$C:$C,$C318,DRE_por_UN!$E:$E,$E318)*VLOOKUP($D318,$A$25:$H$36,4,0)</f>
        <v>37350.2085</v>
      </c>
      <c r="H318" s="61" t="n">
        <f aca="false">VLOOKUP($D318,$A$25:$H$36,5,0)*(1+$B$5)^($A318-2025)*INDEX($B$40:$M$44,MATCH($E318,$A$40:$A$44,0),$B318)</f>
        <v>31646.406</v>
      </c>
      <c r="I318" s="62" t="n">
        <f aca="false">IF(H318=0,0,G318/H318)</f>
        <v>1.18023539545059</v>
      </c>
      <c r="J318" s="61" t="n">
        <f aca="false">G318-H318</f>
        <v>5703.8025</v>
      </c>
      <c r="K318" s="61" t="n">
        <f aca="false">SUMIFS($G$48:$G$479,$D$48:$D$479,$D318,$A$48:$A$479,$A318,$B$48:$B$479,"&lt;="&amp;$B318)</f>
        <v>194160.7745</v>
      </c>
      <c r="L318" s="61" t="n">
        <f aca="false">SUMIFS($H$48:$H$479,$D$48:$D$479,$D318,$A$48:$A$479,$A318,$B$48:$B$479,"&lt;="&amp;$B318)</f>
        <v>196533.54</v>
      </c>
      <c r="M318" s="62" t="n">
        <f aca="false">IF(L318=0,0,K318/L318)</f>
        <v>0.987926918224747</v>
      </c>
    </row>
    <row r="319" customFormat="false" ht="15" hidden="false" customHeight="false" outlineLevel="0" collapsed="false">
      <c r="A319" s="56" t="n">
        <v>2026</v>
      </c>
      <c r="B319" s="56" t="n">
        <v>8</v>
      </c>
      <c r="C319" s="56" t="s">
        <v>167</v>
      </c>
      <c r="D319" s="56" t="s">
        <v>322</v>
      </c>
      <c r="E319" s="56" t="s">
        <v>144</v>
      </c>
      <c r="F319" s="56" t="s">
        <v>336</v>
      </c>
      <c r="G319" s="73" t="n">
        <f aca="false">SUMIFS(DRE_por_UN!$F:$F,DRE_por_UN!$C:$C,$C319,DRE_por_UN!$E:$E,$E319)*VLOOKUP($D319,$A$25:$H$36,4,0)</f>
        <v>33030.1895</v>
      </c>
      <c r="H319" s="61" t="n">
        <f aca="false">VLOOKUP($D319,$A$25:$H$36,5,0)*(1+$B$5)^($A319-2025)*INDEX($B$40:$M$44,MATCH($E319,$A$40:$A$44,0),$B319)</f>
        <v>23882.118</v>
      </c>
      <c r="I319" s="62" t="n">
        <f aca="false">IF(H319=0,0,G319/H319)</f>
        <v>1.38305109705931</v>
      </c>
      <c r="J319" s="61" t="n">
        <f aca="false">G319-H319</f>
        <v>9148.0715</v>
      </c>
      <c r="K319" s="61" t="n">
        <f aca="false">SUMIFS($G$48:$G$479,$D$48:$D$479,$D319,$A$48:$A$479,$A319,$B$48:$B$479,"&lt;="&amp;$B319)</f>
        <v>227190.964</v>
      </c>
      <c r="L319" s="61" t="n">
        <f aca="false">SUMIFS($H$48:$H$479,$D$48:$D$479,$D319,$A$48:$A$479,$A319,$B$48:$B$479,"&lt;="&amp;$B319)</f>
        <v>220415.658</v>
      </c>
      <c r="M319" s="62" t="n">
        <f aca="false">IF(L319=0,0,K319/L319)</f>
        <v>1.03073876902157</v>
      </c>
    </row>
    <row r="320" customFormat="false" ht="15" hidden="false" customHeight="false" outlineLevel="0" collapsed="false">
      <c r="A320" s="56" t="n">
        <v>2026</v>
      </c>
      <c r="B320" s="56" t="n">
        <v>9</v>
      </c>
      <c r="C320" s="56" t="s">
        <v>168</v>
      </c>
      <c r="D320" s="56" t="s">
        <v>322</v>
      </c>
      <c r="E320" s="56" t="s">
        <v>144</v>
      </c>
      <c r="F320" s="56" t="s">
        <v>336</v>
      </c>
      <c r="G320" s="73" t="n">
        <f aca="false">SUMIFS(DRE_por_UN!$F:$F,DRE_por_UN!$C:$C,$C320,DRE_por_UN!$E:$E,$E320)*VLOOKUP($D320,$A$25:$H$36,4,0)</f>
        <v>29617.2965</v>
      </c>
      <c r="H320" s="61" t="n">
        <f aca="false">VLOOKUP($D320,$A$25:$H$36,5,0)*(1+$B$5)^($A320-2025)*INDEX($B$40:$M$44,MATCH($E320,$A$40:$A$44,0),$B320)</f>
        <v>24055.428</v>
      </c>
      <c r="I320" s="62" t="n">
        <f aca="false">IF(H320=0,0,G320/H320)</f>
        <v>1.23121054009099</v>
      </c>
      <c r="J320" s="61" t="n">
        <f aca="false">G320-H320</f>
        <v>5561.8685</v>
      </c>
      <c r="K320" s="61" t="n">
        <f aca="false">SUMIFS($G$48:$G$479,$D$48:$D$479,$D320,$A$48:$A$479,$A320,$B$48:$B$479,"&lt;="&amp;$B320)</f>
        <v>256808.2605</v>
      </c>
      <c r="L320" s="61" t="n">
        <f aca="false">SUMIFS($H$48:$H$479,$D$48:$D$479,$D320,$A$48:$A$479,$A320,$B$48:$B$479,"&lt;="&amp;$B320)</f>
        <v>244471.086</v>
      </c>
      <c r="M320" s="62" t="n">
        <f aca="false">IF(L320=0,0,K320/L320)</f>
        <v>1.05046475925582</v>
      </c>
    </row>
    <row r="321" customFormat="false" ht="15" hidden="false" customHeight="false" outlineLevel="0" collapsed="false">
      <c r="A321" s="56" t="n">
        <v>2026</v>
      </c>
      <c r="B321" s="56" t="n">
        <v>10</v>
      </c>
      <c r="C321" s="56" t="s">
        <v>169</v>
      </c>
      <c r="D321" s="56" t="s">
        <v>322</v>
      </c>
      <c r="E321" s="56" t="s">
        <v>144</v>
      </c>
      <c r="F321" s="56" t="s">
        <v>336</v>
      </c>
      <c r="G321" s="73" t="n">
        <f aca="false">SUMIFS(DRE_por_UN!$F:$F,DRE_por_UN!$C:$C,$C321,DRE_por_UN!$E:$E,$E321)*VLOOKUP($D321,$A$25:$H$36,4,0)</f>
        <v>24467.696</v>
      </c>
      <c r="H321" s="61" t="n">
        <f aca="false">VLOOKUP($D321,$A$25:$H$36,5,0)*(1+$B$5)^($A321-2025)*INDEX($B$40:$M$44,MATCH($E321,$A$40:$A$44,0),$B321)</f>
        <v>30571.884</v>
      </c>
      <c r="I321" s="62" t="n">
        <f aca="false">IF(H321=0,0,G321/H321)</f>
        <v>0.800333273539832</v>
      </c>
      <c r="J321" s="61" t="n">
        <f aca="false">G321-H321</f>
        <v>-6104.188</v>
      </c>
      <c r="K321" s="61" t="n">
        <f aca="false">SUMIFS($G$48:$G$479,$D$48:$D$479,$D321,$A$48:$A$479,$A321,$B$48:$B$479,"&lt;="&amp;$B321)</f>
        <v>281275.9565</v>
      </c>
      <c r="L321" s="61" t="n">
        <f aca="false">SUMIFS($H$48:$H$479,$D$48:$D$479,$D321,$A$48:$A$479,$A321,$B$48:$B$479,"&lt;="&amp;$B321)</f>
        <v>275042.97</v>
      </c>
      <c r="M321" s="62" t="n">
        <f aca="false">IF(L321=0,0,K321/L321)</f>
        <v>1.02266186443522</v>
      </c>
    </row>
    <row r="322" customFormat="false" ht="15" hidden="false" customHeight="false" outlineLevel="0" collapsed="false">
      <c r="A322" s="56" t="n">
        <v>2026</v>
      </c>
      <c r="B322" s="56" t="n">
        <v>11</v>
      </c>
      <c r="C322" s="56" t="s">
        <v>170</v>
      </c>
      <c r="D322" s="56" t="s">
        <v>322</v>
      </c>
      <c r="E322" s="56" t="s">
        <v>144</v>
      </c>
      <c r="F322" s="56" t="s">
        <v>336</v>
      </c>
      <c r="G322" s="73" t="n">
        <f aca="false">SUMIFS(DRE_por_UN!$F:$F,DRE_por_UN!$C:$C,$C322,DRE_por_UN!$E:$E,$E322)*VLOOKUP($D322,$A$25:$H$36,4,0)</f>
        <v>31252.9635</v>
      </c>
      <c r="H322" s="61" t="n">
        <f aca="false">VLOOKUP($D322,$A$25:$H$36,5,0)*(1+$B$5)^($A322-2025)*INDEX($B$40:$M$44,MATCH($E322,$A$40:$A$44,0),$B322)</f>
        <v>36741.72</v>
      </c>
      <c r="I322" s="62" t="n">
        <f aca="false">IF(H322=0,0,G322/H322)</f>
        <v>0.850612423697094</v>
      </c>
      <c r="J322" s="61" t="n">
        <f aca="false">G322-H322</f>
        <v>-5488.7565</v>
      </c>
      <c r="K322" s="61" t="n">
        <f aca="false">SUMIFS($G$48:$G$479,$D$48:$D$479,$D322,$A$48:$A$479,$A322,$B$48:$B$479,"&lt;="&amp;$B322)</f>
        <v>312528.92</v>
      </c>
      <c r="L322" s="61" t="n">
        <f aca="false">SUMIFS($H$48:$H$479,$D$48:$D$479,$D322,$A$48:$A$479,$A322,$B$48:$B$479,"&lt;="&amp;$B322)</f>
        <v>311784.69</v>
      </c>
      <c r="M322" s="62" t="n">
        <f aca="false">IF(L322=0,0,K322/L322)</f>
        <v>1.0023869998235</v>
      </c>
    </row>
    <row r="323" customFormat="false" ht="15" hidden="false" customHeight="false" outlineLevel="0" collapsed="false">
      <c r="A323" s="56" t="n">
        <v>2026</v>
      </c>
      <c r="B323" s="56" t="n">
        <v>12</v>
      </c>
      <c r="C323" s="56" t="s">
        <v>171</v>
      </c>
      <c r="D323" s="56" t="s">
        <v>322</v>
      </c>
      <c r="E323" s="56" t="s">
        <v>144</v>
      </c>
      <c r="F323" s="56" t="s">
        <v>336</v>
      </c>
      <c r="G323" s="73" t="n">
        <f aca="false">SUMIFS(DRE_por_UN!$F:$F,DRE_por_UN!$C:$C,$C323,DRE_por_UN!$E:$E,$E323)*VLOOKUP($D323,$A$25:$H$36,4,0)</f>
        <v>37017.9315</v>
      </c>
      <c r="H323" s="61" t="n">
        <f aca="false">VLOOKUP($D323,$A$25:$H$36,5,0)*(1+$B$5)^($A323-2025)*INDEX($B$40:$M$44,MATCH($E323,$A$40:$A$44,0),$B323)</f>
        <v>34835.31</v>
      </c>
      <c r="I323" s="62" t="n">
        <f aca="false">IF(H323=0,0,G323/H323)</f>
        <v>1.06265543495953</v>
      </c>
      <c r="J323" s="61" t="n">
        <f aca="false">G323-H323</f>
        <v>2182.6215</v>
      </c>
      <c r="K323" s="61" t="n">
        <f aca="false">SUMIFS($G$48:$G$479,$D$48:$D$479,$D323,$A$48:$A$479,$A323,$B$48:$B$479,"&lt;="&amp;$B323)</f>
        <v>349546.8515</v>
      </c>
      <c r="L323" s="61" t="n">
        <f aca="false">SUMIFS($H$48:$H$479,$D$48:$D$479,$D323,$A$48:$A$479,$A323,$B$48:$B$479,"&lt;="&amp;$B323)</f>
        <v>346620</v>
      </c>
      <c r="M323" s="62" t="n">
        <f aca="false">IF(L323=0,0,K323/L323)</f>
        <v>1.00844397755467</v>
      </c>
    </row>
    <row r="324" customFormat="false" ht="15" hidden="false" customHeight="false" outlineLevel="0" collapsed="false">
      <c r="A324" s="56" t="n">
        <v>2027</v>
      </c>
      <c r="B324" s="56" t="n">
        <v>1</v>
      </c>
      <c r="C324" s="56" t="s">
        <v>172</v>
      </c>
      <c r="D324" s="56" t="s">
        <v>322</v>
      </c>
      <c r="E324" s="56" t="s">
        <v>144</v>
      </c>
      <c r="F324" s="56" t="s">
        <v>336</v>
      </c>
      <c r="G324" s="73" t="n">
        <f aca="false">SUMIFS(DRE_por_UN!$F:$F,DRE_por_UN!$C:$C,$C324,DRE_por_UN!$E:$E,$E324)*VLOOKUP($D324,$A$25:$H$36,4,0)</f>
        <v>25849.139085</v>
      </c>
      <c r="H324" s="61" t="n">
        <f aca="false">VLOOKUP($D324,$A$25:$H$36,5,0)*(1+$B$5)^($A324-2025)*INDEX($B$40:$M$44,MATCH($E324,$A$40:$A$44,0),$B324)</f>
        <v>25241.56164</v>
      </c>
      <c r="I324" s="62" t="n">
        <f aca="false">IF(H324=0,0,G324/H324)</f>
        <v>1.02407051725505</v>
      </c>
      <c r="J324" s="61" t="n">
        <f aca="false">G324-H324</f>
        <v>607.577445000003</v>
      </c>
      <c r="K324" s="61" t="n">
        <f aca="false">SUMIFS($G$48:$G$479,$D$48:$D$479,$D324,$A$48:$A$479,$A324,$B$48:$B$479,"&lt;="&amp;$B324)</f>
        <v>25849.139085</v>
      </c>
      <c r="L324" s="61" t="n">
        <f aca="false">SUMIFS($H$48:$H$479,$D$48:$D$479,$D324,$A$48:$A$479,$A324,$B$48:$B$479,"&lt;="&amp;$B324)</f>
        <v>25241.56164</v>
      </c>
      <c r="M324" s="62" t="n">
        <f aca="false">IF(L324=0,0,K324/L324)</f>
        <v>1.02407051725505</v>
      </c>
    </row>
    <row r="325" customFormat="false" ht="15" hidden="false" customHeight="false" outlineLevel="0" collapsed="false">
      <c r="A325" s="56" t="n">
        <v>2027</v>
      </c>
      <c r="B325" s="56" t="n">
        <v>2</v>
      </c>
      <c r="C325" s="56" t="s">
        <v>173</v>
      </c>
      <c r="D325" s="56" t="s">
        <v>322</v>
      </c>
      <c r="E325" s="56" t="s">
        <v>144</v>
      </c>
      <c r="F325" s="56" t="s">
        <v>336</v>
      </c>
      <c r="G325" s="73" t="n">
        <f aca="false">SUMIFS(DRE_por_UN!$F:$F,DRE_por_UN!$C:$C,$C325,DRE_por_UN!$E:$E,$E325)*VLOOKUP($D325,$A$25:$H$36,4,0)</f>
        <v>19118.90629</v>
      </c>
      <c r="H325" s="61" t="n">
        <f aca="false">VLOOKUP($D325,$A$25:$H$36,5,0)*(1+$B$5)^($A325-2025)*INDEX($B$40:$M$44,MATCH($E325,$A$40:$A$44,0),$B325)</f>
        <v>28144.15752</v>
      </c>
      <c r="I325" s="62" t="n">
        <f aca="false">IF(H325=0,0,G325/H325)</f>
        <v>0.679320611264117</v>
      </c>
      <c r="J325" s="61" t="n">
        <f aca="false">G325-H325</f>
        <v>-9025.25123</v>
      </c>
      <c r="K325" s="61" t="n">
        <f aca="false">SUMIFS($G$48:$G$479,$D$48:$D$479,$D325,$A$48:$A$479,$A325,$B$48:$B$479,"&lt;="&amp;$B325)</f>
        <v>44968.045375</v>
      </c>
      <c r="L325" s="61" t="n">
        <f aca="false">SUMIFS($H$48:$H$479,$D$48:$D$479,$D325,$A$48:$A$479,$A325,$B$48:$B$479,"&lt;="&amp;$B325)</f>
        <v>53385.71916</v>
      </c>
      <c r="M325" s="62" t="n">
        <f aca="false">IF(L325=0,0,K325/L325)</f>
        <v>0.842323491798027</v>
      </c>
    </row>
    <row r="326" customFormat="false" ht="15" hidden="false" customHeight="false" outlineLevel="0" collapsed="false">
      <c r="A326" s="56" t="n">
        <v>2027</v>
      </c>
      <c r="B326" s="56" t="n">
        <v>3</v>
      </c>
      <c r="C326" s="56" t="s">
        <v>174</v>
      </c>
      <c r="D326" s="56" t="s">
        <v>322</v>
      </c>
      <c r="E326" s="56" t="s">
        <v>144</v>
      </c>
      <c r="F326" s="56" t="s">
        <v>336</v>
      </c>
      <c r="G326" s="73" t="n">
        <f aca="false">SUMIFS(DRE_por_UN!$F:$F,DRE_por_UN!$C:$C,$C326,DRE_por_UN!$E:$E,$E326)*VLOOKUP($D326,$A$25:$H$36,4,0)</f>
        <v>25491.165645</v>
      </c>
      <c r="H326" s="61" t="n">
        <f aca="false">VLOOKUP($D326,$A$25:$H$36,5,0)*(1+$B$5)^($A326-2025)*INDEX($B$40:$M$44,MATCH($E326,$A$40:$A$44,0),$B326)</f>
        <v>29577.0846</v>
      </c>
      <c r="I326" s="62" t="n">
        <f aca="false">IF(H326=0,0,G326/H326)</f>
        <v>0.861855250094528</v>
      </c>
      <c r="J326" s="61" t="n">
        <f aca="false">G326-H326</f>
        <v>-4085.918955</v>
      </c>
      <c r="K326" s="61" t="n">
        <f aca="false">SUMIFS($G$48:$G$479,$D$48:$D$479,$D326,$A$48:$A$479,$A326,$B$48:$B$479,"&lt;="&amp;$B326)</f>
        <v>70459.21102</v>
      </c>
      <c r="L326" s="61" t="n">
        <f aca="false">SUMIFS($H$48:$H$479,$D$48:$D$479,$D326,$A$48:$A$479,$A326,$B$48:$B$479,"&lt;="&amp;$B326)</f>
        <v>82962.80376</v>
      </c>
      <c r="M326" s="62" t="n">
        <f aca="false">IF(L326=0,0,K326/L326)</f>
        <v>0.849286762581323</v>
      </c>
    </row>
    <row r="327" customFormat="false" ht="15" hidden="false" customHeight="false" outlineLevel="0" collapsed="false">
      <c r="A327" s="56" t="n">
        <v>2027</v>
      </c>
      <c r="B327" s="56" t="n">
        <v>4</v>
      </c>
      <c r="C327" s="56" t="s">
        <v>175</v>
      </c>
      <c r="D327" s="56" t="s">
        <v>322</v>
      </c>
      <c r="E327" s="56" t="s">
        <v>144</v>
      </c>
      <c r="F327" s="56" t="s">
        <v>336</v>
      </c>
      <c r="G327" s="73" t="n">
        <f aca="false">SUMIFS(DRE_por_UN!$F:$F,DRE_por_UN!$C:$C,$C327,DRE_por_UN!$E:$E,$E327)*VLOOKUP($D327,$A$25:$H$36,4,0)</f>
        <v>32147.318225</v>
      </c>
      <c r="H327" s="61" t="n">
        <f aca="false">VLOOKUP($D327,$A$25:$H$36,5,0)*(1+$B$5)^($A327-2025)*INDEX($B$40:$M$44,MATCH($E327,$A$40:$A$44,0),$B327)</f>
        <v>33912.60756</v>
      </c>
      <c r="I327" s="62" t="n">
        <f aca="false">IF(H327=0,0,G327/H327)</f>
        <v>0.947945927429003</v>
      </c>
      <c r="J327" s="61" t="n">
        <f aca="false">G327-H327</f>
        <v>-1765.28933499999</v>
      </c>
      <c r="K327" s="61" t="n">
        <f aca="false">SUMIFS($G$48:$G$479,$D$48:$D$479,$D327,$A$48:$A$479,$A327,$B$48:$B$479,"&lt;="&amp;$B327)</f>
        <v>102606.529245</v>
      </c>
      <c r="L327" s="61" t="n">
        <f aca="false">SUMIFS($H$48:$H$479,$D$48:$D$479,$D327,$A$48:$A$479,$A327,$B$48:$B$479,"&lt;="&amp;$B327)</f>
        <v>116875.41132</v>
      </c>
      <c r="M327" s="62" t="n">
        <f aca="false">IF(L327=0,0,K327/L327)</f>
        <v>0.877913738109273</v>
      </c>
    </row>
    <row r="328" customFormat="false" ht="15" hidden="false" customHeight="false" outlineLevel="0" collapsed="false">
      <c r="A328" s="56" t="n">
        <v>2027</v>
      </c>
      <c r="B328" s="56" t="n">
        <v>5</v>
      </c>
      <c r="C328" s="56" t="s">
        <v>176</v>
      </c>
      <c r="D328" s="56" t="s">
        <v>322</v>
      </c>
      <c r="E328" s="56" t="s">
        <v>144</v>
      </c>
      <c r="F328" s="56" t="s">
        <v>336</v>
      </c>
      <c r="G328" s="73" t="n">
        <f aca="false">SUMIFS(DRE_por_UN!$F:$F,DRE_por_UN!$C:$C,$C328,DRE_por_UN!$E:$E,$E328)*VLOOKUP($D328,$A$25:$H$36,4,0)</f>
        <v>33667.38045</v>
      </c>
      <c r="H328" s="61" t="n">
        <f aca="false">VLOOKUP($D328,$A$25:$H$36,5,0)*(1+$B$5)^($A328-2025)*INDEX($B$40:$M$44,MATCH($E328,$A$40:$A$44,0),$B328)</f>
        <v>29724.05148</v>
      </c>
      <c r="I328" s="62" t="n">
        <f aca="false">IF(H328=0,0,G328/H328)</f>
        <v>1.13266458553449</v>
      </c>
      <c r="J328" s="61" t="n">
        <f aca="false">G328-H328</f>
        <v>3943.32897</v>
      </c>
      <c r="K328" s="61" t="n">
        <f aca="false">SUMIFS($G$48:$G$479,$D$48:$D$479,$D328,$A$48:$A$479,$A328,$B$48:$B$479,"&lt;="&amp;$B328)</f>
        <v>136273.909695</v>
      </c>
      <c r="L328" s="61" t="n">
        <f aca="false">SUMIFS($H$48:$H$479,$D$48:$D$479,$D328,$A$48:$A$479,$A328,$B$48:$B$479,"&lt;="&amp;$B328)</f>
        <v>146599.4628</v>
      </c>
      <c r="M328" s="62" t="n">
        <f aca="false">IF(L328=0,0,K328/L328)</f>
        <v>0.929566228226315</v>
      </c>
    </row>
    <row r="329" customFormat="false" ht="15" hidden="false" customHeight="false" outlineLevel="0" collapsed="false">
      <c r="A329" s="56" t="n">
        <v>2027</v>
      </c>
      <c r="B329" s="56" t="n">
        <v>6</v>
      </c>
      <c r="C329" s="56" t="s">
        <v>177</v>
      </c>
      <c r="D329" s="56" t="s">
        <v>322</v>
      </c>
      <c r="E329" s="56" t="s">
        <v>144</v>
      </c>
      <c r="F329" s="56" t="s">
        <v>336</v>
      </c>
      <c r="G329" s="73" t="n">
        <f aca="false">SUMIFS(DRE_por_UN!$F:$F,DRE_por_UN!$C:$C,$C329,DRE_por_UN!$E:$E,$E329)*VLOOKUP($D329,$A$25:$H$36,4,0)</f>
        <v>34649.607245</v>
      </c>
      <c r="H329" s="61" t="n">
        <f aca="false">VLOOKUP($D329,$A$25:$H$36,5,0)*(1+$B$5)^($A329-2025)*INDEX($B$40:$M$44,MATCH($E329,$A$40:$A$44,0),$B329)</f>
        <v>28180.89924</v>
      </c>
      <c r="I329" s="62" t="n">
        <f aca="false">IF(H329=0,0,G329/H329)</f>
        <v>1.22954228500339</v>
      </c>
      <c r="J329" s="61" t="n">
        <f aca="false">G329-H329</f>
        <v>6468.708005</v>
      </c>
      <c r="K329" s="61" t="n">
        <f aca="false">SUMIFS($G$48:$G$479,$D$48:$D$479,$D329,$A$48:$A$479,$A329,$B$48:$B$479,"&lt;="&amp;$B329)</f>
        <v>170923.51694</v>
      </c>
      <c r="L329" s="61" t="n">
        <f aca="false">SUMIFS($H$48:$H$479,$D$48:$D$479,$D329,$A$48:$A$479,$A329,$B$48:$B$479,"&lt;="&amp;$B329)</f>
        <v>174780.36204</v>
      </c>
      <c r="M329" s="62" t="n">
        <f aca="false">IF(L329=0,0,K329/L329)</f>
        <v>0.977933189661678</v>
      </c>
    </row>
    <row r="330" customFormat="false" ht="15" hidden="false" customHeight="false" outlineLevel="0" collapsed="false">
      <c r="A330" s="56" t="n">
        <v>2027</v>
      </c>
      <c r="B330" s="56" t="n">
        <v>7</v>
      </c>
      <c r="C330" s="56" t="s">
        <v>178</v>
      </c>
      <c r="D330" s="56" t="s">
        <v>322</v>
      </c>
      <c r="E330" s="56" t="s">
        <v>144</v>
      </c>
      <c r="F330" s="56" t="s">
        <v>336</v>
      </c>
      <c r="G330" s="73" t="n">
        <f aca="false">SUMIFS(DRE_por_UN!$F:$F,DRE_por_UN!$C:$C,$C330,DRE_por_UN!$E:$E,$E330)*VLOOKUP($D330,$A$25:$H$36,4,0)</f>
        <v>40711.727265</v>
      </c>
      <c r="H330" s="61" t="n">
        <f aca="false">VLOOKUP($D330,$A$25:$H$36,5,0)*(1+$B$5)^($A330-2025)*INDEX($B$40:$M$44,MATCH($E330,$A$40:$A$44,0),$B330)</f>
        <v>33545.19036</v>
      </c>
      <c r="I330" s="62" t="n">
        <f aca="false">IF(H330=0,0,G330/H330)</f>
        <v>1.21363828400108</v>
      </c>
      <c r="J330" s="61" t="n">
        <f aca="false">G330-H330</f>
        <v>7166.53690499999</v>
      </c>
      <c r="K330" s="61" t="n">
        <f aca="false">SUMIFS($G$48:$G$479,$D$48:$D$479,$D330,$A$48:$A$479,$A330,$B$48:$B$479,"&lt;="&amp;$B330)</f>
        <v>211635.244205</v>
      </c>
      <c r="L330" s="61" t="n">
        <f aca="false">SUMIFS($H$48:$H$479,$D$48:$D$479,$D330,$A$48:$A$479,$A330,$B$48:$B$479,"&lt;="&amp;$B330)</f>
        <v>208325.5524</v>
      </c>
      <c r="M330" s="62" t="n">
        <f aca="false">IF(L330=0,0,K330/L330)</f>
        <v>1.01588711402356</v>
      </c>
    </row>
    <row r="331" customFormat="false" ht="15" hidden="false" customHeight="false" outlineLevel="0" collapsed="false">
      <c r="A331" s="56" t="n">
        <v>2027</v>
      </c>
      <c r="B331" s="56" t="n">
        <v>8</v>
      </c>
      <c r="C331" s="56" t="s">
        <v>179</v>
      </c>
      <c r="D331" s="56" t="s">
        <v>322</v>
      </c>
      <c r="E331" s="56" t="s">
        <v>144</v>
      </c>
      <c r="F331" s="56" t="s">
        <v>336</v>
      </c>
      <c r="G331" s="73" t="n">
        <f aca="false">SUMIFS(DRE_por_UN!$F:$F,DRE_por_UN!$C:$C,$C331,DRE_por_UN!$E:$E,$E331)*VLOOKUP($D331,$A$25:$H$36,4,0)</f>
        <v>36002.906555</v>
      </c>
      <c r="H331" s="61" t="n">
        <f aca="false">VLOOKUP($D331,$A$25:$H$36,5,0)*(1+$B$5)^($A331-2025)*INDEX($B$40:$M$44,MATCH($E331,$A$40:$A$44,0),$B331)</f>
        <v>25315.04508</v>
      </c>
      <c r="I331" s="62" t="n">
        <f aca="false">IF(H331=0,0,G331/H331)</f>
        <v>1.42219405263646</v>
      </c>
      <c r="J331" s="61" t="n">
        <f aca="false">G331-H331</f>
        <v>10687.861475</v>
      </c>
      <c r="K331" s="61" t="n">
        <f aca="false">SUMIFS($G$48:$G$479,$D$48:$D$479,$D331,$A$48:$A$479,$A331,$B$48:$B$479,"&lt;="&amp;$B331)</f>
        <v>247638.15076</v>
      </c>
      <c r="L331" s="61" t="n">
        <f aca="false">SUMIFS($H$48:$H$479,$D$48:$D$479,$D331,$A$48:$A$479,$A331,$B$48:$B$479,"&lt;="&amp;$B331)</f>
        <v>233640.59748</v>
      </c>
      <c r="M331" s="62" t="n">
        <f aca="false">IF(L331=0,0,K331/L331)</f>
        <v>1.05991062097501</v>
      </c>
    </row>
    <row r="332" customFormat="false" ht="15" hidden="false" customHeight="false" outlineLevel="0" collapsed="false">
      <c r="A332" s="56" t="n">
        <v>2027</v>
      </c>
      <c r="B332" s="56" t="n">
        <v>9</v>
      </c>
      <c r="C332" s="56" t="s">
        <v>180</v>
      </c>
      <c r="D332" s="56" t="s">
        <v>322</v>
      </c>
      <c r="E332" s="56" t="s">
        <v>144</v>
      </c>
      <c r="F332" s="56" t="s">
        <v>336</v>
      </c>
      <c r="G332" s="73" t="n">
        <f aca="false">SUMIFS(DRE_por_UN!$F:$F,DRE_por_UN!$C:$C,$C332,DRE_por_UN!$E:$E,$E332)*VLOOKUP($D332,$A$25:$H$36,4,0)</f>
        <v>32282.853185</v>
      </c>
      <c r="H332" s="61" t="n">
        <f aca="false">VLOOKUP($D332,$A$25:$H$36,5,0)*(1+$B$5)^($A332-2025)*INDEX($B$40:$M$44,MATCH($E332,$A$40:$A$44,0),$B332)</f>
        <v>25498.75368</v>
      </c>
      <c r="I332" s="62" t="n">
        <f aca="false">IF(H332=0,0,G332/H332)</f>
        <v>1.26605612141432</v>
      </c>
      <c r="J332" s="61" t="n">
        <f aca="false">G332-H332</f>
        <v>6784.099505</v>
      </c>
      <c r="K332" s="61" t="n">
        <f aca="false">SUMIFS($G$48:$G$479,$D$48:$D$479,$D332,$A$48:$A$479,$A332,$B$48:$B$479,"&lt;="&amp;$B332)</f>
        <v>279921.003945</v>
      </c>
      <c r="L332" s="61" t="n">
        <f aca="false">SUMIFS($H$48:$H$479,$D$48:$D$479,$D332,$A$48:$A$479,$A332,$B$48:$B$479,"&lt;="&amp;$B332)</f>
        <v>259139.35116</v>
      </c>
      <c r="M332" s="62" t="n">
        <f aca="false">IF(L332=0,0,K332/L332)</f>
        <v>1.08019489395174</v>
      </c>
    </row>
    <row r="333" customFormat="false" ht="15" hidden="false" customHeight="false" outlineLevel="0" collapsed="false">
      <c r="A333" s="56" t="n">
        <v>2027</v>
      </c>
      <c r="B333" s="56" t="n">
        <v>10</v>
      </c>
      <c r="C333" s="56" t="s">
        <v>181</v>
      </c>
      <c r="D333" s="56" t="s">
        <v>322</v>
      </c>
      <c r="E333" s="56" t="s">
        <v>144</v>
      </c>
      <c r="F333" s="56" t="s">
        <v>336</v>
      </c>
      <c r="G333" s="73" t="n">
        <f aca="false">SUMIFS(DRE_por_UN!$F:$F,DRE_por_UN!$C:$C,$C333,DRE_por_UN!$E:$E,$E333)*VLOOKUP($D333,$A$25:$H$36,4,0)</f>
        <v>26669.78864</v>
      </c>
      <c r="H333" s="61" t="n">
        <f aca="false">VLOOKUP($D333,$A$25:$H$36,5,0)*(1+$B$5)^($A333-2025)*INDEX($B$40:$M$44,MATCH($E333,$A$40:$A$44,0),$B333)</f>
        <v>32406.19704</v>
      </c>
      <c r="I333" s="62" t="n">
        <f aca="false">IF(H333=0,0,G333/H333)</f>
        <v>0.822984215243789</v>
      </c>
      <c r="J333" s="61" t="n">
        <f aca="false">G333-H333</f>
        <v>-5736.4084</v>
      </c>
      <c r="K333" s="61" t="n">
        <f aca="false">SUMIFS($G$48:$G$479,$D$48:$D$479,$D333,$A$48:$A$479,$A333,$B$48:$B$479,"&lt;="&amp;$B333)</f>
        <v>306590.792585</v>
      </c>
      <c r="L333" s="61" t="n">
        <f aca="false">SUMIFS($H$48:$H$479,$D$48:$D$479,$D333,$A$48:$A$479,$A333,$B$48:$B$479,"&lt;="&amp;$B333)</f>
        <v>291545.5482</v>
      </c>
      <c r="M333" s="62" t="n">
        <f aca="false">IF(L333=0,0,K333/L333)</f>
        <v>1.05160512474942</v>
      </c>
    </row>
    <row r="334" customFormat="false" ht="15" hidden="false" customHeight="false" outlineLevel="0" collapsed="false">
      <c r="A334" s="56" t="n">
        <v>2027</v>
      </c>
      <c r="B334" s="56" t="n">
        <v>11</v>
      </c>
      <c r="C334" s="56" t="s">
        <v>182</v>
      </c>
      <c r="D334" s="56" t="s">
        <v>322</v>
      </c>
      <c r="E334" s="56" t="s">
        <v>144</v>
      </c>
      <c r="F334" s="56" t="s">
        <v>336</v>
      </c>
      <c r="G334" s="73" t="n">
        <f aca="false">SUMIFS(DRE_por_UN!$F:$F,DRE_por_UN!$C:$C,$C334,DRE_por_UN!$E:$E,$E334)*VLOOKUP($D334,$A$25:$H$36,4,0)</f>
        <v>34065.730215</v>
      </c>
      <c r="H334" s="61" t="n">
        <f aca="false">VLOOKUP($D334,$A$25:$H$36,5,0)*(1+$B$5)^($A334-2025)*INDEX($B$40:$M$44,MATCH($E334,$A$40:$A$44,0),$B334)</f>
        <v>38946.2232</v>
      </c>
      <c r="I334" s="62" t="n">
        <f aca="false">IF(H334=0,0,G334/H334)</f>
        <v>0.874686360216823</v>
      </c>
      <c r="J334" s="61" t="n">
        <f aca="false">G334-H334</f>
        <v>-4880.492985</v>
      </c>
      <c r="K334" s="61" t="n">
        <f aca="false">SUMIFS($G$48:$G$479,$D$48:$D$479,$D334,$A$48:$A$479,$A334,$B$48:$B$479,"&lt;="&amp;$B334)</f>
        <v>340656.5228</v>
      </c>
      <c r="L334" s="61" t="n">
        <f aca="false">SUMIFS($H$48:$H$479,$D$48:$D$479,$D334,$A$48:$A$479,$A334,$B$48:$B$479,"&lt;="&amp;$B334)</f>
        <v>330491.7714</v>
      </c>
      <c r="M334" s="62" t="n">
        <f aca="false">IF(L334=0,0,K334/L334)</f>
        <v>1.03075644321473</v>
      </c>
    </row>
    <row r="335" customFormat="false" ht="15" hidden="false" customHeight="false" outlineLevel="0" collapsed="false">
      <c r="A335" s="56" t="n">
        <v>2027</v>
      </c>
      <c r="B335" s="56" t="n">
        <v>12</v>
      </c>
      <c r="C335" s="56" t="s">
        <v>183</v>
      </c>
      <c r="D335" s="56" t="s">
        <v>322</v>
      </c>
      <c r="E335" s="56" t="s">
        <v>144</v>
      </c>
      <c r="F335" s="56" t="s">
        <v>336</v>
      </c>
      <c r="G335" s="73" t="n">
        <f aca="false">SUMIFS(DRE_por_UN!$F:$F,DRE_por_UN!$C:$C,$C335,DRE_por_UN!$E:$E,$E335)*VLOOKUP($D335,$A$25:$H$36,4,0)</f>
        <v>40349.545335</v>
      </c>
      <c r="H335" s="61" t="n">
        <f aca="false">VLOOKUP($D335,$A$25:$H$36,5,0)*(1+$B$5)^($A335-2025)*INDEX($B$40:$M$44,MATCH($E335,$A$40:$A$44,0),$B335)</f>
        <v>36925.4286</v>
      </c>
      <c r="I335" s="62" t="n">
        <f aca="false">IF(H335=0,0,G335/H335)</f>
        <v>1.09273058877914</v>
      </c>
      <c r="J335" s="61" t="n">
        <f aca="false">G335-H335</f>
        <v>3424.116735</v>
      </c>
      <c r="K335" s="61" t="n">
        <f aca="false">SUMIFS($G$48:$G$479,$D$48:$D$479,$D335,$A$48:$A$479,$A335,$B$48:$B$479,"&lt;="&amp;$B335)</f>
        <v>381006.068135</v>
      </c>
      <c r="L335" s="61" t="n">
        <f aca="false">SUMIFS($H$48:$H$479,$D$48:$D$479,$D335,$A$48:$A$479,$A335,$B$48:$B$479,"&lt;="&amp;$B335)</f>
        <v>367417.2</v>
      </c>
      <c r="M335" s="62" t="n">
        <f aca="false">IF(L335=0,0,K335/L335)</f>
        <v>1.03698484484395</v>
      </c>
    </row>
    <row r="336" customFormat="false" ht="15" hidden="false" customHeight="false" outlineLevel="0" collapsed="false">
      <c r="A336" s="56" t="n">
        <v>2025</v>
      </c>
      <c r="B336" s="56" t="n">
        <v>1</v>
      </c>
      <c r="C336" s="56" t="s">
        <v>148</v>
      </c>
      <c r="D336" s="56" t="s">
        <v>323</v>
      </c>
      <c r="E336" s="56" t="s">
        <v>144</v>
      </c>
      <c r="F336" s="56" t="s">
        <v>337</v>
      </c>
      <c r="G336" s="73" t="n">
        <f aca="false">SUMIFS(DRE_por_UN!$F:$F,DRE_por_UN!$C:$C,$C336,DRE_por_UN!$E:$E,$E336)*VLOOKUP($D336,$A$25:$H$36,4,0)</f>
        <v>18370.7145</v>
      </c>
      <c r="H336" s="61" t="n">
        <f aca="false">VLOOKUP($D336,$A$25:$H$36,5,0)*(1+$B$5)^($A336-2025)*INDEX($B$40:$M$44,MATCH($E336,$A$40:$A$44,0),$B336)</f>
        <v>17463.54</v>
      </c>
      <c r="I336" s="62" t="n">
        <f aca="false">IF(H336=0,0,G336/H336)</f>
        <v>1.05194677024246</v>
      </c>
      <c r="J336" s="61" t="n">
        <f aca="false">G336-H336</f>
        <v>907.174499999997</v>
      </c>
      <c r="K336" s="61" t="n">
        <f aca="false">SUMIFS($G$48:$G$479,$D$48:$D$479,$D336,$A$48:$A$479,$A336,$B$48:$B$479,"&lt;="&amp;$B336)</f>
        <v>18370.7145</v>
      </c>
      <c r="L336" s="61" t="n">
        <f aca="false">SUMIFS($H$48:$H$479,$D$48:$D$479,$D336,$A$48:$A$479,$A336,$B$48:$B$479,"&lt;="&amp;$B336)</f>
        <v>17463.54</v>
      </c>
      <c r="M336" s="62" t="n">
        <f aca="false">IF(L336=0,0,K336/L336)</f>
        <v>1.05194677024246</v>
      </c>
    </row>
    <row r="337" customFormat="false" ht="15" hidden="false" customHeight="false" outlineLevel="0" collapsed="false">
      <c r="A337" s="56" t="n">
        <v>2025</v>
      </c>
      <c r="B337" s="56" t="n">
        <v>2</v>
      </c>
      <c r="C337" s="56" t="s">
        <v>149</v>
      </c>
      <c r="D337" s="56" t="s">
        <v>323</v>
      </c>
      <c r="E337" s="56" t="s">
        <v>144</v>
      </c>
      <c r="F337" s="56" t="s">
        <v>337</v>
      </c>
      <c r="G337" s="73" t="n">
        <f aca="false">SUMIFS(DRE_por_UN!$F:$F,DRE_por_UN!$C:$C,$C337,DRE_por_UN!$E:$E,$E337)*VLOOKUP($D337,$A$25:$H$36,4,0)</f>
        <v>20502.9495</v>
      </c>
      <c r="H337" s="61" t="n">
        <f aca="false">VLOOKUP($D337,$A$25:$H$36,5,0)*(1+$B$5)^($A337-2025)*INDEX($B$40:$M$44,MATCH($E337,$A$40:$A$44,0),$B337)</f>
        <v>19471.72</v>
      </c>
      <c r="I337" s="62" t="n">
        <f aca="false">IF(H337=0,0,G337/H337)</f>
        <v>1.05296037021896</v>
      </c>
      <c r="J337" s="61" t="n">
        <f aca="false">G337-H337</f>
        <v>1031.2295</v>
      </c>
      <c r="K337" s="61" t="n">
        <f aca="false">SUMIFS($G$48:$G$479,$D$48:$D$479,$D337,$A$48:$A$479,$A337,$B$48:$B$479,"&lt;="&amp;$B337)</f>
        <v>38873.664</v>
      </c>
      <c r="L337" s="61" t="n">
        <f aca="false">SUMIFS($H$48:$H$479,$D$48:$D$479,$D337,$A$48:$A$479,$A337,$B$48:$B$479,"&lt;="&amp;$B337)</f>
        <v>36935.26</v>
      </c>
      <c r="M337" s="62" t="n">
        <f aca="false">IF(L337=0,0,K337/L337)</f>
        <v>1.0524811250821</v>
      </c>
    </row>
    <row r="338" customFormat="false" ht="15" hidden="false" customHeight="false" outlineLevel="0" collapsed="false">
      <c r="A338" s="56" t="n">
        <v>2025</v>
      </c>
      <c r="B338" s="56" t="n">
        <v>3</v>
      </c>
      <c r="C338" s="56" t="s">
        <v>150</v>
      </c>
      <c r="D338" s="56" t="s">
        <v>323</v>
      </c>
      <c r="E338" s="56" t="s">
        <v>144</v>
      </c>
      <c r="F338" s="56" t="s">
        <v>337</v>
      </c>
      <c r="G338" s="73" t="n">
        <f aca="false">SUMIFS(DRE_por_UN!$F:$F,DRE_por_UN!$C:$C,$C338,DRE_por_UN!$E:$E,$E338)*VLOOKUP($D338,$A$25:$H$36,4,0)</f>
        <v>21533.319</v>
      </c>
      <c r="H338" s="61" t="n">
        <f aca="false">VLOOKUP($D338,$A$25:$H$36,5,0)*(1+$B$5)^($A338-2025)*INDEX($B$40:$M$44,MATCH($E338,$A$40:$A$44,0),$B338)</f>
        <v>20463.1</v>
      </c>
      <c r="I338" s="62" t="n">
        <f aca="false">IF(H338=0,0,G338/H338)</f>
        <v>1.05229994477865</v>
      </c>
      <c r="J338" s="61" t="n">
        <f aca="false">G338-H338</f>
        <v>1070.219</v>
      </c>
      <c r="K338" s="61" t="n">
        <f aca="false">SUMIFS($G$48:$G$479,$D$48:$D$479,$D338,$A$48:$A$479,$A338,$B$48:$B$479,"&lt;="&amp;$B338)</f>
        <v>60406.983</v>
      </c>
      <c r="L338" s="61" t="n">
        <f aca="false">SUMIFS($H$48:$H$479,$D$48:$D$479,$D338,$A$48:$A$479,$A338,$B$48:$B$479,"&lt;="&amp;$B338)</f>
        <v>57398.36</v>
      </c>
      <c r="M338" s="62" t="n">
        <f aca="false">IF(L338=0,0,K338/L338)</f>
        <v>1.05241653245842</v>
      </c>
    </row>
    <row r="339" customFormat="false" ht="15" hidden="false" customHeight="false" outlineLevel="0" collapsed="false">
      <c r="A339" s="56" t="n">
        <v>2025</v>
      </c>
      <c r="B339" s="56" t="n">
        <v>4</v>
      </c>
      <c r="C339" s="56" t="s">
        <v>151</v>
      </c>
      <c r="D339" s="56" t="s">
        <v>323</v>
      </c>
      <c r="E339" s="56" t="s">
        <v>144</v>
      </c>
      <c r="F339" s="56" t="s">
        <v>337</v>
      </c>
      <c r="G339" s="73" t="n">
        <f aca="false">SUMIFS(DRE_por_UN!$F:$F,DRE_por_UN!$C:$C,$C339,DRE_por_UN!$E:$E,$E339)*VLOOKUP($D339,$A$25:$H$36,4,0)</f>
        <v>24684.9165</v>
      </c>
      <c r="H339" s="61" t="n">
        <f aca="false">VLOOKUP($D339,$A$25:$H$36,5,0)*(1+$B$5)^($A339-2025)*INDEX($B$40:$M$44,MATCH($E339,$A$40:$A$44,0),$B339)</f>
        <v>23462.66</v>
      </c>
      <c r="I339" s="62" t="n">
        <f aca="false">IF(H339=0,0,G339/H339)</f>
        <v>1.05209368843942</v>
      </c>
      <c r="J339" s="61" t="n">
        <f aca="false">G339-H339</f>
        <v>1222.2565</v>
      </c>
      <c r="K339" s="61" t="n">
        <f aca="false">SUMIFS($G$48:$G$479,$D$48:$D$479,$D339,$A$48:$A$479,$A339,$B$48:$B$479,"&lt;="&amp;$B339)</f>
        <v>85091.8995</v>
      </c>
      <c r="L339" s="61" t="n">
        <f aca="false">SUMIFS($H$48:$H$479,$D$48:$D$479,$D339,$A$48:$A$479,$A339,$B$48:$B$479,"&lt;="&amp;$B339)</f>
        <v>80861.02</v>
      </c>
      <c r="M339" s="62" t="n">
        <f aca="false">IF(L339=0,0,K339/L339)</f>
        <v>1.05232285593231</v>
      </c>
    </row>
    <row r="340" customFormat="false" ht="15" hidden="false" customHeight="false" outlineLevel="0" collapsed="false">
      <c r="A340" s="56" t="n">
        <v>2025</v>
      </c>
      <c r="B340" s="56" t="n">
        <v>5</v>
      </c>
      <c r="C340" s="56" t="s">
        <v>152</v>
      </c>
      <c r="D340" s="56" t="s">
        <v>323</v>
      </c>
      <c r="E340" s="56" t="s">
        <v>144</v>
      </c>
      <c r="F340" s="56" t="s">
        <v>337</v>
      </c>
      <c r="G340" s="73" t="n">
        <f aca="false">SUMIFS(DRE_por_UN!$F:$F,DRE_por_UN!$C:$C,$C340,DRE_por_UN!$E:$E,$E340)*VLOOKUP($D340,$A$25:$H$36,4,0)</f>
        <v>21654.198</v>
      </c>
      <c r="H340" s="61" t="n">
        <f aca="false">VLOOKUP($D340,$A$25:$H$36,5,0)*(1+$B$5)^($A340-2025)*INDEX($B$40:$M$44,MATCH($E340,$A$40:$A$44,0),$B340)</f>
        <v>20564.78</v>
      </c>
      <c r="I340" s="62" t="n">
        <f aca="false">IF(H340=0,0,G340/H340)</f>
        <v>1.05297494065096</v>
      </c>
      <c r="J340" s="61" t="n">
        <f aca="false">G340-H340</f>
        <v>1089.418</v>
      </c>
      <c r="K340" s="61" t="n">
        <f aca="false">SUMIFS($G$48:$G$479,$D$48:$D$479,$D340,$A$48:$A$479,$A340,$B$48:$B$479,"&lt;="&amp;$B340)</f>
        <v>106746.0975</v>
      </c>
      <c r="L340" s="61" t="n">
        <f aca="false">SUMIFS($H$48:$H$479,$D$48:$D$479,$D340,$A$48:$A$479,$A340,$B$48:$B$479,"&lt;="&amp;$B340)</f>
        <v>101425.8</v>
      </c>
      <c r="M340" s="62" t="n">
        <f aca="false">IF(L340=0,0,K340/L340)</f>
        <v>1.05245507060334</v>
      </c>
    </row>
    <row r="341" customFormat="false" ht="15" hidden="false" customHeight="false" outlineLevel="0" collapsed="false">
      <c r="A341" s="56" t="n">
        <v>2025</v>
      </c>
      <c r="B341" s="56" t="n">
        <v>6</v>
      </c>
      <c r="C341" s="56" t="s">
        <v>153</v>
      </c>
      <c r="D341" s="56" t="s">
        <v>323</v>
      </c>
      <c r="E341" s="56" t="s">
        <v>144</v>
      </c>
      <c r="F341" s="56" t="s">
        <v>337</v>
      </c>
      <c r="G341" s="73" t="n">
        <f aca="false">SUMIFS(DRE_por_UN!$F:$F,DRE_por_UN!$C:$C,$C341,DRE_por_UN!$E:$E,$E341)*VLOOKUP($D341,$A$25:$H$36,4,0)</f>
        <v>20530.7145</v>
      </c>
      <c r="H341" s="61" t="n">
        <f aca="false">VLOOKUP($D341,$A$25:$H$36,5,0)*(1+$B$5)^($A341-2025)*INDEX($B$40:$M$44,MATCH($E341,$A$40:$A$44,0),$B341)</f>
        <v>19497.14</v>
      </c>
      <c r="I341" s="62" t="n">
        <f aca="false">IF(H341=0,0,G341/H341)</f>
        <v>1.05301159554683</v>
      </c>
      <c r="J341" s="61" t="n">
        <f aca="false">G341-H341</f>
        <v>1033.5745</v>
      </c>
      <c r="K341" s="61" t="n">
        <f aca="false">SUMIFS($G$48:$G$479,$D$48:$D$479,$D341,$A$48:$A$479,$A341,$B$48:$B$479,"&lt;="&amp;$B341)</f>
        <v>127276.812</v>
      </c>
      <c r="L341" s="61" t="n">
        <f aca="false">SUMIFS($H$48:$H$479,$D$48:$D$479,$D341,$A$48:$A$479,$A341,$B$48:$B$479,"&lt;="&amp;$B341)</f>
        <v>120922.94</v>
      </c>
      <c r="M341" s="62" t="n">
        <f aca="false">IF(L341=0,0,K341/L341)</f>
        <v>1.05254480249984</v>
      </c>
    </row>
    <row r="342" customFormat="false" ht="15" hidden="false" customHeight="false" outlineLevel="0" collapsed="false">
      <c r="A342" s="56" t="n">
        <v>2025</v>
      </c>
      <c r="B342" s="56" t="n">
        <v>7</v>
      </c>
      <c r="C342" s="56" t="s">
        <v>154</v>
      </c>
      <c r="D342" s="56" t="s">
        <v>323</v>
      </c>
      <c r="E342" s="56" t="s">
        <v>144</v>
      </c>
      <c r="F342" s="56" t="s">
        <v>337</v>
      </c>
      <c r="G342" s="73" t="n">
        <f aca="false">SUMIFS(DRE_por_UN!$F:$F,DRE_por_UN!$C:$C,$C342,DRE_por_UN!$E:$E,$E342)*VLOOKUP($D342,$A$25:$H$36,4,0)</f>
        <v>24442.0245</v>
      </c>
      <c r="H342" s="61" t="n">
        <f aca="false">VLOOKUP($D342,$A$25:$H$36,5,0)*(1+$B$5)^($A342-2025)*INDEX($B$40:$M$44,MATCH($E342,$A$40:$A$44,0),$B342)</f>
        <v>23208.46</v>
      </c>
      <c r="I342" s="62" t="n">
        <f aca="false">IF(H342=0,0,G342/H342)</f>
        <v>1.05315150165069</v>
      </c>
      <c r="J342" s="61" t="n">
        <f aca="false">G342-H342</f>
        <v>1233.5645</v>
      </c>
      <c r="K342" s="61" t="n">
        <f aca="false">SUMIFS($G$48:$G$479,$D$48:$D$479,$D342,$A$48:$A$479,$A342,$B$48:$B$479,"&lt;="&amp;$B342)</f>
        <v>151718.8365</v>
      </c>
      <c r="L342" s="61" t="n">
        <f aca="false">SUMIFS($H$48:$H$479,$D$48:$D$479,$D342,$A$48:$A$479,$A342,$B$48:$B$479,"&lt;="&amp;$B342)</f>
        <v>144131.4</v>
      </c>
      <c r="M342" s="62" t="n">
        <f aca="false">IF(L342=0,0,K342/L342)</f>
        <v>1.05264249497334</v>
      </c>
    </row>
    <row r="343" customFormat="false" ht="15" hidden="false" customHeight="false" outlineLevel="0" collapsed="false">
      <c r="A343" s="56" t="n">
        <v>2025</v>
      </c>
      <c r="B343" s="56" t="n">
        <v>8</v>
      </c>
      <c r="C343" s="56" t="s">
        <v>155</v>
      </c>
      <c r="D343" s="56" t="s">
        <v>323</v>
      </c>
      <c r="E343" s="56" t="s">
        <v>144</v>
      </c>
      <c r="F343" s="56" t="s">
        <v>337</v>
      </c>
      <c r="G343" s="73" t="n">
        <f aca="false">SUMIFS(DRE_por_UN!$F:$F,DRE_por_UN!$C:$C,$C343,DRE_por_UN!$E:$E,$E343)*VLOOKUP($D343,$A$25:$H$36,4,0)</f>
        <v>18444.15</v>
      </c>
      <c r="H343" s="61" t="n">
        <f aca="false">VLOOKUP($D343,$A$25:$H$36,5,0)*(1+$B$5)^($A343-2025)*INDEX($B$40:$M$44,MATCH($E343,$A$40:$A$44,0),$B343)</f>
        <v>17514.38</v>
      </c>
      <c r="I343" s="62" t="n">
        <f aca="false">IF(H343=0,0,G343/H343)</f>
        <v>1.05308609268498</v>
      </c>
      <c r="J343" s="61" t="n">
        <f aca="false">G343-H343</f>
        <v>929.77</v>
      </c>
      <c r="K343" s="61" t="n">
        <f aca="false">SUMIFS($G$48:$G$479,$D$48:$D$479,$D343,$A$48:$A$479,$A343,$B$48:$B$479,"&lt;="&amp;$B343)</f>
        <v>170162.9865</v>
      </c>
      <c r="L343" s="61" t="n">
        <f aca="false">SUMIFS($H$48:$H$479,$D$48:$D$479,$D343,$A$48:$A$479,$A343,$B$48:$B$479,"&lt;="&amp;$B343)</f>
        <v>161645.78</v>
      </c>
      <c r="M343" s="62" t="n">
        <f aca="false">IF(L343=0,0,K343/L343)</f>
        <v>1.05269055894933</v>
      </c>
    </row>
    <row r="344" customFormat="false" ht="15" hidden="false" customHeight="false" outlineLevel="0" collapsed="false">
      <c r="A344" s="56" t="n">
        <v>2025</v>
      </c>
      <c r="B344" s="56" t="n">
        <v>9</v>
      </c>
      <c r="C344" s="56" t="s">
        <v>156</v>
      </c>
      <c r="D344" s="56" t="s">
        <v>323</v>
      </c>
      <c r="E344" s="56" t="s">
        <v>144</v>
      </c>
      <c r="F344" s="56" t="s">
        <v>337</v>
      </c>
      <c r="G344" s="73" t="n">
        <f aca="false">SUMIFS(DRE_por_UN!$F:$F,DRE_por_UN!$C:$C,$C344,DRE_por_UN!$E:$E,$E344)*VLOOKUP($D344,$A$25:$H$36,4,0)</f>
        <v>18574.2135</v>
      </c>
      <c r="H344" s="61" t="n">
        <f aca="false">VLOOKUP($D344,$A$25:$H$36,5,0)*(1+$B$5)^($A344-2025)*INDEX($B$40:$M$44,MATCH($E344,$A$40:$A$44,0),$B344)</f>
        <v>17641.48</v>
      </c>
      <c r="I344" s="62" t="n">
        <f aca="false">IF(H344=0,0,G344/H344)</f>
        <v>1.05287161281253</v>
      </c>
      <c r="J344" s="61" t="n">
        <f aca="false">G344-H344</f>
        <v>932.733500000002</v>
      </c>
      <c r="K344" s="61" t="n">
        <f aca="false">SUMIFS($G$48:$G$479,$D$48:$D$479,$D344,$A$48:$A$479,$A344,$B$48:$B$479,"&lt;="&amp;$B344)</f>
        <v>188737.2</v>
      </c>
      <c r="L344" s="61" t="n">
        <f aca="false">SUMIFS($H$48:$H$479,$D$48:$D$479,$D344,$A$48:$A$479,$A344,$B$48:$B$479,"&lt;="&amp;$B344)</f>
        <v>179287.26</v>
      </c>
      <c r="M344" s="62" t="n">
        <f aca="false">IF(L344=0,0,K344/L344)</f>
        <v>1.05270837425928</v>
      </c>
    </row>
    <row r="345" customFormat="false" ht="15" hidden="false" customHeight="false" outlineLevel="0" collapsed="false">
      <c r="A345" s="56" t="n">
        <v>2025</v>
      </c>
      <c r="B345" s="56" t="n">
        <v>10</v>
      </c>
      <c r="C345" s="56" t="s">
        <v>157</v>
      </c>
      <c r="D345" s="56" t="s">
        <v>323</v>
      </c>
      <c r="E345" s="56" t="s">
        <v>144</v>
      </c>
      <c r="F345" s="56" t="s">
        <v>337</v>
      </c>
      <c r="G345" s="73" t="n">
        <f aca="false">SUMIFS(DRE_por_UN!$F:$F,DRE_por_UN!$C:$C,$C345,DRE_por_UN!$E:$E,$E345)*VLOOKUP($D345,$A$25:$H$36,4,0)</f>
        <v>23595.8355</v>
      </c>
      <c r="H345" s="61" t="n">
        <f aca="false">VLOOKUP($D345,$A$25:$H$36,5,0)*(1+$B$5)^($A345-2025)*INDEX($B$40:$M$44,MATCH($E345,$A$40:$A$44,0),$B345)</f>
        <v>22420.44</v>
      </c>
      <c r="I345" s="62" t="n">
        <f aca="false">IF(H345=0,0,G345/H345)</f>
        <v>1.05242517542029</v>
      </c>
      <c r="J345" s="61" t="n">
        <f aca="false">G345-H345</f>
        <v>1175.3955</v>
      </c>
      <c r="K345" s="61" t="n">
        <f aca="false">SUMIFS($G$48:$G$479,$D$48:$D$479,$D345,$A$48:$A$479,$A345,$B$48:$B$479,"&lt;="&amp;$B345)</f>
        <v>212333.0355</v>
      </c>
      <c r="L345" s="61" t="n">
        <f aca="false">SUMIFS($H$48:$H$479,$D$48:$D$479,$D345,$A$48:$A$479,$A345,$B$48:$B$479,"&lt;="&amp;$B345)</f>
        <v>201707.7</v>
      </c>
      <c r="M345" s="62" t="n">
        <f aca="false">IF(L345=0,0,K345/L345)</f>
        <v>1.052676895825</v>
      </c>
    </row>
    <row r="346" customFormat="false" ht="15" hidden="false" customHeight="false" outlineLevel="0" collapsed="false">
      <c r="A346" s="56" t="n">
        <v>2025</v>
      </c>
      <c r="B346" s="56" t="n">
        <v>11</v>
      </c>
      <c r="C346" s="56" t="s">
        <v>158</v>
      </c>
      <c r="D346" s="56" t="s">
        <v>323</v>
      </c>
      <c r="E346" s="56" t="s">
        <v>144</v>
      </c>
      <c r="F346" s="56" t="s">
        <v>337</v>
      </c>
      <c r="G346" s="73" t="n">
        <f aca="false">SUMIFS(DRE_por_UN!$F:$F,DRE_por_UN!$C:$C,$C346,DRE_por_UN!$E:$E,$E346)*VLOOKUP($D346,$A$25:$H$36,4,0)</f>
        <v>28371.1185</v>
      </c>
      <c r="H346" s="61" t="n">
        <f aca="false">VLOOKUP($D346,$A$25:$H$36,5,0)*(1+$B$5)^($A346-2025)*INDEX($B$40:$M$44,MATCH($E346,$A$40:$A$44,0),$B346)</f>
        <v>26945.2</v>
      </c>
      <c r="I346" s="62" t="n">
        <f aca="false">IF(H346=0,0,G346/H346)</f>
        <v>1.05291920267803</v>
      </c>
      <c r="J346" s="61" t="n">
        <f aca="false">G346-H346</f>
        <v>1425.9185</v>
      </c>
      <c r="K346" s="61" t="n">
        <f aca="false">SUMIFS($G$48:$G$479,$D$48:$D$479,$D346,$A$48:$A$479,$A346,$B$48:$B$479,"&lt;="&amp;$B346)</f>
        <v>240704.154</v>
      </c>
      <c r="L346" s="61" t="n">
        <f aca="false">SUMIFS($H$48:$H$479,$D$48:$D$479,$D346,$A$48:$A$479,$A346,$B$48:$B$479,"&lt;="&amp;$B346)</f>
        <v>228652.9</v>
      </c>
      <c r="M346" s="62" t="n">
        <f aca="false">IF(L346=0,0,K346/L346)</f>
        <v>1.05270545005115</v>
      </c>
    </row>
    <row r="347" customFormat="false" ht="15" hidden="false" customHeight="false" outlineLevel="0" collapsed="false">
      <c r="A347" s="56" t="n">
        <v>2025</v>
      </c>
      <c r="B347" s="56" t="n">
        <v>12</v>
      </c>
      <c r="C347" s="56" t="s">
        <v>159</v>
      </c>
      <c r="D347" s="56" t="s">
        <v>323</v>
      </c>
      <c r="E347" s="56" t="s">
        <v>144</v>
      </c>
      <c r="F347" s="56" t="s">
        <v>337</v>
      </c>
      <c r="G347" s="73" t="n">
        <f aca="false">SUMIFS(DRE_por_UN!$F:$F,DRE_por_UN!$C:$C,$C347,DRE_por_UN!$E:$E,$E347)*VLOOKUP($D347,$A$25:$H$36,4,0)</f>
        <v>26879.067</v>
      </c>
      <c r="H347" s="61" t="n">
        <f aca="false">VLOOKUP($D347,$A$25:$H$36,5,0)*(1+$B$5)^($A347-2025)*INDEX($B$40:$M$44,MATCH($E347,$A$40:$A$44,0),$B347)</f>
        <v>25547.1</v>
      </c>
      <c r="I347" s="62" t="n">
        <f aca="false">IF(H347=0,0,G347/H347)</f>
        <v>1.05213769860376</v>
      </c>
      <c r="J347" s="61" t="n">
        <f aca="false">G347-H347</f>
        <v>1331.967</v>
      </c>
      <c r="K347" s="61" t="n">
        <f aca="false">SUMIFS($G$48:$G$479,$D$48:$D$479,$D347,$A$48:$A$479,$A347,$B$48:$B$479,"&lt;="&amp;$B347)</f>
        <v>267583.221</v>
      </c>
      <c r="L347" s="61" t="n">
        <f aca="false">SUMIFS($H$48:$H$479,$D$48:$D$479,$D347,$A$48:$A$479,$A347,$B$48:$B$479,"&lt;="&amp;$B347)</f>
        <v>254200</v>
      </c>
      <c r="M347" s="62" t="n">
        <f aca="false">IF(L347=0,0,K347/L347)</f>
        <v>1.05264839103068</v>
      </c>
    </row>
    <row r="348" customFormat="false" ht="15" hidden="false" customHeight="false" outlineLevel="0" collapsed="false">
      <c r="A348" s="56" t="n">
        <v>2026</v>
      </c>
      <c r="B348" s="56" t="n">
        <v>1</v>
      </c>
      <c r="C348" s="56" t="s">
        <v>160</v>
      </c>
      <c r="D348" s="56" t="s">
        <v>323</v>
      </c>
      <c r="E348" s="56" t="s">
        <v>144</v>
      </c>
      <c r="F348" s="56" t="s">
        <v>337</v>
      </c>
      <c r="G348" s="73" t="n">
        <f aca="false">SUMIFS(DRE_por_UN!$F:$F,DRE_por_UN!$C:$C,$C348,DRE_por_UN!$E:$E,$E348)*VLOOKUP($D348,$A$25:$H$36,4,0)</f>
        <v>19403.0235</v>
      </c>
      <c r="H348" s="61" t="n">
        <f aca="false">VLOOKUP($D348,$A$25:$H$36,5,0)*(1+$B$5)^($A348-2025)*INDEX($B$40:$M$44,MATCH($E348,$A$40:$A$44,0),$B348)</f>
        <v>18511.3524</v>
      </c>
      <c r="I348" s="62" t="n">
        <f aca="false">IF(H348=0,0,G348/H348)</f>
        <v>1.0481688793305</v>
      </c>
      <c r="J348" s="61" t="n">
        <f aca="false">G348-H348</f>
        <v>891.671100000003</v>
      </c>
      <c r="K348" s="61" t="n">
        <f aca="false">SUMIFS($G$48:$G$479,$D$48:$D$479,$D348,$A$48:$A$479,$A348,$B$48:$B$479,"&lt;="&amp;$B348)</f>
        <v>19403.0235</v>
      </c>
      <c r="L348" s="61" t="n">
        <f aca="false">SUMIFS($H$48:$H$479,$D$48:$D$479,$D348,$A$48:$A$479,$A348,$B$48:$B$479,"&lt;="&amp;$B348)</f>
        <v>18511.3524</v>
      </c>
      <c r="M348" s="62" t="n">
        <f aca="false">IF(L348=0,0,K348/L348)</f>
        <v>1.0481688793305</v>
      </c>
    </row>
    <row r="349" customFormat="false" ht="15" hidden="false" customHeight="false" outlineLevel="0" collapsed="false">
      <c r="A349" s="56" t="n">
        <v>2026</v>
      </c>
      <c r="B349" s="56" t="n">
        <v>2</v>
      </c>
      <c r="C349" s="56" t="s">
        <v>161</v>
      </c>
      <c r="D349" s="56" t="s">
        <v>323</v>
      </c>
      <c r="E349" s="56" t="s">
        <v>144</v>
      </c>
      <c r="F349" s="56" t="s">
        <v>337</v>
      </c>
      <c r="G349" s="73" t="n">
        <f aca="false">SUMIFS(DRE_por_UN!$F:$F,DRE_por_UN!$C:$C,$C349,DRE_por_UN!$E:$E,$E349)*VLOOKUP($D349,$A$25:$H$36,4,0)</f>
        <v>14351.139</v>
      </c>
      <c r="H349" s="61" t="n">
        <f aca="false">VLOOKUP($D349,$A$25:$H$36,5,0)*(1+$B$5)^($A349-2025)*INDEX($B$40:$M$44,MATCH($E349,$A$40:$A$44,0),$B349)</f>
        <v>20640.0232</v>
      </c>
      <c r="I349" s="62" t="n">
        <f aca="false">IF(H349=0,0,G349/H349)</f>
        <v>0.695306340547137</v>
      </c>
      <c r="J349" s="61" t="n">
        <f aca="false">G349-H349</f>
        <v>-6288.8842</v>
      </c>
      <c r="K349" s="61" t="n">
        <f aca="false">SUMIFS($G$48:$G$479,$D$48:$D$479,$D349,$A$48:$A$479,$A349,$B$48:$B$479,"&lt;="&amp;$B349)</f>
        <v>33754.1625</v>
      </c>
      <c r="L349" s="61" t="n">
        <f aca="false">SUMIFS($H$48:$H$479,$D$48:$D$479,$D349,$A$48:$A$479,$A349,$B$48:$B$479,"&lt;="&amp;$B349)</f>
        <v>39151.3756</v>
      </c>
      <c r="M349" s="62" t="n">
        <f aca="false">IF(L349=0,0,K349/L349)</f>
        <v>0.862144994466044</v>
      </c>
    </row>
    <row r="350" customFormat="false" ht="15" hidden="false" customHeight="false" outlineLevel="0" collapsed="false">
      <c r="A350" s="56" t="n">
        <v>2026</v>
      </c>
      <c r="B350" s="56" t="n">
        <v>3</v>
      </c>
      <c r="C350" s="56" t="s">
        <v>162</v>
      </c>
      <c r="D350" s="56" t="s">
        <v>323</v>
      </c>
      <c r="E350" s="56" t="s">
        <v>144</v>
      </c>
      <c r="F350" s="56" t="s">
        <v>337</v>
      </c>
      <c r="G350" s="73" t="n">
        <f aca="false">SUMIFS(DRE_por_UN!$F:$F,DRE_por_UN!$C:$C,$C350,DRE_por_UN!$E:$E,$E350)*VLOOKUP($D350,$A$25:$H$36,4,0)</f>
        <v>19134.3195</v>
      </c>
      <c r="H350" s="61" t="n">
        <f aca="false">VLOOKUP($D350,$A$25:$H$36,5,0)*(1+$B$5)^($A350-2025)*INDEX($B$40:$M$44,MATCH($E350,$A$40:$A$44,0),$B350)</f>
        <v>21690.886</v>
      </c>
      <c r="I350" s="62" t="n">
        <f aca="false">IF(H350=0,0,G350/H350)</f>
        <v>0.882136372852635</v>
      </c>
      <c r="J350" s="61" t="n">
        <f aca="false">G350-H350</f>
        <v>-2556.5665</v>
      </c>
      <c r="K350" s="61" t="n">
        <f aca="false">SUMIFS($G$48:$G$479,$D$48:$D$479,$D350,$A$48:$A$479,$A350,$B$48:$B$479,"&lt;="&amp;$B350)</f>
        <v>52888.482</v>
      </c>
      <c r="L350" s="61" t="n">
        <f aca="false">SUMIFS($H$48:$H$479,$D$48:$D$479,$D350,$A$48:$A$479,$A350,$B$48:$B$479,"&lt;="&amp;$B350)</f>
        <v>60842.2616</v>
      </c>
      <c r="M350" s="62" t="n">
        <f aca="false">IF(L350=0,0,K350/L350)</f>
        <v>0.86927212449315</v>
      </c>
    </row>
    <row r="351" customFormat="false" ht="15" hidden="false" customHeight="false" outlineLevel="0" collapsed="false">
      <c r="A351" s="56" t="n">
        <v>2026</v>
      </c>
      <c r="B351" s="56" t="n">
        <v>4</v>
      </c>
      <c r="C351" s="56" t="s">
        <v>163</v>
      </c>
      <c r="D351" s="56" t="s">
        <v>323</v>
      </c>
      <c r="E351" s="56" t="s">
        <v>144</v>
      </c>
      <c r="F351" s="56" t="s">
        <v>337</v>
      </c>
      <c r="G351" s="73" t="n">
        <f aca="false">SUMIFS(DRE_por_UN!$F:$F,DRE_por_UN!$C:$C,$C351,DRE_por_UN!$E:$E,$E351)*VLOOKUP($D351,$A$25:$H$36,4,0)</f>
        <v>24130.5975</v>
      </c>
      <c r="H351" s="61" t="n">
        <f aca="false">VLOOKUP($D351,$A$25:$H$36,5,0)*(1+$B$5)^($A351-2025)*INDEX($B$40:$M$44,MATCH($E351,$A$40:$A$44,0),$B351)</f>
        <v>24870.4196</v>
      </c>
      <c r="I351" s="62" t="n">
        <f aca="false">IF(H351=0,0,G351/H351)</f>
        <v>0.970252930513485</v>
      </c>
      <c r="J351" s="61" t="n">
        <f aca="false">G351-H351</f>
        <v>-739.822099999994</v>
      </c>
      <c r="K351" s="61" t="n">
        <f aca="false">SUMIFS($G$48:$G$479,$D$48:$D$479,$D351,$A$48:$A$479,$A351,$B$48:$B$479,"&lt;="&amp;$B351)</f>
        <v>77019.0795</v>
      </c>
      <c r="L351" s="61" t="n">
        <f aca="false">SUMIFS($H$48:$H$479,$D$48:$D$479,$D351,$A$48:$A$479,$A351,$B$48:$B$479,"&lt;="&amp;$B351)</f>
        <v>85712.6812</v>
      </c>
      <c r="M351" s="62" t="n">
        <f aca="false">IF(L351=0,0,K351/L351)</f>
        <v>0.898572748182798</v>
      </c>
    </row>
    <row r="352" customFormat="false" ht="15" hidden="false" customHeight="false" outlineLevel="0" collapsed="false">
      <c r="A352" s="56" t="n">
        <v>2026</v>
      </c>
      <c r="B352" s="56" t="n">
        <v>5</v>
      </c>
      <c r="C352" s="56" t="s">
        <v>164</v>
      </c>
      <c r="D352" s="56" t="s">
        <v>323</v>
      </c>
      <c r="E352" s="56" t="s">
        <v>144</v>
      </c>
      <c r="F352" s="56" t="s">
        <v>337</v>
      </c>
      <c r="G352" s="73" t="n">
        <f aca="false">SUMIFS(DRE_por_UN!$F:$F,DRE_por_UN!$C:$C,$C352,DRE_por_UN!$E:$E,$E352)*VLOOKUP($D352,$A$25:$H$36,4,0)</f>
        <v>25271.595</v>
      </c>
      <c r="H352" s="61" t="n">
        <f aca="false">VLOOKUP($D352,$A$25:$H$36,5,0)*(1+$B$5)^($A352-2025)*INDEX($B$40:$M$44,MATCH($E352,$A$40:$A$44,0),$B352)</f>
        <v>21798.6668</v>
      </c>
      <c r="I352" s="62" t="n">
        <f aca="false">IF(H352=0,0,G352/H352)</f>
        <v>1.1593183762963</v>
      </c>
      <c r="J352" s="61" t="n">
        <f aca="false">G352-H352</f>
        <v>3472.9282</v>
      </c>
      <c r="K352" s="61" t="n">
        <f aca="false">SUMIFS($G$48:$G$479,$D$48:$D$479,$D352,$A$48:$A$479,$A352,$B$48:$B$479,"&lt;="&amp;$B352)</f>
        <v>102290.6745</v>
      </c>
      <c r="L352" s="61" t="n">
        <f aca="false">SUMIFS($H$48:$H$479,$D$48:$D$479,$D352,$A$48:$A$479,$A352,$B$48:$B$479,"&lt;="&amp;$B352)</f>
        <v>107511.348</v>
      </c>
      <c r="M352" s="62" t="n">
        <f aca="false">IF(L352=0,0,K352/L352)</f>
        <v>0.9514407214018</v>
      </c>
    </row>
    <row r="353" customFormat="false" ht="15" hidden="false" customHeight="false" outlineLevel="0" collapsed="false">
      <c r="A353" s="56" t="n">
        <v>2026</v>
      </c>
      <c r="B353" s="56" t="n">
        <v>6</v>
      </c>
      <c r="C353" s="56" t="s">
        <v>165</v>
      </c>
      <c r="D353" s="56" t="s">
        <v>323</v>
      </c>
      <c r="E353" s="56" t="s">
        <v>144</v>
      </c>
      <c r="F353" s="56" t="s">
        <v>337</v>
      </c>
      <c r="G353" s="73" t="n">
        <f aca="false">SUMIFS(DRE_por_UN!$F:$F,DRE_por_UN!$C:$C,$C353,DRE_por_UN!$E:$E,$E353)*VLOOKUP($D353,$A$25:$H$36,4,0)</f>
        <v>26008.8795</v>
      </c>
      <c r="H353" s="61" t="n">
        <f aca="false">VLOOKUP($D353,$A$25:$H$36,5,0)*(1+$B$5)^($A353-2025)*INDEX($B$40:$M$44,MATCH($E353,$A$40:$A$44,0),$B353)</f>
        <v>20666.9684</v>
      </c>
      <c r="I353" s="62" t="n">
        <f aca="false">IF(H353=0,0,G353/H353)</f>
        <v>1.25847579560822</v>
      </c>
      <c r="J353" s="61" t="n">
        <f aca="false">G353-H353</f>
        <v>5341.9111</v>
      </c>
      <c r="K353" s="61" t="n">
        <f aca="false">SUMIFS($G$48:$G$479,$D$48:$D$479,$D353,$A$48:$A$479,$A353,$B$48:$B$479,"&lt;="&amp;$B353)</f>
        <v>128299.554</v>
      </c>
      <c r="L353" s="61" t="n">
        <f aca="false">SUMIFS($H$48:$H$479,$D$48:$D$479,$D353,$A$48:$A$479,$A353,$B$48:$B$479,"&lt;="&amp;$B353)</f>
        <v>128178.3164</v>
      </c>
      <c r="M353" s="62" t="n">
        <f aca="false">IF(L353=0,0,K353/L353)</f>
        <v>1.00094585108781</v>
      </c>
    </row>
    <row r="354" customFormat="false" ht="15" hidden="false" customHeight="false" outlineLevel="0" collapsed="false">
      <c r="A354" s="56" t="n">
        <v>2026</v>
      </c>
      <c r="B354" s="56" t="n">
        <v>7</v>
      </c>
      <c r="C354" s="56" t="s">
        <v>166</v>
      </c>
      <c r="D354" s="56" t="s">
        <v>323</v>
      </c>
      <c r="E354" s="56" t="s">
        <v>144</v>
      </c>
      <c r="F354" s="56" t="s">
        <v>337</v>
      </c>
      <c r="G354" s="73" t="n">
        <f aca="false">SUMIFS(DRE_por_UN!$F:$F,DRE_por_UN!$C:$C,$C354,DRE_por_UN!$E:$E,$E354)*VLOOKUP($D354,$A$25:$H$36,4,0)</f>
        <v>30559.2615</v>
      </c>
      <c r="H354" s="61" t="n">
        <f aca="false">VLOOKUP($D354,$A$25:$H$36,5,0)*(1+$B$5)^($A354-2025)*INDEX($B$40:$M$44,MATCH($E354,$A$40:$A$44,0),$B354)</f>
        <v>24600.9676</v>
      </c>
      <c r="I354" s="62" t="n">
        <f aca="false">IF(H354=0,0,G354/H354)</f>
        <v>1.24219754266901</v>
      </c>
      <c r="J354" s="61" t="n">
        <f aca="false">G354-H354</f>
        <v>5958.2939</v>
      </c>
      <c r="K354" s="61" t="n">
        <f aca="false">SUMIFS($G$48:$G$479,$D$48:$D$479,$D354,$A$48:$A$479,$A354,$B$48:$B$479,"&lt;="&amp;$B354)</f>
        <v>158858.8155</v>
      </c>
      <c r="L354" s="61" t="n">
        <f aca="false">SUMIFS($H$48:$H$479,$D$48:$D$479,$D354,$A$48:$A$479,$A354,$B$48:$B$479,"&lt;="&amp;$B354)</f>
        <v>152779.284</v>
      </c>
      <c r="M354" s="62" t="n">
        <f aca="false">IF(L354=0,0,K354/L354)</f>
        <v>1.03979290477628</v>
      </c>
    </row>
    <row r="355" customFormat="false" ht="15" hidden="false" customHeight="false" outlineLevel="0" collapsed="false">
      <c r="A355" s="56" t="n">
        <v>2026</v>
      </c>
      <c r="B355" s="56" t="n">
        <v>8</v>
      </c>
      <c r="C355" s="56" t="s">
        <v>167</v>
      </c>
      <c r="D355" s="56" t="s">
        <v>323</v>
      </c>
      <c r="E355" s="56" t="s">
        <v>144</v>
      </c>
      <c r="F355" s="56" t="s">
        <v>337</v>
      </c>
      <c r="G355" s="73" t="n">
        <f aca="false">SUMIFS(DRE_por_UN!$F:$F,DRE_por_UN!$C:$C,$C355,DRE_por_UN!$E:$E,$E355)*VLOOKUP($D355,$A$25:$H$36,4,0)</f>
        <v>27024.7005</v>
      </c>
      <c r="H355" s="61" t="n">
        <f aca="false">VLOOKUP($D355,$A$25:$H$36,5,0)*(1+$B$5)^($A355-2025)*INDEX($B$40:$M$44,MATCH($E355,$A$40:$A$44,0),$B355)</f>
        <v>18565.2428</v>
      </c>
      <c r="I355" s="62" t="n">
        <f aca="false">IF(H355=0,0,G355/H355)</f>
        <v>1.45566103234588</v>
      </c>
      <c r="J355" s="61" t="n">
        <f aca="false">G355-H355</f>
        <v>8459.4577</v>
      </c>
      <c r="K355" s="61" t="n">
        <f aca="false">SUMIFS($G$48:$G$479,$D$48:$D$479,$D355,$A$48:$A$479,$A355,$B$48:$B$479,"&lt;="&amp;$B355)</f>
        <v>185883.516</v>
      </c>
      <c r="L355" s="61" t="n">
        <f aca="false">SUMIFS($H$48:$H$479,$D$48:$D$479,$D355,$A$48:$A$479,$A355,$B$48:$B$479,"&lt;="&amp;$B355)</f>
        <v>171344.5268</v>
      </c>
      <c r="M355" s="62" t="n">
        <f aca="false">IF(L355=0,0,K355/L355)</f>
        <v>1.08485237008458</v>
      </c>
    </row>
    <row r="356" customFormat="false" ht="15" hidden="false" customHeight="false" outlineLevel="0" collapsed="false">
      <c r="A356" s="56" t="n">
        <v>2026</v>
      </c>
      <c r="B356" s="56" t="n">
        <v>9</v>
      </c>
      <c r="C356" s="56" t="s">
        <v>168</v>
      </c>
      <c r="D356" s="56" t="s">
        <v>323</v>
      </c>
      <c r="E356" s="56" t="s">
        <v>144</v>
      </c>
      <c r="F356" s="56" t="s">
        <v>337</v>
      </c>
      <c r="G356" s="73" t="n">
        <f aca="false">SUMIFS(DRE_por_UN!$F:$F,DRE_por_UN!$C:$C,$C356,DRE_por_UN!$E:$E,$E356)*VLOOKUP($D356,$A$25:$H$36,4,0)</f>
        <v>24232.3335</v>
      </c>
      <c r="H356" s="61" t="n">
        <f aca="false">VLOOKUP($D356,$A$25:$H$36,5,0)*(1+$B$5)^($A356-2025)*INDEX($B$40:$M$44,MATCH($E356,$A$40:$A$44,0),$B356)</f>
        <v>18699.9688</v>
      </c>
      <c r="I356" s="62" t="n">
        <f aca="false">IF(H356=0,0,G356/H356)</f>
        <v>1.29584887328796</v>
      </c>
      <c r="J356" s="61" t="n">
        <f aca="false">G356-H356</f>
        <v>5532.3647</v>
      </c>
      <c r="K356" s="61" t="n">
        <f aca="false">SUMIFS($G$48:$G$479,$D$48:$D$479,$D356,$A$48:$A$479,$A356,$B$48:$B$479,"&lt;="&amp;$B356)</f>
        <v>210115.8495</v>
      </c>
      <c r="L356" s="61" t="n">
        <f aca="false">SUMIFS($H$48:$H$479,$D$48:$D$479,$D356,$A$48:$A$479,$A356,$B$48:$B$479,"&lt;="&amp;$B356)</f>
        <v>190044.4956</v>
      </c>
      <c r="M356" s="62" t="n">
        <f aca="false">IF(L356=0,0,K356/L356)</f>
        <v>1.10561397127884</v>
      </c>
    </row>
    <row r="357" customFormat="false" ht="15" hidden="false" customHeight="false" outlineLevel="0" collapsed="false">
      <c r="A357" s="56" t="n">
        <v>2026</v>
      </c>
      <c r="B357" s="56" t="n">
        <v>10</v>
      </c>
      <c r="C357" s="56" t="s">
        <v>169</v>
      </c>
      <c r="D357" s="56" t="s">
        <v>323</v>
      </c>
      <c r="E357" s="56" t="s">
        <v>144</v>
      </c>
      <c r="F357" s="56" t="s">
        <v>337</v>
      </c>
      <c r="G357" s="73" t="n">
        <f aca="false">SUMIFS(DRE_por_UN!$F:$F,DRE_por_UN!$C:$C,$C357,DRE_por_UN!$E:$E,$E357)*VLOOKUP($D357,$A$25:$H$36,4,0)</f>
        <v>20019.024</v>
      </c>
      <c r="H357" s="61" t="n">
        <f aca="false">VLOOKUP($D357,$A$25:$H$36,5,0)*(1+$B$5)^($A357-2025)*INDEX($B$40:$M$44,MATCH($E357,$A$40:$A$44,0),$B357)</f>
        <v>23765.6664</v>
      </c>
      <c r="I357" s="62" t="n">
        <f aca="false">IF(H357=0,0,G357/H357)</f>
        <v>0.842350627289795</v>
      </c>
      <c r="J357" s="61" t="n">
        <f aca="false">G357-H357</f>
        <v>-3746.6424</v>
      </c>
      <c r="K357" s="61" t="n">
        <f aca="false">SUMIFS($G$48:$G$479,$D$48:$D$479,$D357,$A$48:$A$479,$A357,$B$48:$B$479,"&lt;="&amp;$B357)</f>
        <v>230134.8735</v>
      </c>
      <c r="L357" s="61" t="n">
        <f aca="false">SUMIFS($H$48:$H$479,$D$48:$D$479,$D357,$A$48:$A$479,$A357,$B$48:$B$479,"&lt;="&amp;$B357)</f>
        <v>213810.162</v>
      </c>
      <c r="M357" s="62" t="n">
        <f aca="false">IF(L357=0,0,K357/L357)</f>
        <v>1.0763514294517</v>
      </c>
    </row>
    <row r="358" customFormat="false" ht="15" hidden="false" customHeight="false" outlineLevel="0" collapsed="false">
      <c r="A358" s="56" t="n">
        <v>2026</v>
      </c>
      <c r="B358" s="56" t="n">
        <v>11</v>
      </c>
      <c r="C358" s="56" t="s">
        <v>170</v>
      </c>
      <c r="D358" s="56" t="s">
        <v>323</v>
      </c>
      <c r="E358" s="56" t="s">
        <v>144</v>
      </c>
      <c r="F358" s="56" t="s">
        <v>337</v>
      </c>
      <c r="G358" s="73" t="n">
        <f aca="false">SUMIFS(DRE_por_UN!$F:$F,DRE_por_UN!$C:$C,$C358,DRE_por_UN!$E:$E,$E358)*VLOOKUP($D358,$A$25:$H$36,4,0)</f>
        <v>25570.6065</v>
      </c>
      <c r="H358" s="61" t="n">
        <f aca="false">VLOOKUP($D358,$A$25:$H$36,5,0)*(1+$B$5)^($A358-2025)*INDEX($B$40:$M$44,MATCH($E358,$A$40:$A$44,0),$B358)</f>
        <v>28561.912</v>
      </c>
      <c r="I358" s="62" t="n">
        <f aca="false">IF(H358=0,0,G358/H358)</f>
        <v>0.895269423839693</v>
      </c>
      <c r="J358" s="61" t="n">
        <f aca="false">G358-H358</f>
        <v>-2991.3055</v>
      </c>
      <c r="K358" s="61" t="n">
        <f aca="false">SUMIFS($G$48:$G$479,$D$48:$D$479,$D358,$A$48:$A$479,$A358,$B$48:$B$479,"&lt;="&amp;$B358)</f>
        <v>255705.48</v>
      </c>
      <c r="L358" s="61" t="n">
        <f aca="false">SUMIFS($H$48:$H$479,$D$48:$D$479,$D358,$A$48:$A$479,$A358,$B$48:$B$479,"&lt;="&amp;$B358)</f>
        <v>242372.074</v>
      </c>
      <c r="M358" s="62" t="n">
        <f aca="false">IF(L358=0,0,K358/L358)</f>
        <v>1.0550121380733</v>
      </c>
    </row>
    <row r="359" customFormat="false" ht="15" hidden="false" customHeight="false" outlineLevel="0" collapsed="false">
      <c r="A359" s="56" t="n">
        <v>2026</v>
      </c>
      <c r="B359" s="56" t="n">
        <v>12</v>
      </c>
      <c r="C359" s="56" t="s">
        <v>171</v>
      </c>
      <c r="D359" s="56" t="s">
        <v>323</v>
      </c>
      <c r="E359" s="56" t="s">
        <v>144</v>
      </c>
      <c r="F359" s="56" t="s">
        <v>337</v>
      </c>
      <c r="G359" s="73" t="n">
        <f aca="false">SUMIFS(DRE_por_UN!$F:$F,DRE_por_UN!$C:$C,$C359,DRE_por_UN!$E:$E,$E359)*VLOOKUP($D359,$A$25:$H$36,4,0)</f>
        <v>30287.3985</v>
      </c>
      <c r="H359" s="61" t="n">
        <f aca="false">VLOOKUP($D359,$A$25:$H$36,5,0)*(1+$B$5)^($A359-2025)*INDEX($B$40:$M$44,MATCH($E359,$A$40:$A$44,0),$B359)</f>
        <v>27079.926</v>
      </c>
      <c r="I359" s="62" t="n">
        <f aca="false">IF(H359=0,0,G359/H359)</f>
        <v>1.11844465527712</v>
      </c>
      <c r="J359" s="61" t="n">
        <f aca="false">G359-H359</f>
        <v>3207.4725</v>
      </c>
      <c r="K359" s="61" t="n">
        <f aca="false">SUMIFS($G$48:$G$479,$D$48:$D$479,$D359,$A$48:$A$479,$A359,$B$48:$B$479,"&lt;="&amp;$B359)</f>
        <v>285992.8785</v>
      </c>
      <c r="L359" s="61" t="n">
        <f aca="false">SUMIFS($H$48:$H$479,$D$48:$D$479,$D359,$A$48:$A$479,$A359,$B$48:$B$479,"&lt;="&amp;$B359)</f>
        <v>269452</v>
      </c>
      <c r="M359" s="62" t="n">
        <f aca="false">IF(L359=0,0,K359/L359)</f>
        <v>1.06138710605228</v>
      </c>
    </row>
    <row r="360" customFormat="false" ht="15" hidden="false" customHeight="false" outlineLevel="0" collapsed="false">
      <c r="A360" s="56" t="n">
        <v>2027</v>
      </c>
      <c r="B360" s="56" t="n">
        <v>1</v>
      </c>
      <c r="C360" s="56" t="s">
        <v>172</v>
      </c>
      <c r="D360" s="56" t="s">
        <v>323</v>
      </c>
      <c r="E360" s="56" t="s">
        <v>144</v>
      </c>
      <c r="F360" s="56" t="s">
        <v>337</v>
      </c>
      <c r="G360" s="73" t="n">
        <f aca="false">SUMIFS(DRE_por_UN!$F:$F,DRE_por_UN!$C:$C,$C360,DRE_por_UN!$E:$E,$E360)*VLOOKUP($D360,$A$25:$H$36,4,0)</f>
        <v>21149.295615</v>
      </c>
      <c r="H360" s="61" t="n">
        <f aca="false">VLOOKUP($D360,$A$25:$H$36,5,0)*(1+$B$5)^($A360-2025)*INDEX($B$40:$M$44,MATCH($E360,$A$40:$A$44,0),$B360)</f>
        <v>19622.033544</v>
      </c>
      <c r="I360" s="62" t="n">
        <f aca="false">IF(H360=0,0,G360/H360)</f>
        <v>1.07783403629269</v>
      </c>
      <c r="J360" s="61" t="n">
        <f aca="false">G360-H360</f>
        <v>1527.262071</v>
      </c>
      <c r="K360" s="61" t="n">
        <f aca="false">SUMIFS($G$48:$G$479,$D$48:$D$479,$D360,$A$48:$A$479,$A360,$B$48:$B$479,"&lt;="&amp;$B360)</f>
        <v>21149.295615</v>
      </c>
      <c r="L360" s="61" t="n">
        <f aca="false">SUMIFS($H$48:$H$479,$D$48:$D$479,$D360,$A$48:$A$479,$A360,$B$48:$B$479,"&lt;="&amp;$B360)</f>
        <v>19622.033544</v>
      </c>
      <c r="M360" s="62" t="n">
        <f aca="false">IF(L360=0,0,K360/L360)</f>
        <v>1.07783403629269</v>
      </c>
    </row>
    <row r="361" customFormat="false" ht="15" hidden="false" customHeight="false" outlineLevel="0" collapsed="false">
      <c r="A361" s="56" t="n">
        <v>2027</v>
      </c>
      <c r="B361" s="56" t="n">
        <v>2</v>
      </c>
      <c r="C361" s="56" t="s">
        <v>173</v>
      </c>
      <c r="D361" s="56" t="s">
        <v>323</v>
      </c>
      <c r="E361" s="56" t="s">
        <v>144</v>
      </c>
      <c r="F361" s="56" t="s">
        <v>337</v>
      </c>
      <c r="G361" s="73" t="n">
        <f aca="false">SUMIFS(DRE_por_UN!$F:$F,DRE_por_UN!$C:$C,$C361,DRE_por_UN!$E:$E,$E361)*VLOOKUP($D361,$A$25:$H$36,4,0)</f>
        <v>15642.74151</v>
      </c>
      <c r="H361" s="61" t="n">
        <f aca="false">VLOOKUP($D361,$A$25:$H$36,5,0)*(1+$B$5)^($A361-2025)*INDEX($B$40:$M$44,MATCH($E361,$A$40:$A$44,0),$B361)</f>
        <v>21878.424592</v>
      </c>
      <c r="I361" s="62" t="n">
        <f aca="false">IF(H361=0,0,G361/H361)</f>
        <v>0.714984821883376</v>
      </c>
      <c r="J361" s="61" t="n">
        <f aca="false">G361-H361</f>
        <v>-6235.683082</v>
      </c>
      <c r="K361" s="61" t="n">
        <f aca="false">SUMIFS($G$48:$G$479,$D$48:$D$479,$D361,$A$48:$A$479,$A361,$B$48:$B$479,"&lt;="&amp;$B361)</f>
        <v>36792.037125</v>
      </c>
      <c r="L361" s="61" t="n">
        <f aca="false">SUMIFS($H$48:$H$479,$D$48:$D$479,$D361,$A$48:$A$479,$A361,$B$48:$B$479,"&lt;="&amp;$B361)</f>
        <v>41500.458136</v>
      </c>
      <c r="M361" s="62" t="n">
        <f aca="false">IF(L361=0,0,K361/L361)</f>
        <v>0.886545324498102</v>
      </c>
    </row>
    <row r="362" customFormat="false" ht="15" hidden="false" customHeight="false" outlineLevel="0" collapsed="false">
      <c r="A362" s="56" t="n">
        <v>2027</v>
      </c>
      <c r="B362" s="56" t="n">
        <v>3</v>
      </c>
      <c r="C362" s="56" t="s">
        <v>174</v>
      </c>
      <c r="D362" s="56" t="s">
        <v>323</v>
      </c>
      <c r="E362" s="56" t="s">
        <v>144</v>
      </c>
      <c r="F362" s="56" t="s">
        <v>337</v>
      </c>
      <c r="G362" s="73" t="n">
        <f aca="false">SUMIFS(DRE_por_UN!$F:$F,DRE_por_UN!$C:$C,$C362,DRE_por_UN!$E:$E,$E362)*VLOOKUP($D362,$A$25:$H$36,4,0)</f>
        <v>20856.408255</v>
      </c>
      <c r="H362" s="61" t="n">
        <f aca="false">VLOOKUP($D362,$A$25:$H$36,5,0)*(1+$B$5)^($A362-2025)*INDEX($B$40:$M$44,MATCH($E362,$A$40:$A$44,0),$B362)</f>
        <v>22992.33916</v>
      </c>
      <c r="I362" s="62" t="n">
        <f aca="false">IF(H362=0,0,G362/H362)</f>
        <v>0.907102496612615</v>
      </c>
      <c r="J362" s="61" t="n">
        <f aca="false">G362-H362</f>
        <v>-2135.930905</v>
      </c>
      <c r="K362" s="61" t="n">
        <f aca="false">SUMIFS($G$48:$G$479,$D$48:$D$479,$D362,$A$48:$A$479,$A362,$B$48:$B$479,"&lt;="&amp;$B362)</f>
        <v>57648.44538</v>
      </c>
      <c r="L362" s="61" t="n">
        <f aca="false">SUMIFS($H$48:$H$479,$D$48:$D$479,$D362,$A$48:$A$479,$A362,$B$48:$B$479,"&lt;="&amp;$B362)</f>
        <v>64492.797296</v>
      </c>
      <c r="M362" s="62" t="n">
        <f aca="false">IF(L362=0,0,K362/L362)</f>
        <v>0.89387416575239</v>
      </c>
    </row>
    <row r="363" customFormat="false" ht="15" hidden="false" customHeight="false" outlineLevel="0" collapsed="false">
      <c r="A363" s="56" t="n">
        <v>2027</v>
      </c>
      <c r="B363" s="56" t="n">
        <v>4</v>
      </c>
      <c r="C363" s="56" t="s">
        <v>175</v>
      </c>
      <c r="D363" s="56" t="s">
        <v>323</v>
      </c>
      <c r="E363" s="56" t="s">
        <v>144</v>
      </c>
      <c r="F363" s="56" t="s">
        <v>337</v>
      </c>
      <c r="G363" s="73" t="n">
        <f aca="false">SUMIFS(DRE_por_UN!$F:$F,DRE_por_UN!$C:$C,$C363,DRE_por_UN!$E:$E,$E363)*VLOOKUP($D363,$A$25:$H$36,4,0)</f>
        <v>26302.351275</v>
      </c>
      <c r="H363" s="61" t="n">
        <f aca="false">VLOOKUP($D363,$A$25:$H$36,5,0)*(1+$B$5)^($A363-2025)*INDEX($B$40:$M$44,MATCH($E363,$A$40:$A$44,0),$B363)</f>
        <v>26362.644776</v>
      </c>
      <c r="I363" s="62" t="n">
        <f aca="false">IF(H363=0,0,G363/H363)</f>
        <v>0.997712919112923</v>
      </c>
      <c r="J363" s="61" t="n">
        <f aca="false">G363-H363</f>
        <v>-60.2935010000001</v>
      </c>
      <c r="K363" s="61" t="n">
        <f aca="false">SUMIFS($G$48:$G$479,$D$48:$D$479,$D363,$A$48:$A$479,$A363,$B$48:$B$479,"&lt;="&amp;$B363)</f>
        <v>83950.796655</v>
      </c>
      <c r="L363" s="61" t="n">
        <f aca="false">SUMIFS($H$48:$H$479,$D$48:$D$479,$D363,$A$48:$A$479,$A363,$B$48:$B$479,"&lt;="&amp;$B363)</f>
        <v>90855.442072</v>
      </c>
      <c r="M363" s="62" t="n">
        <f aca="false">IF(L363=0,0,K363/L363)</f>
        <v>0.92400405237665</v>
      </c>
    </row>
    <row r="364" customFormat="false" ht="15" hidden="false" customHeight="false" outlineLevel="0" collapsed="false">
      <c r="A364" s="56" t="n">
        <v>2027</v>
      </c>
      <c r="B364" s="56" t="n">
        <v>5</v>
      </c>
      <c r="C364" s="56" t="s">
        <v>176</v>
      </c>
      <c r="D364" s="56" t="s">
        <v>323</v>
      </c>
      <c r="E364" s="56" t="s">
        <v>144</v>
      </c>
      <c r="F364" s="56" t="s">
        <v>337</v>
      </c>
      <c r="G364" s="73" t="n">
        <f aca="false">SUMIFS(DRE_por_UN!$F:$F,DRE_por_UN!$C:$C,$C364,DRE_por_UN!$E:$E,$E364)*VLOOKUP($D364,$A$25:$H$36,4,0)</f>
        <v>27546.03855</v>
      </c>
      <c r="H364" s="61" t="n">
        <f aca="false">VLOOKUP($D364,$A$25:$H$36,5,0)*(1+$B$5)^($A364-2025)*INDEX($B$40:$M$44,MATCH($E364,$A$40:$A$44,0),$B364)</f>
        <v>23106.586808</v>
      </c>
      <c r="I364" s="62" t="n">
        <f aca="false">IF(H364=0,0,G364/H364)</f>
        <v>1.19212927373865</v>
      </c>
      <c r="J364" s="61" t="n">
        <f aca="false">G364-H364</f>
        <v>4439.451742</v>
      </c>
      <c r="K364" s="61" t="n">
        <f aca="false">SUMIFS($G$48:$G$479,$D$48:$D$479,$D364,$A$48:$A$479,$A364,$B$48:$B$479,"&lt;="&amp;$B364)</f>
        <v>111496.835205</v>
      </c>
      <c r="L364" s="61" t="n">
        <f aca="false">SUMIFS($H$48:$H$479,$D$48:$D$479,$D364,$A$48:$A$479,$A364,$B$48:$B$479,"&lt;="&amp;$B364)</f>
        <v>113962.02888</v>
      </c>
      <c r="M364" s="62" t="n">
        <f aca="false">IF(L364=0,0,K364/L364)</f>
        <v>0.978368288988644</v>
      </c>
    </row>
    <row r="365" customFormat="false" ht="15" hidden="false" customHeight="false" outlineLevel="0" collapsed="false">
      <c r="A365" s="56" t="n">
        <v>2027</v>
      </c>
      <c r="B365" s="56" t="n">
        <v>6</v>
      </c>
      <c r="C365" s="56" t="s">
        <v>177</v>
      </c>
      <c r="D365" s="56" t="s">
        <v>323</v>
      </c>
      <c r="E365" s="56" t="s">
        <v>144</v>
      </c>
      <c r="F365" s="56" t="s">
        <v>337</v>
      </c>
      <c r="G365" s="73" t="n">
        <f aca="false">SUMIFS(DRE_por_UN!$F:$F,DRE_por_UN!$C:$C,$C365,DRE_por_UN!$E:$E,$E365)*VLOOKUP($D365,$A$25:$H$36,4,0)</f>
        <v>28349.678655</v>
      </c>
      <c r="H365" s="61" t="n">
        <f aca="false">VLOOKUP($D365,$A$25:$H$36,5,0)*(1+$B$5)^($A365-2025)*INDEX($B$40:$M$44,MATCH($E365,$A$40:$A$44,0),$B365)</f>
        <v>21906.986504</v>
      </c>
      <c r="I365" s="62" t="n">
        <f aca="false">IF(H365=0,0,G365/H365)</f>
        <v>1.29409303510657</v>
      </c>
      <c r="J365" s="61" t="n">
        <f aca="false">G365-H365</f>
        <v>6442.692151</v>
      </c>
      <c r="K365" s="61" t="n">
        <f aca="false">SUMIFS($G$48:$G$479,$D$48:$D$479,$D365,$A$48:$A$479,$A365,$B$48:$B$479,"&lt;="&amp;$B365)</f>
        <v>139846.51386</v>
      </c>
      <c r="L365" s="61" t="n">
        <f aca="false">SUMIFS($H$48:$H$479,$D$48:$D$479,$D365,$A$48:$A$479,$A365,$B$48:$B$479,"&lt;="&amp;$B365)</f>
        <v>135869.015384</v>
      </c>
      <c r="M365" s="62" t="n">
        <f aca="false">IF(L365=0,0,K365/L365)</f>
        <v>1.02927450725067</v>
      </c>
    </row>
    <row r="366" customFormat="false" ht="15" hidden="false" customHeight="false" outlineLevel="0" collapsed="false">
      <c r="A366" s="56" t="n">
        <v>2027</v>
      </c>
      <c r="B366" s="56" t="n">
        <v>7</v>
      </c>
      <c r="C366" s="56" t="s">
        <v>178</v>
      </c>
      <c r="D366" s="56" t="s">
        <v>323</v>
      </c>
      <c r="E366" s="56" t="s">
        <v>144</v>
      </c>
      <c r="F366" s="56" t="s">
        <v>337</v>
      </c>
      <c r="G366" s="73" t="n">
        <f aca="false">SUMIFS(DRE_por_UN!$F:$F,DRE_por_UN!$C:$C,$C366,DRE_por_UN!$E:$E,$E366)*VLOOKUP($D366,$A$25:$H$36,4,0)</f>
        <v>33309.595035</v>
      </c>
      <c r="H366" s="61" t="n">
        <f aca="false">VLOOKUP($D366,$A$25:$H$36,5,0)*(1+$B$5)^($A366-2025)*INDEX($B$40:$M$44,MATCH($E366,$A$40:$A$44,0),$B366)</f>
        <v>26077.025656</v>
      </c>
      <c r="I366" s="62" t="n">
        <f aca="false">IF(H366=0,0,G366/H366)</f>
        <v>1.27735407689549</v>
      </c>
      <c r="J366" s="61" t="n">
        <f aca="false">G366-H366</f>
        <v>7232.56937899999</v>
      </c>
      <c r="K366" s="61" t="n">
        <f aca="false">SUMIFS($G$48:$G$479,$D$48:$D$479,$D366,$A$48:$A$479,$A366,$B$48:$B$479,"&lt;="&amp;$B366)</f>
        <v>173156.108895</v>
      </c>
      <c r="L366" s="61" t="n">
        <f aca="false">SUMIFS($H$48:$H$479,$D$48:$D$479,$D366,$A$48:$A$479,$A366,$B$48:$B$479,"&lt;="&amp;$B366)</f>
        <v>161946.04104</v>
      </c>
      <c r="M366" s="62" t="n">
        <f aca="false">IF(L366=0,0,K366/L366)</f>
        <v>1.06922100585485</v>
      </c>
    </row>
    <row r="367" customFormat="false" ht="15" hidden="false" customHeight="false" outlineLevel="0" collapsed="false">
      <c r="A367" s="56" t="n">
        <v>2027</v>
      </c>
      <c r="B367" s="56" t="n">
        <v>8</v>
      </c>
      <c r="C367" s="56" t="s">
        <v>179</v>
      </c>
      <c r="D367" s="56" t="s">
        <v>323</v>
      </c>
      <c r="E367" s="56" t="s">
        <v>144</v>
      </c>
      <c r="F367" s="56" t="s">
        <v>337</v>
      </c>
      <c r="G367" s="73" t="n">
        <f aca="false">SUMIFS(DRE_por_UN!$F:$F,DRE_por_UN!$C:$C,$C367,DRE_por_UN!$E:$E,$E367)*VLOOKUP($D367,$A$25:$H$36,4,0)</f>
        <v>29456.923545</v>
      </c>
      <c r="H367" s="61" t="n">
        <f aca="false">VLOOKUP($D367,$A$25:$H$36,5,0)*(1+$B$5)^($A367-2025)*INDEX($B$40:$M$44,MATCH($E367,$A$40:$A$44,0),$B367)</f>
        <v>19679.157368</v>
      </c>
      <c r="I367" s="62" t="n">
        <f aca="false">IF(H367=0,0,G367/H367)</f>
        <v>1.49685898609152</v>
      </c>
      <c r="J367" s="61" t="n">
        <f aca="false">G367-H367</f>
        <v>9777.766177</v>
      </c>
      <c r="K367" s="61" t="n">
        <f aca="false">SUMIFS($G$48:$G$479,$D$48:$D$479,$D367,$A$48:$A$479,$A367,$B$48:$B$479,"&lt;="&amp;$B367)</f>
        <v>202613.03244</v>
      </c>
      <c r="L367" s="61" t="n">
        <f aca="false">SUMIFS($H$48:$H$479,$D$48:$D$479,$D367,$A$48:$A$479,$A367,$B$48:$B$479,"&lt;="&amp;$B367)</f>
        <v>181625.198408</v>
      </c>
      <c r="M367" s="62" t="n">
        <f aca="false">IF(L367=0,0,K367/L367)</f>
        <v>1.11555573904923</v>
      </c>
    </row>
    <row r="368" customFormat="false" ht="15" hidden="false" customHeight="false" outlineLevel="0" collapsed="false">
      <c r="A368" s="56" t="n">
        <v>2027</v>
      </c>
      <c r="B368" s="56" t="n">
        <v>9</v>
      </c>
      <c r="C368" s="56" t="s">
        <v>180</v>
      </c>
      <c r="D368" s="56" t="s">
        <v>323</v>
      </c>
      <c r="E368" s="56" t="s">
        <v>144</v>
      </c>
      <c r="F368" s="56" t="s">
        <v>337</v>
      </c>
      <c r="G368" s="73" t="n">
        <f aca="false">SUMIFS(DRE_por_UN!$F:$F,DRE_por_UN!$C:$C,$C368,DRE_por_UN!$E:$E,$E368)*VLOOKUP($D368,$A$25:$H$36,4,0)</f>
        <v>26413.243515</v>
      </c>
      <c r="H368" s="61" t="n">
        <f aca="false">VLOOKUP($D368,$A$25:$H$36,5,0)*(1+$B$5)^($A368-2025)*INDEX($B$40:$M$44,MATCH($E368,$A$40:$A$44,0),$B368)</f>
        <v>19821.966928</v>
      </c>
      <c r="I368" s="62" t="n">
        <f aca="false">IF(H368=0,0,G368/H368)</f>
        <v>1.33252384139988</v>
      </c>
      <c r="J368" s="61" t="n">
        <f aca="false">G368-H368</f>
        <v>6591.276587</v>
      </c>
      <c r="K368" s="61" t="n">
        <f aca="false">SUMIFS($G$48:$G$479,$D$48:$D$479,$D368,$A$48:$A$479,$A368,$B$48:$B$479,"&lt;="&amp;$B368)</f>
        <v>229026.275955</v>
      </c>
      <c r="L368" s="61" t="n">
        <f aca="false">SUMIFS($H$48:$H$479,$D$48:$D$479,$D368,$A$48:$A$479,$A368,$B$48:$B$479,"&lt;="&amp;$B368)</f>
        <v>201447.165336</v>
      </c>
      <c r="M368" s="62" t="n">
        <f aca="false">IF(L368=0,0,K368/L368)</f>
        <v>1.13690493273013</v>
      </c>
    </row>
    <row r="369" customFormat="false" ht="15" hidden="false" customHeight="false" outlineLevel="0" collapsed="false">
      <c r="A369" s="56" t="n">
        <v>2027</v>
      </c>
      <c r="B369" s="56" t="n">
        <v>10</v>
      </c>
      <c r="C369" s="56" t="s">
        <v>181</v>
      </c>
      <c r="D369" s="56" t="s">
        <v>323</v>
      </c>
      <c r="E369" s="56" t="s">
        <v>144</v>
      </c>
      <c r="F369" s="56" t="s">
        <v>337</v>
      </c>
      <c r="G369" s="73" t="n">
        <f aca="false">SUMIFS(DRE_por_UN!$F:$F,DRE_por_UN!$C:$C,$C369,DRE_por_UN!$E:$E,$E369)*VLOOKUP($D369,$A$25:$H$36,4,0)</f>
        <v>21820.73616</v>
      </c>
      <c r="H369" s="61" t="n">
        <f aca="false">VLOOKUP($D369,$A$25:$H$36,5,0)*(1+$B$5)^($A369-2025)*INDEX($B$40:$M$44,MATCH($E369,$A$40:$A$44,0),$B369)</f>
        <v>25191.606384</v>
      </c>
      <c r="I369" s="62" t="n">
        <f aca="false">IF(H369=0,0,G369/H369)</f>
        <v>0.866190739382902</v>
      </c>
      <c r="J369" s="61" t="n">
        <f aca="false">G369-H369</f>
        <v>-3370.870224</v>
      </c>
      <c r="K369" s="61" t="n">
        <f aca="false">SUMIFS($G$48:$G$479,$D$48:$D$479,$D369,$A$48:$A$479,$A369,$B$48:$B$479,"&lt;="&amp;$B369)</f>
        <v>250847.012115</v>
      </c>
      <c r="L369" s="61" t="n">
        <f aca="false">SUMIFS($H$48:$H$479,$D$48:$D$479,$D369,$A$48:$A$479,$A369,$B$48:$B$479,"&lt;="&amp;$B369)</f>
        <v>226638.77172</v>
      </c>
      <c r="M369" s="62" t="n">
        <f aca="false">IF(L369=0,0,K369/L369)</f>
        <v>1.10681420575694</v>
      </c>
    </row>
    <row r="370" customFormat="false" ht="15" hidden="false" customHeight="false" outlineLevel="0" collapsed="false">
      <c r="A370" s="56" t="n">
        <v>2027</v>
      </c>
      <c r="B370" s="56" t="n">
        <v>11</v>
      </c>
      <c r="C370" s="56" t="s">
        <v>182</v>
      </c>
      <c r="D370" s="56" t="s">
        <v>323</v>
      </c>
      <c r="E370" s="56" t="s">
        <v>144</v>
      </c>
      <c r="F370" s="56" t="s">
        <v>337</v>
      </c>
      <c r="G370" s="73" t="n">
        <f aca="false">SUMIFS(DRE_por_UN!$F:$F,DRE_por_UN!$C:$C,$C370,DRE_por_UN!$E:$E,$E370)*VLOOKUP($D370,$A$25:$H$36,4,0)</f>
        <v>27871.961085</v>
      </c>
      <c r="H370" s="61" t="n">
        <f aca="false">VLOOKUP($D370,$A$25:$H$36,5,0)*(1+$B$5)^($A370-2025)*INDEX($B$40:$M$44,MATCH($E370,$A$40:$A$44,0),$B370)</f>
        <v>30275.62672</v>
      </c>
      <c r="I370" s="62" t="n">
        <f aca="false">IF(H370=0,0,G370/H370)</f>
        <v>0.920607237721948</v>
      </c>
      <c r="J370" s="61" t="n">
        <f aca="false">G370-H370</f>
        <v>-2403.665635</v>
      </c>
      <c r="K370" s="61" t="n">
        <f aca="false">SUMIFS($G$48:$G$479,$D$48:$D$479,$D370,$A$48:$A$479,$A370,$B$48:$B$479,"&lt;="&amp;$B370)</f>
        <v>278718.9732</v>
      </c>
      <c r="L370" s="61" t="n">
        <f aca="false">SUMIFS($H$48:$H$479,$D$48:$D$479,$D370,$A$48:$A$479,$A370,$B$48:$B$479,"&lt;="&amp;$B370)</f>
        <v>256914.39844</v>
      </c>
      <c r="M370" s="62" t="n">
        <f aca="false">IF(L370=0,0,K370/L370)</f>
        <v>1.08487097216971</v>
      </c>
    </row>
    <row r="371" customFormat="false" ht="15" hidden="false" customHeight="false" outlineLevel="0" collapsed="false">
      <c r="A371" s="56" t="n">
        <v>2027</v>
      </c>
      <c r="B371" s="56" t="n">
        <v>12</v>
      </c>
      <c r="C371" s="56" t="s">
        <v>183</v>
      </c>
      <c r="D371" s="56" t="s">
        <v>323</v>
      </c>
      <c r="E371" s="56" t="s">
        <v>144</v>
      </c>
      <c r="F371" s="56" t="s">
        <v>337</v>
      </c>
      <c r="G371" s="73" t="n">
        <f aca="false">SUMIFS(DRE_por_UN!$F:$F,DRE_por_UN!$C:$C,$C371,DRE_por_UN!$E:$E,$E371)*VLOOKUP($D371,$A$25:$H$36,4,0)</f>
        <v>33013.264365</v>
      </c>
      <c r="H371" s="61" t="n">
        <f aca="false">VLOOKUP($D371,$A$25:$H$36,5,0)*(1+$B$5)^($A371-2025)*INDEX($B$40:$M$44,MATCH($E371,$A$40:$A$44,0),$B371)</f>
        <v>28704.72156</v>
      </c>
      <c r="I371" s="62" t="n">
        <f aca="false">IF(H371=0,0,G371/H371)</f>
        <v>1.1500987492944</v>
      </c>
      <c r="J371" s="61" t="n">
        <f aca="false">G371-H371</f>
        <v>4308.54280500001</v>
      </c>
      <c r="K371" s="61" t="n">
        <f aca="false">SUMIFS($G$48:$G$479,$D$48:$D$479,$D371,$A$48:$A$479,$A371,$B$48:$B$479,"&lt;="&amp;$B371)</f>
        <v>311732.237565</v>
      </c>
      <c r="L371" s="61" t="n">
        <f aca="false">SUMIFS($H$48:$H$479,$D$48:$D$479,$D371,$A$48:$A$479,$A371,$B$48:$B$479,"&lt;="&amp;$B371)</f>
        <v>285619.12</v>
      </c>
      <c r="M371" s="62" t="n">
        <f aca="false">IF(L371=0,0,K371/L371)</f>
        <v>1.09142636377074</v>
      </c>
    </row>
    <row r="372" customFormat="false" ht="15" hidden="false" customHeight="false" outlineLevel="0" collapsed="false">
      <c r="A372" s="56" t="n">
        <v>2025</v>
      </c>
      <c r="B372" s="56" t="n">
        <v>1</v>
      </c>
      <c r="C372" s="56" t="s">
        <v>148</v>
      </c>
      <c r="D372" s="56" t="s">
        <v>324</v>
      </c>
      <c r="E372" s="56" t="s">
        <v>145</v>
      </c>
      <c r="F372" s="56" t="s">
        <v>337</v>
      </c>
      <c r="G372" s="73" t="n">
        <f aca="false">SUMIFS(DRE_por_UN!$F:$F,DRE_por_UN!$C:$C,$C372,DRE_por_UN!$E:$E,$E372)*VLOOKUP($D372,$A$25:$H$36,4,0)</f>
        <v>30001.371</v>
      </c>
      <c r="H372" s="61" t="n">
        <f aca="false">VLOOKUP($D372,$A$25:$H$36,5,0)*(1+$B$5)^($A372-2025)*INDEX($B$40:$M$44,MATCH($E372,$A$40:$A$44,0),$B372)</f>
        <v>34506.75</v>
      </c>
      <c r="I372" s="62" t="n">
        <f aca="false">IF(H372=0,0,G372/H372)</f>
        <v>0.869434849703319</v>
      </c>
      <c r="J372" s="61" t="n">
        <f aca="false">G372-H372</f>
        <v>-4505.379</v>
      </c>
      <c r="K372" s="61" t="n">
        <f aca="false">SUMIFS($G$48:$G$479,$D$48:$D$479,$D372,$A$48:$A$479,$A372,$B$48:$B$479,"&lt;="&amp;$B372)</f>
        <v>30001.371</v>
      </c>
      <c r="L372" s="61" t="n">
        <f aca="false">SUMIFS($H$48:$H$479,$D$48:$D$479,$D372,$A$48:$A$479,$A372,$B$48:$B$479,"&lt;="&amp;$B372)</f>
        <v>34506.75</v>
      </c>
      <c r="M372" s="62" t="n">
        <f aca="false">IF(L372=0,0,K372/L372)</f>
        <v>0.869434849703319</v>
      </c>
    </row>
    <row r="373" customFormat="false" ht="15" hidden="false" customHeight="false" outlineLevel="0" collapsed="false">
      <c r="A373" s="56" t="n">
        <v>2025</v>
      </c>
      <c r="B373" s="56" t="n">
        <v>2</v>
      </c>
      <c r="C373" s="56" t="s">
        <v>149</v>
      </c>
      <c r="D373" s="56" t="s">
        <v>324</v>
      </c>
      <c r="E373" s="56" t="s">
        <v>145</v>
      </c>
      <c r="F373" s="56" t="s">
        <v>337</v>
      </c>
      <c r="G373" s="73" t="n">
        <f aca="false">SUMIFS(DRE_por_UN!$F:$F,DRE_por_UN!$C:$C,$C373,DRE_por_UN!$E:$E,$E373)*VLOOKUP($D373,$A$25:$H$36,4,0)</f>
        <v>29092.746</v>
      </c>
      <c r="H373" s="61" t="n">
        <f aca="false">VLOOKUP($D373,$A$25:$H$36,5,0)*(1+$B$5)^($A373-2025)*INDEX($B$40:$M$44,MATCH($E373,$A$40:$A$44,0),$B373)</f>
        <v>33464.1</v>
      </c>
      <c r="I373" s="62" t="n">
        <f aca="false">IF(H373=0,0,G373/H373)</f>
        <v>0.869371834294065</v>
      </c>
      <c r="J373" s="61" t="n">
        <f aca="false">G373-H373</f>
        <v>-4371.354</v>
      </c>
      <c r="K373" s="61" t="n">
        <f aca="false">SUMIFS($G$48:$G$479,$D$48:$D$479,$D373,$A$48:$A$479,$A373,$B$48:$B$479,"&lt;="&amp;$B373)</f>
        <v>59094.117</v>
      </c>
      <c r="L373" s="61" t="n">
        <f aca="false">SUMIFS($H$48:$H$479,$D$48:$D$479,$D373,$A$48:$A$479,$A373,$B$48:$B$479,"&lt;="&amp;$B373)</f>
        <v>67970.85</v>
      </c>
      <c r="M373" s="62" t="n">
        <f aca="false">IF(L373=0,0,K373/L373)</f>
        <v>0.869403825316294</v>
      </c>
    </row>
    <row r="374" customFormat="false" ht="15" hidden="false" customHeight="false" outlineLevel="0" collapsed="false">
      <c r="A374" s="56" t="n">
        <v>2025</v>
      </c>
      <c r="B374" s="56" t="n">
        <v>3</v>
      </c>
      <c r="C374" s="56" t="s">
        <v>150</v>
      </c>
      <c r="D374" s="56" t="s">
        <v>324</v>
      </c>
      <c r="E374" s="56" t="s">
        <v>145</v>
      </c>
      <c r="F374" s="56" t="s">
        <v>337</v>
      </c>
      <c r="G374" s="73" t="n">
        <f aca="false">SUMIFS(DRE_por_UN!$F:$F,DRE_por_UN!$C:$C,$C374,DRE_por_UN!$E:$E,$E374)*VLOOKUP($D374,$A$25:$H$36,4,0)</f>
        <v>34981.296</v>
      </c>
      <c r="H374" s="61" t="n">
        <f aca="false">VLOOKUP($D374,$A$25:$H$36,5,0)*(1+$B$5)^($A374-2025)*INDEX($B$40:$M$44,MATCH($E374,$A$40:$A$44,0),$B374)</f>
        <v>40216.5</v>
      </c>
      <c r="I374" s="62" t="n">
        <f aca="false">IF(H374=0,0,G374/H374)</f>
        <v>0.869824475028906</v>
      </c>
      <c r="J374" s="61" t="n">
        <f aca="false">G374-H374</f>
        <v>-5235.204</v>
      </c>
      <c r="K374" s="61" t="n">
        <f aca="false">SUMIFS($G$48:$G$479,$D$48:$D$479,$D374,$A$48:$A$479,$A374,$B$48:$B$479,"&lt;="&amp;$B374)</f>
        <v>94075.413</v>
      </c>
      <c r="L374" s="61" t="n">
        <f aca="false">SUMIFS($H$48:$H$479,$D$48:$D$479,$D374,$A$48:$A$479,$A374,$B$48:$B$479,"&lt;="&amp;$B374)</f>
        <v>108187.35</v>
      </c>
      <c r="M374" s="62" t="n">
        <f aca="false">IF(L374=0,0,K374/L374)</f>
        <v>0.869560193497669</v>
      </c>
    </row>
    <row r="375" customFormat="false" ht="15" hidden="false" customHeight="false" outlineLevel="0" collapsed="false">
      <c r="A375" s="56" t="n">
        <v>2025</v>
      </c>
      <c r="B375" s="56" t="n">
        <v>4</v>
      </c>
      <c r="C375" s="56" t="s">
        <v>151</v>
      </c>
      <c r="D375" s="56" t="s">
        <v>324</v>
      </c>
      <c r="E375" s="56" t="s">
        <v>145</v>
      </c>
      <c r="F375" s="56" t="s">
        <v>337</v>
      </c>
      <c r="G375" s="73" t="n">
        <f aca="false">SUMIFS(DRE_por_UN!$F:$F,DRE_por_UN!$C:$C,$C375,DRE_por_UN!$E:$E,$E375)*VLOOKUP($D375,$A$25:$H$36,4,0)</f>
        <v>33745.116</v>
      </c>
      <c r="H375" s="61" t="n">
        <f aca="false">VLOOKUP($D375,$A$25:$H$36,5,0)*(1+$B$5)^($A375-2025)*INDEX($B$40:$M$44,MATCH($E375,$A$40:$A$44,0),$B375)</f>
        <v>38826.3</v>
      </c>
      <c r="I375" s="62" t="n">
        <f aca="false">IF(H375=0,0,G375/H375)</f>
        <v>0.869130357515396</v>
      </c>
      <c r="J375" s="61" t="n">
        <f aca="false">G375-H375</f>
        <v>-5081.184</v>
      </c>
      <c r="K375" s="61" t="n">
        <f aca="false">SUMIFS($G$48:$G$479,$D$48:$D$479,$D375,$A$48:$A$479,$A375,$B$48:$B$479,"&lt;="&amp;$B375)</f>
        <v>127820.529</v>
      </c>
      <c r="L375" s="61" t="n">
        <f aca="false">SUMIFS($H$48:$H$479,$D$48:$D$479,$D375,$A$48:$A$479,$A375,$B$48:$B$479,"&lt;="&amp;$B375)</f>
        <v>147013.65</v>
      </c>
      <c r="M375" s="62" t="n">
        <f aca="false">IF(L375=0,0,K375/L375)</f>
        <v>0.869446673829267</v>
      </c>
    </row>
    <row r="376" customFormat="false" ht="15" hidden="false" customHeight="false" outlineLevel="0" collapsed="false">
      <c r="A376" s="56" t="n">
        <v>2025</v>
      </c>
      <c r="B376" s="56" t="n">
        <v>5</v>
      </c>
      <c r="C376" s="56" t="s">
        <v>152</v>
      </c>
      <c r="D376" s="56" t="s">
        <v>324</v>
      </c>
      <c r="E376" s="56" t="s">
        <v>145</v>
      </c>
      <c r="F376" s="56" t="s">
        <v>337</v>
      </c>
      <c r="G376" s="73" t="n">
        <f aca="false">SUMIFS(DRE_por_UN!$F:$F,DRE_por_UN!$C:$C,$C376,DRE_por_UN!$E:$E,$E376)*VLOOKUP($D376,$A$25:$H$36,4,0)</f>
        <v>34735.98</v>
      </c>
      <c r="H376" s="61" t="n">
        <f aca="false">VLOOKUP($D376,$A$25:$H$36,5,0)*(1+$B$5)^($A376-2025)*INDEX($B$40:$M$44,MATCH($E376,$A$40:$A$44,0),$B376)</f>
        <v>39968.25</v>
      </c>
      <c r="I376" s="62" t="n">
        <f aca="false">IF(H376=0,0,G376/H376)</f>
        <v>0.869089339663358</v>
      </c>
      <c r="J376" s="61" t="n">
        <f aca="false">G376-H376</f>
        <v>-5232.27</v>
      </c>
      <c r="K376" s="61" t="n">
        <f aca="false">SUMIFS($G$48:$G$479,$D$48:$D$479,$D376,$A$48:$A$479,$A376,$B$48:$B$479,"&lt;="&amp;$B376)</f>
        <v>162556.509</v>
      </c>
      <c r="L376" s="61" t="n">
        <f aca="false">SUMIFS($H$48:$H$479,$D$48:$D$479,$D376,$A$48:$A$479,$A376,$B$48:$B$479,"&lt;="&amp;$B376)</f>
        <v>186981.9</v>
      </c>
      <c r="M376" s="62" t="n">
        <f aca="false">IF(L376=0,0,K376/L376)</f>
        <v>0.869370291990829</v>
      </c>
    </row>
    <row r="377" customFormat="false" ht="15" hidden="false" customHeight="false" outlineLevel="0" collapsed="false">
      <c r="A377" s="56" t="n">
        <v>2025</v>
      </c>
      <c r="B377" s="56" t="n">
        <v>6</v>
      </c>
      <c r="C377" s="56" t="s">
        <v>153</v>
      </c>
      <c r="D377" s="56" t="s">
        <v>324</v>
      </c>
      <c r="E377" s="56" t="s">
        <v>145</v>
      </c>
      <c r="F377" s="56" t="s">
        <v>337</v>
      </c>
      <c r="G377" s="73" t="n">
        <f aca="false">SUMIFS(DRE_por_UN!$F:$F,DRE_por_UN!$C:$C,$C377,DRE_por_UN!$E:$E,$E377)*VLOOKUP($D377,$A$25:$H$36,4,0)</f>
        <v>36510.21</v>
      </c>
      <c r="H377" s="61" t="n">
        <f aca="false">VLOOKUP($D377,$A$25:$H$36,5,0)*(1+$B$5)^($A377-2025)*INDEX($B$40:$M$44,MATCH($E377,$A$40:$A$44,0),$B377)</f>
        <v>42003.9</v>
      </c>
      <c r="I377" s="62" t="n">
        <f aca="false">IF(H377=0,0,G377/H377)</f>
        <v>0.869210001928393</v>
      </c>
      <c r="J377" s="61" t="n">
        <f aca="false">G377-H377</f>
        <v>-5493.69</v>
      </c>
      <c r="K377" s="61" t="n">
        <f aca="false">SUMIFS($G$48:$G$479,$D$48:$D$479,$D377,$A$48:$A$479,$A377,$B$48:$B$479,"&lt;="&amp;$B377)</f>
        <v>199066.719</v>
      </c>
      <c r="L377" s="61" t="n">
        <f aca="false">SUMIFS($H$48:$H$479,$D$48:$D$479,$D377,$A$48:$A$479,$A377,$B$48:$B$479,"&lt;="&amp;$B377)</f>
        <v>228985.8</v>
      </c>
      <c r="M377" s="62" t="n">
        <f aca="false">IF(L377=0,0,K377/L377)</f>
        <v>0.869340889260382</v>
      </c>
    </row>
    <row r="378" customFormat="false" ht="15" hidden="false" customHeight="false" outlineLevel="0" collapsed="false">
      <c r="A378" s="56" t="n">
        <v>2025</v>
      </c>
      <c r="B378" s="56" t="n">
        <v>7</v>
      </c>
      <c r="C378" s="56" t="s">
        <v>154</v>
      </c>
      <c r="D378" s="56" t="s">
        <v>324</v>
      </c>
      <c r="E378" s="56" t="s">
        <v>145</v>
      </c>
      <c r="F378" s="56" t="s">
        <v>337</v>
      </c>
      <c r="G378" s="73" t="n">
        <f aca="false">SUMIFS(DRE_por_UN!$F:$F,DRE_por_UN!$C:$C,$C378,DRE_por_UN!$E:$E,$E378)*VLOOKUP($D378,$A$25:$H$36,4,0)</f>
        <v>36464.472</v>
      </c>
      <c r="H378" s="61" t="n">
        <f aca="false">VLOOKUP($D378,$A$25:$H$36,5,0)*(1+$B$5)^($A378-2025)*INDEX($B$40:$M$44,MATCH($E378,$A$40:$A$44,0),$B378)</f>
        <v>41954.25</v>
      </c>
      <c r="I378" s="62" t="n">
        <f aca="false">IF(H378=0,0,G378/H378)</f>
        <v>0.869148465292551</v>
      </c>
      <c r="J378" s="61" t="n">
        <f aca="false">G378-H378</f>
        <v>-5489.778</v>
      </c>
      <c r="K378" s="61" t="n">
        <f aca="false">SUMIFS($G$48:$G$479,$D$48:$D$479,$D378,$A$48:$A$479,$A378,$B$48:$B$479,"&lt;="&amp;$B378)</f>
        <v>235531.191</v>
      </c>
      <c r="L378" s="61" t="n">
        <f aca="false">SUMIFS($H$48:$H$479,$D$48:$D$479,$D378,$A$48:$A$479,$A378,$B$48:$B$479,"&lt;="&amp;$B378)</f>
        <v>270940.05</v>
      </c>
      <c r="M378" s="62" t="n">
        <f aca="false">IF(L378=0,0,K378/L378)</f>
        <v>0.869311092989021</v>
      </c>
    </row>
    <row r="379" customFormat="false" ht="15" hidden="false" customHeight="false" outlineLevel="0" collapsed="false">
      <c r="A379" s="56" t="n">
        <v>2025</v>
      </c>
      <c r="B379" s="56" t="n">
        <v>8</v>
      </c>
      <c r="C379" s="56" t="s">
        <v>155</v>
      </c>
      <c r="D379" s="56" t="s">
        <v>324</v>
      </c>
      <c r="E379" s="56" t="s">
        <v>145</v>
      </c>
      <c r="F379" s="56" t="s">
        <v>337</v>
      </c>
      <c r="G379" s="73" t="n">
        <f aca="false">SUMIFS(DRE_por_UN!$F:$F,DRE_por_UN!$C:$C,$C379,DRE_por_UN!$E:$E,$E379)*VLOOKUP($D379,$A$25:$H$36,4,0)</f>
        <v>35102.925</v>
      </c>
      <c r="H379" s="61" t="n">
        <f aca="false">VLOOKUP($D379,$A$25:$H$36,5,0)*(1+$B$5)^($A379-2025)*INDEX($B$40:$M$44,MATCH($E379,$A$40:$A$44,0),$B379)</f>
        <v>40365.45</v>
      </c>
      <c r="I379" s="62" t="n">
        <f aca="false">IF(H379=0,0,G379/H379)</f>
        <v>0.869627986310075</v>
      </c>
      <c r="J379" s="61" t="n">
        <f aca="false">G379-H379</f>
        <v>-5262.525</v>
      </c>
      <c r="K379" s="61" t="n">
        <f aca="false">SUMIFS($G$48:$G$479,$D$48:$D$479,$D379,$A$48:$A$479,$A379,$B$48:$B$479,"&lt;="&amp;$B379)</f>
        <v>270634.116</v>
      </c>
      <c r="L379" s="61" t="n">
        <f aca="false">SUMIFS($H$48:$H$479,$D$48:$D$479,$D379,$A$48:$A$479,$A379,$B$48:$B$479,"&lt;="&amp;$B379)</f>
        <v>311305.5</v>
      </c>
      <c r="M379" s="62" t="n">
        <f aca="false">IF(L379=0,0,K379/L379)</f>
        <v>0.869352182984239</v>
      </c>
    </row>
    <row r="380" customFormat="false" ht="15" hidden="false" customHeight="false" outlineLevel="0" collapsed="false">
      <c r="A380" s="56" t="n">
        <v>2025</v>
      </c>
      <c r="B380" s="56" t="n">
        <v>9</v>
      </c>
      <c r="C380" s="56" t="s">
        <v>156</v>
      </c>
      <c r="D380" s="56" t="s">
        <v>324</v>
      </c>
      <c r="E380" s="56" t="s">
        <v>145</v>
      </c>
      <c r="F380" s="56" t="s">
        <v>337</v>
      </c>
      <c r="G380" s="73" t="n">
        <f aca="false">SUMIFS(DRE_por_UN!$F:$F,DRE_por_UN!$C:$C,$C380,DRE_por_UN!$E:$E,$E380)*VLOOKUP($D380,$A$25:$H$36,4,0)</f>
        <v>35415.924</v>
      </c>
      <c r="H380" s="61" t="n">
        <f aca="false">VLOOKUP($D380,$A$25:$H$36,5,0)*(1+$B$5)^($A380-2025)*INDEX($B$40:$M$44,MATCH($E380,$A$40:$A$44,0),$B380)</f>
        <v>40713</v>
      </c>
      <c r="I380" s="62" t="n">
        <f aca="false">IF(H380=0,0,G380/H380)</f>
        <v>0.869892270282219</v>
      </c>
      <c r="J380" s="61" t="n">
        <f aca="false">G380-H380</f>
        <v>-5297.076</v>
      </c>
      <c r="K380" s="61" t="n">
        <f aca="false">SUMIFS($G$48:$G$479,$D$48:$D$479,$D380,$A$48:$A$479,$A380,$B$48:$B$479,"&lt;="&amp;$B380)</f>
        <v>306050.04</v>
      </c>
      <c r="L380" s="61" t="n">
        <f aca="false">SUMIFS($H$48:$H$479,$D$48:$D$479,$D380,$A$48:$A$479,$A380,$B$48:$B$479,"&lt;="&amp;$B380)</f>
        <v>352018.5</v>
      </c>
      <c r="M380" s="62" t="n">
        <f aca="false">IF(L380=0,0,K380/L380)</f>
        <v>0.869414647241551</v>
      </c>
    </row>
    <row r="381" customFormat="false" ht="15" hidden="false" customHeight="false" outlineLevel="0" collapsed="false">
      <c r="A381" s="56" t="n">
        <v>2025</v>
      </c>
      <c r="B381" s="56" t="n">
        <v>10</v>
      </c>
      <c r="C381" s="56" t="s">
        <v>157</v>
      </c>
      <c r="D381" s="56" t="s">
        <v>324</v>
      </c>
      <c r="E381" s="56" t="s">
        <v>145</v>
      </c>
      <c r="F381" s="56" t="s">
        <v>337</v>
      </c>
      <c r="G381" s="73" t="n">
        <f aca="false">SUMIFS(DRE_por_UN!$F:$F,DRE_por_UN!$C:$C,$C381,DRE_por_UN!$E:$E,$E381)*VLOOKUP($D381,$A$25:$H$36,4,0)</f>
        <v>35742.816</v>
      </c>
      <c r="H381" s="61" t="n">
        <f aca="false">VLOOKUP($D381,$A$25:$H$36,5,0)*(1+$B$5)^($A381-2025)*INDEX($B$40:$M$44,MATCH($E381,$A$40:$A$44,0),$B381)</f>
        <v>41110.2</v>
      </c>
      <c r="I381" s="62" t="n">
        <f aca="false">IF(H381=0,0,G381/H381)</f>
        <v>0.869439117299356</v>
      </c>
      <c r="J381" s="61" t="n">
        <f aca="false">G381-H381</f>
        <v>-5367.384</v>
      </c>
      <c r="K381" s="61" t="n">
        <f aca="false">SUMIFS($G$48:$G$479,$D$48:$D$479,$D381,$A$48:$A$479,$A381,$B$48:$B$479,"&lt;="&amp;$B381)</f>
        <v>341792.856</v>
      </c>
      <c r="L381" s="61" t="n">
        <f aca="false">SUMIFS($H$48:$H$479,$D$48:$D$479,$D381,$A$48:$A$479,$A381,$B$48:$B$479,"&lt;="&amp;$B381)</f>
        <v>393128.7</v>
      </c>
      <c r="M381" s="62" t="n">
        <f aca="false">IF(L381=0,0,K381/L381)</f>
        <v>0.869417206121049</v>
      </c>
    </row>
    <row r="382" customFormat="false" ht="15" hidden="false" customHeight="false" outlineLevel="0" collapsed="false">
      <c r="A382" s="56" t="n">
        <v>2025</v>
      </c>
      <c r="B382" s="56" t="n">
        <v>11</v>
      </c>
      <c r="C382" s="56" t="s">
        <v>158</v>
      </c>
      <c r="D382" s="56" t="s">
        <v>324</v>
      </c>
      <c r="E382" s="56" t="s">
        <v>145</v>
      </c>
      <c r="F382" s="56" t="s">
        <v>337</v>
      </c>
      <c r="G382" s="73" t="n">
        <f aca="false">SUMIFS(DRE_por_UN!$F:$F,DRE_por_UN!$C:$C,$C382,DRE_por_UN!$E:$E,$E382)*VLOOKUP($D382,$A$25:$H$36,4,0)</f>
        <v>44262.816</v>
      </c>
      <c r="H382" s="61" t="n">
        <f aca="false">VLOOKUP($D382,$A$25:$H$36,5,0)*(1+$B$5)^($A382-2025)*INDEX($B$40:$M$44,MATCH($E382,$A$40:$A$44,0),$B382)</f>
        <v>50891.25</v>
      </c>
      <c r="I382" s="62" t="n">
        <f aca="false">IF(H382=0,0,G382/H382)</f>
        <v>0.869752973251787</v>
      </c>
      <c r="J382" s="61" t="n">
        <f aca="false">G382-H382</f>
        <v>-6628.434</v>
      </c>
      <c r="K382" s="61" t="n">
        <f aca="false">SUMIFS($G$48:$G$479,$D$48:$D$479,$D382,$A$48:$A$479,$A382,$B$48:$B$479,"&lt;="&amp;$B382)</f>
        <v>386055.672</v>
      </c>
      <c r="L382" s="61" t="n">
        <f aca="false">SUMIFS($H$48:$H$479,$D$48:$D$479,$D382,$A$48:$A$479,$A382,$B$48:$B$479,"&lt;="&amp;$B382)</f>
        <v>444019.95</v>
      </c>
      <c r="M382" s="62" t="n">
        <f aca="false">IF(L382=0,0,K382/L382)</f>
        <v>0.869455689997713</v>
      </c>
    </row>
    <row r="383" customFormat="false" ht="15" hidden="false" customHeight="false" outlineLevel="0" collapsed="false">
      <c r="A383" s="56" t="n">
        <v>2025</v>
      </c>
      <c r="B383" s="56" t="n">
        <v>12</v>
      </c>
      <c r="C383" s="56" t="s">
        <v>159</v>
      </c>
      <c r="D383" s="56" t="s">
        <v>324</v>
      </c>
      <c r="E383" s="56" t="s">
        <v>145</v>
      </c>
      <c r="F383" s="56" t="s">
        <v>337</v>
      </c>
      <c r="G383" s="73" t="n">
        <f aca="false">SUMIFS(DRE_por_UN!$F:$F,DRE_por_UN!$C:$C,$C383,DRE_por_UN!$E:$E,$E383)*VLOOKUP($D383,$A$25:$H$36,4,0)</f>
        <v>45663.564</v>
      </c>
      <c r="H383" s="61" t="n">
        <f aca="false">VLOOKUP($D383,$A$25:$H$36,5,0)*(1+$B$5)^($A383-2025)*INDEX($B$40:$M$44,MATCH($E383,$A$40:$A$44,0),$B383)</f>
        <v>52529.7</v>
      </c>
      <c r="I383" s="62" t="n">
        <f aca="false">IF(H383=0,0,G383/H383)</f>
        <v>0.869290401430048</v>
      </c>
      <c r="J383" s="61" t="n">
        <f aca="false">G383-H383</f>
        <v>-6866.13600000001</v>
      </c>
      <c r="K383" s="61" t="n">
        <f aca="false">SUMIFS($G$48:$G$479,$D$48:$D$479,$D383,$A$48:$A$479,$A383,$B$48:$B$479,"&lt;="&amp;$B383)</f>
        <v>431719.236</v>
      </c>
      <c r="L383" s="61" t="n">
        <f aca="false">SUMIFS($H$48:$H$479,$D$48:$D$479,$D383,$A$48:$A$479,$A383,$B$48:$B$479,"&lt;="&amp;$B383)</f>
        <v>496549.65</v>
      </c>
      <c r="M383" s="62" t="n">
        <f aca="false">IF(L383=0,0,K383/L383)</f>
        <v>0.869438204215832</v>
      </c>
    </row>
    <row r="384" customFormat="false" ht="15" hidden="false" customHeight="false" outlineLevel="0" collapsed="false">
      <c r="A384" s="56" t="n">
        <v>2026</v>
      </c>
      <c r="B384" s="56" t="n">
        <v>1</v>
      </c>
      <c r="C384" s="56" t="s">
        <v>160</v>
      </c>
      <c r="D384" s="56" t="s">
        <v>324</v>
      </c>
      <c r="E384" s="56" t="s">
        <v>145</v>
      </c>
      <c r="F384" s="56" t="s">
        <v>337</v>
      </c>
      <c r="G384" s="73" t="n">
        <f aca="false">SUMIFS(DRE_por_UN!$F:$F,DRE_por_UN!$C:$C,$C384,DRE_por_UN!$E:$E,$E384)*VLOOKUP($D384,$A$25:$H$36,4,0)</f>
        <v>32482.644</v>
      </c>
      <c r="H384" s="61" t="n">
        <f aca="false">VLOOKUP($D384,$A$25:$H$36,5,0)*(1+$B$5)^($A384-2025)*INDEX($B$40:$M$44,MATCH($E384,$A$40:$A$44,0),$B384)</f>
        <v>36577.155</v>
      </c>
      <c r="I384" s="62" t="n">
        <f aca="false">IF(H384=0,0,G384/H384)</f>
        <v>0.888058242911456</v>
      </c>
      <c r="J384" s="61" t="n">
        <f aca="false">G384-H384</f>
        <v>-4094.51100000001</v>
      </c>
      <c r="K384" s="61" t="n">
        <f aca="false">SUMIFS($G$48:$G$479,$D$48:$D$479,$D384,$A$48:$A$479,$A384,$B$48:$B$479,"&lt;="&amp;$B384)</f>
        <v>32482.644</v>
      </c>
      <c r="L384" s="61" t="n">
        <f aca="false">SUMIFS($H$48:$H$479,$D$48:$D$479,$D384,$A$48:$A$479,$A384,$B$48:$B$479,"&lt;="&amp;$B384)</f>
        <v>36577.155</v>
      </c>
      <c r="M384" s="62" t="n">
        <f aca="false">IF(L384=0,0,K384/L384)</f>
        <v>0.888058242911456</v>
      </c>
    </row>
    <row r="385" customFormat="false" ht="15" hidden="false" customHeight="false" outlineLevel="0" collapsed="false">
      <c r="A385" s="56" t="n">
        <v>2026</v>
      </c>
      <c r="B385" s="56" t="n">
        <v>2</v>
      </c>
      <c r="C385" s="56" t="s">
        <v>161</v>
      </c>
      <c r="D385" s="56" t="s">
        <v>324</v>
      </c>
      <c r="E385" s="56" t="s">
        <v>145</v>
      </c>
      <c r="F385" s="56" t="s">
        <v>337</v>
      </c>
      <c r="G385" s="73" t="n">
        <f aca="false">SUMIFS(DRE_por_UN!$F:$F,DRE_por_UN!$C:$C,$C385,DRE_por_UN!$E:$E,$E385)*VLOOKUP($D385,$A$25:$H$36,4,0)</f>
        <v>30726.756</v>
      </c>
      <c r="H385" s="61" t="n">
        <f aca="false">VLOOKUP($D385,$A$25:$H$36,5,0)*(1+$B$5)^($A385-2025)*INDEX($B$40:$M$44,MATCH($E385,$A$40:$A$44,0),$B385)</f>
        <v>35471.946</v>
      </c>
      <c r="I385" s="62" t="n">
        <f aca="false">IF(H385=0,0,G385/H385)</f>
        <v>0.866226961441585</v>
      </c>
      <c r="J385" s="61" t="n">
        <f aca="false">G385-H385</f>
        <v>-4745.19</v>
      </c>
      <c r="K385" s="61" t="n">
        <f aca="false">SUMIFS($G$48:$G$479,$D$48:$D$479,$D385,$A$48:$A$479,$A385,$B$48:$B$479,"&lt;="&amp;$B385)</f>
        <v>63209.4</v>
      </c>
      <c r="L385" s="61" t="n">
        <f aca="false">SUMIFS($H$48:$H$479,$D$48:$D$479,$D385,$A$48:$A$479,$A385,$B$48:$B$479,"&lt;="&amp;$B385)</f>
        <v>72049.101</v>
      </c>
      <c r="M385" s="62" t="n">
        <f aca="false">IF(L385=0,0,K385/L385)</f>
        <v>0.877310044437612</v>
      </c>
    </row>
    <row r="386" customFormat="false" ht="15" hidden="false" customHeight="false" outlineLevel="0" collapsed="false">
      <c r="A386" s="56" t="n">
        <v>2026</v>
      </c>
      <c r="B386" s="56" t="n">
        <v>3</v>
      </c>
      <c r="C386" s="56" t="s">
        <v>162</v>
      </c>
      <c r="D386" s="56" t="s">
        <v>324</v>
      </c>
      <c r="E386" s="56" t="s">
        <v>145</v>
      </c>
      <c r="F386" s="56" t="s">
        <v>337</v>
      </c>
      <c r="G386" s="73" t="n">
        <f aca="false">SUMIFS(DRE_por_UN!$F:$F,DRE_por_UN!$C:$C,$C386,DRE_por_UN!$E:$E,$E386)*VLOOKUP($D386,$A$25:$H$36,4,0)</f>
        <v>35738.139</v>
      </c>
      <c r="H386" s="61" t="n">
        <f aca="false">VLOOKUP($D386,$A$25:$H$36,5,0)*(1+$B$5)^($A386-2025)*INDEX($B$40:$M$44,MATCH($E386,$A$40:$A$44,0),$B386)</f>
        <v>42629.49</v>
      </c>
      <c r="I386" s="62" t="n">
        <f aca="false">IF(H386=0,0,G386/H386)</f>
        <v>0.838343104738058</v>
      </c>
      <c r="J386" s="61" t="n">
        <f aca="false">G386-H386</f>
        <v>-6891.351</v>
      </c>
      <c r="K386" s="61" t="n">
        <f aca="false">SUMIFS($G$48:$G$479,$D$48:$D$479,$D386,$A$48:$A$479,$A386,$B$48:$B$479,"&lt;="&amp;$B386)</f>
        <v>98947.539</v>
      </c>
      <c r="L386" s="61" t="n">
        <f aca="false">SUMIFS($H$48:$H$479,$D$48:$D$479,$D386,$A$48:$A$479,$A386,$B$48:$B$479,"&lt;="&amp;$B386)</f>
        <v>114678.591</v>
      </c>
      <c r="M386" s="62" t="n">
        <f aca="false">IF(L386=0,0,K386/L386)</f>
        <v>0.862824858041725</v>
      </c>
    </row>
    <row r="387" customFormat="false" ht="15" hidden="false" customHeight="false" outlineLevel="0" collapsed="false">
      <c r="A387" s="56" t="n">
        <v>2026</v>
      </c>
      <c r="B387" s="56" t="n">
        <v>4</v>
      </c>
      <c r="C387" s="56" t="s">
        <v>163</v>
      </c>
      <c r="D387" s="56" t="s">
        <v>324</v>
      </c>
      <c r="E387" s="56" t="s">
        <v>145</v>
      </c>
      <c r="F387" s="56" t="s">
        <v>337</v>
      </c>
      <c r="G387" s="73" t="n">
        <f aca="false">SUMIFS(DRE_por_UN!$F:$F,DRE_por_UN!$C:$C,$C387,DRE_por_UN!$E:$E,$E387)*VLOOKUP($D387,$A$25:$H$36,4,0)</f>
        <v>34349.715</v>
      </c>
      <c r="H387" s="61" t="n">
        <f aca="false">VLOOKUP($D387,$A$25:$H$36,5,0)*(1+$B$5)^($A387-2025)*INDEX($B$40:$M$44,MATCH($E387,$A$40:$A$44,0),$B387)</f>
        <v>41155.878</v>
      </c>
      <c r="I387" s="62" t="n">
        <f aca="false">IF(H387=0,0,G387/H387)</f>
        <v>0.834624764899925</v>
      </c>
      <c r="J387" s="61" t="n">
        <f aca="false">G387-H387</f>
        <v>-6806.16300000001</v>
      </c>
      <c r="K387" s="61" t="n">
        <f aca="false">SUMIFS($G$48:$G$479,$D$48:$D$479,$D387,$A$48:$A$479,$A387,$B$48:$B$479,"&lt;="&amp;$B387)</f>
        <v>133297.254</v>
      </c>
      <c r="L387" s="61" t="n">
        <f aca="false">SUMIFS($H$48:$H$479,$D$48:$D$479,$D387,$A$48:$A$479,$A387,$B$48:$B$479,"&lt;="&amp;$B387)</f>
        <v>155834.469</v>
      </c>
      <c r="M387" s="62" t="n">
        <f aca="false">IF(L387=0,0,K387/L387)</f>
        <v>0.855377214395359</v>
      </c>
    </row>
    <row r="388" customFormat="false" ht="15" hidden="false" customHeight="false" outlineLevel="0" collapsed="false">
      <c r="A388" s="56" t="n">
        <v>2026</v>
      </c>
      <c r="B388" s="56" t="n">
        <v>5</v>
      </c>
      <c r="C388" s="56" t="s">
        <v>164</v>
      </c>
      <c r="D388" s="56" t="s">
        <v>324</v>
      </c>
      <c r="E388" s="56" t="s">
        <v>145</v>
      </c>
      <c r="F388" s="56" t="s">
        <v>337</v>
      </c>
      <c r="G388" s="73" t="n">
        <f aca="false">SUMIFS(DRE_por_UN!$F:$F,DRE_por_UN!$C:$C,$C388,DRE_por_UN!$E:$E,$E388)*VLOOKUP($D388,$A$25:$H$36,4,0)</f>
        <v>37797.204</v>
      </c>
      <c r="H388" s="61" t="n">
        <f aca="false">VLOOKUP($D388,$A$25:$H$36,5,0)*(1+$B$5)^($A388-2025)*INDEX($B$40:$M$44,MATCH($E388,$A$40:$A$44,0),$B388)</f>
        <v>42366.345</v>
      </c>
      <c r="I388" s="62" t="n">
        <f aca="false">IF(H388=0,0,G388/H388)</f>
        <v>0.892151635927055</v>
      </c>
      <c r="J388" s="61" t="n">
        <f aca="false">G388-H388</f>
        <v>-4569.141</v>
      </c>
      <c r="K388" s="61" t="n">
        <f aca="false">SUMIFS($G$48:$G$479,$D$48:$D$479,$D388,$A$48:$A$479,$A388,$B$48:$B$479,"&lt;="&amp;$B388)</f>
        <v>171094.458</v>
      </c>
      <c r="L388" s="61" t="n">
        <f aca="false">SUMIFS($H$48:$H$479,$D$48:$D$479,$D388,$A$48:$A$479,$A388,$B$48:$B$479,"&lt;="&amp;$B388)</f>
        <v>198200.814</v>
      </c>
      <c r="M388" s="62" t="n">
        <f aca="false">IF(L388=0,0,K388/L388)</f>
        <v>0.863237917882618</v>
      </c>
    </row>
    <row r="389" customFormat="false" ht="15" hidden="false" customHeight="false" outlineLevel="0" collapsed="false">
      <c r="A389" s="56" t="n">
        <v>2026</v>
      </c>
      <c r="B389" s="56" t="n">
        <v>6</v>
      </c>
      <c r="C389" s="56" t="s">
        <v>165</v>
      </c>
      <c r="D389" s="56" t="s">
        <v>324</v>
      </c>
      <c r="E389" s="56" t="s">
        <v>145</v>
      </c>
      <c r="F389" s="56" t="s">
        <v>337</v>
      </c>
      <c r="G389" s="73" t="n">
        <f aca="false">SUMIFS(DRE_por_UN!$F:$F,DRE_por_UN!$C:$C,$C389,DRE_por_UN!$E:$E,$E389)*VLOOKUP($D389,$A$25:$H$36,4,0)</f>
        <v>38100.111</v>
      </c>
      <c r="H389" s="61" t="n">
        <f aca="false">VLOOKUP($D389,$A$25:$H$36,5,0)*(1+$B$5)^($A389-2025)*INDEX($B$40:$M$44,MATCH($E389,$A$40:$A$44,0),$B389)</f>
        <v>44524.134</v>
      </c>
      <c r="I389" s="62" t="n">
        <f aca="false">IF(H389=0,0,G389/H389)</f>
        <v>0.855718181963966</v>
      </c>
      <c r="J389" s="61" t="n">
        <f aca="false">G389-H389</f>
        <v>-6424.023</v>
      </c>
      <c r="K389" s="61" t="n">
        <f aca="false">SUMIFS($G$48:$G$479,$D$48:$D$479,$D389,$A$48:$A$479,$A389,$B$48:$B$479,"&lt;="&amp;$B389)</f>
        <v>209194.569</v>
      </c>
      <c r="L389" s="61" t="n">
        <f aca="false">SUMIFS($H$48:$H$479,$D$48:$D$479,$D389,$A$48:$A$479,$A389,$B$48:$B$479,"&lt;="&amp;$B389)</f>
        <v>242724.948</v>
      </c>
      <c r="M389" s="62" t="n">
        <f aca="false">IF(L389=0,0,K389/L389)</f>
        <v>0.861858538744027</v>
      </c>
    </row>
    <row r="390" customFormat="false" ht="15" hidden="false" customHeight="false" outlineLevel="0" collapsed="false">
      <c r="A390" s="56" t="n">
        <v>2026</v>
      </c>
      <c r="B390" s="56" t="n">
        <v>7</v>
      </c>
      <c r="C390" s="56" t="s">
        <v>166</v>
      </c>
      <c r="D390" s="56" t="s">
        <v>324</v>
      </c>
      <c r="E390" s="56" t="s">
        <v>145</v>
      </c>
      <c r="F390" s="56" t="s">
        <v>337</v>
      </c>
      <c r="G390" s="73" t="n">
        <f aca="false">SUMIFS(DRE_por_UN!$F:$F,DRE_por_UN!$C:$C,$C390,DRE_por_UN!$E:$E,$E390)*VLOOKUP($D390,$A$25:$H$36,4,0)</f>
        <v>39685.26</v>
      </c>
      <c r="H390" s="61" t="n">
        <f aca="false">VLOOKUP($D390,$A$25:$H$36,5,0)*(1+$B$5)^($A390-2025)*INDEX($B$40:$M$44,MATCH($E390,$A$40:$A$44,0),$B390)</f>
        <v>44471.505</v>
      </c>
      <c r="I390" s="62" t="n">
        <f aca="false">IF(H390=0,0,G390/H390)</f>
        <v>0.892375016316628</v>
      </c>
      <c r="J390" s="61" t="n">
        <f aca="false">G390-H390</f>
        <v>-4786.245</v>
      </c>
      <c r="K390" s="61" t="n">
        <f aca="false">SUMIFS($G$48:$G$479,$D$48:$D$479,$D390,$A$48:$A$479,$A390,$B$48:$B$479,"&lt;="&amp;$B390)</f>
        <v>248879.829</v>
      </c>
      <c r="L390" s="61" t="n">
        <f aca="false">SUMIFS($H$48:$H$479,$D$48:$D$479,$D390,$A$48:$A$479,$A390,$B$48:$B$479,"&lt;="&amp;$B390)</f>
        <v>287196.453</v>
      </c>
      <c r="M390" s="62" t="n">
        <f aca="false">IF(L390=0,0,K390/L390)</f>
        <v>0.86658392330493</v>
      </c>
    </row>
    <row r="391" customFormat="false" ht="15" hidden="false" customHeight="false" outlineLevel="0" collapsed="false">
      <c r="A391" s="56" t="n">
        <v>2026</v>
      </c>
      <c r="B391" s="56" t="n">
        <v>8</v>
      </c>
      <c r="C391" s="56" t="s">
        <v>167</v>
      </c>
      <c r="D391" s="56" t="s">
        <v>324</v>
      </c>
      <c r="E391" s="56" t="s">
        <v>145</v>
      </c>
      <c r="F391" s="56" t="s">
        <v>337</v>
      </c>
      <c r="G391" s="73" t="n">
        <f aca="false">SUMIFS(DRE_por_UN!$F:$F,DRE_por_UN!$C:$C,$C391,DRE_por_UN!$E:$E,$E391)*VLOOKUP($D391,$A$25:$H$36,4,0)</f>
        <v>37212.288</v>
      </c>
      <c r="H391" s="61" t="n">
        <f aca="false">VLOOKUP($D391,$A$25:$H$36,5,0)*(1+$B$5)^($A391-2025)*INDEX($B$40:$M$44,MATCH($E391,$A$40:$A$44,0),$B391)</f>
        <v>42787.377</v>
      </c>
      <c r="I391" s="62" t="n">
        <f aca="false">IF(H391=0,0,G391/H391)</f>
        <v>0.869702482580318</v>
      </c>
      <c r="J391" s="61" t="n">
        <f aca="false">G391-H391</f>
        <v>-5575.089</v>
      </c>
      <c r="K391" s="61" t="n">
        <f aca="false">SUMIFS($G$48:$G$479,$D$48:$D$479,$D391,$A$48:$A$479,$A391,$B$48:$B$479,"&lt;="&amp;$B391)</f>
        <v>286092.117</v>
      </c>
      <c r="L391" s="61" t="n">
        <f aca="false">SUMIFS($H$48:$H$479,$D$48:$D$479,$D391,$A$48:$A$479,$A391,$B$48:$B$479,"&lt;="&amp;$B391)</f>
        <v>329983.83</v>
      </c>
      <c r="M391" s="62" t="n">
        <f aca="false">IF(L391=0,0,K391/L391)</f>
        <v>0.866988291517193</v>
      </c>
    </row>
    <row r="392" customFormat="false" ht="15" hidden="false" customHeight="false" outlineLevel="0" collapsed="false">
      <c r="A392" s="56" t="n">
        <v>2026</v>
      </c>
      <c r="B392" s="56" t="n">
        <v>9</v>
      </c>
      <c r="C392" s="56" t="s">
        <v>168</v>
      </c>
      <c r="D392" s="56" t="s">
        <v>324</v>
      </c>
      <c r="E392" s="56" t="s">
        <v>145</v>
      </c>
      <c r="F392" s="56" t="s">
        <v>337</v>
      </c>
      <c r="G392" s="73" t="n">
        <f aca="false">SUMIFS(DRE_por_UN!$F:$F,DRE_por_UN!$C:$C,$C392,DRE_por_UN!$E:$E,$E392)*VLOOKUP($D392,$A$25:$H$36,4,0)</f>
        <v>35129.118</v>
      </c>
      <c r="H392" s="61" t="n">
        <f aca="false">VLOOKUP($D392,$A$25:$H$36,5,0)*(1+$B$5)^($A392-2025)*INDEX($B$40:$M$44,MATCH($E392,$A$40:$A$44,0),$B392)</f>
        <v>43155.78</v>
      </c>
      <c r="I392" s="62" t="n">
        <f aca="false">IF(H392=0,0,G392/H392)</f>
        <v>0.814007254648161</v>
      </c>
      <c r="J392" s="61" t="n">
        <f aca="false">G392-H392</f>
        <v>-8026.662</v>
      </c>
      <c r="K392" s="61" t="n">
        <f aca="false">SUMIFS($G$48:$G$479,$D$48:$D$479,$D392,$A$48:$A$479,$A392,$B$48:$B$479,"&lt;="&amp;$B392)</f>
        <v>321221.235</v>
      </c>
      <c r="L392" s="61" t="n">
        <f aca="false">SUMIFS($H$48:$H$479,$D$48:$D$479,$D392,$A$48:$A$479,$A392,$B$48:$B$479,"&lt;="&amp;$B392)</f>
        <v>373139.61</v>
      </c>
      <c r="M392" s="62" t="n">
        <f aca="false">IF(L392=0,0,K392/L392)</f>
        <v>0.860860724488617</v>
      </c>
    </row>
    <row r="393" customFormat="false" ht="15" hidden="false" customHeight="false" outlineLevel="0" collapsed="false">
      <c r="A393" s="56" t="n">
        <v>2026</v>
      </c>
      <c r="B393" s="56" t="n">
        <v>10</v>
      </c>
      <c r="C393" s="56" t="s">
        <v>169</v>
      </c>
      <c r="D393" s="56" t="s">
        <v>324</v>
      </c>
      <c r="E393" s="56" t="s">
        <v>145</v>
      </c>
      <c r="F393" s="56" t="s">
        <v>337</v>
      </c>
      <c r="G393" s="73" t="n">
        <f aca="false">SUMIFS(DRE_por_UN!$F:$F,DRE_por_UN!$C:$C,$C393,DRE_por_UN!$E:$E,$E393)*VLOOKUP($D393,$A$25:$H$36,4,0)</f>
        <v>36920.184</v>
      </c>
      <c r="H393" s="61" t="n">
        <f aca="false">VLOOKUP($D393,$A$25:$H$36,5,0)*(1+$B$5)^($A393-2025)*INDEX($B$40:$M$44,MATCH($E393,$A$40:$A$44,0),$B393)</f>
        <v>43576.812</v>
      </c>
      <c r="I393" s="62" t="n">
        <f aca="false">IF(H393=0,0,G393/H393)</f>
        <v>0.847243804801508</v>
      </c>
      <c r="J393" s="61" t="n">
        <f aca="false">G393-H393</f>
        <v>-6656.628</v>
      </c>
      <c r="K393" s="61" t="n">
        <f aca="false">SUMIFS($G$48:$G$479,$D$48:$D$479,$D393,$A$48:$A$479,$A393,$B$48:$B$479,"&lt;="&amp;$B393)</f>
        <v>358141.419</v>
      </c>
      <c r="L393" s="61" t="n">
        <f aca="false">SUMIFS($H$48:$H$479,$D$48:$D$479,$D393,$A$48:$A$479,$A393,$B$48:$B$479,"&lt;="&amp;$B393)</f>
        <v>416716.422</v>
      </c>
      <c r="M393" s="62" t="n">
        <f aca="false">IF(L393=0,0,K393/L393)</f>
        <v>0.859436777847934</v>
      </c>
    </row>
    <row r="394" customFormat="false" ht="15" hidden="false" customHeight="false" outlineLevel="0" collapsed="false">
      <c r="A394" s="56" t="n">
        <v>2026</v>
      </c>
      <c r="B394" s="56" t="n">
        <v>11</v>
      </c>
      <c r="C394" s="56" t="s">
        <v>170</v>
      </c>
      <c r="D394" s="56" t="s">
        <v>324</v>
      </c>
      <c r="E394" s="56" t="s">
        <v>145</v>
      </c>
      <c r="F394" s="56" t="s">
        <v>337</v>
      </c>
      <c r="G394" s="73" t="n">
        <f aca="false">SUMIFS(DRE_por_UN!$F:$F,DRE_por_UN!$C:$C,$C394,DRE_por_UN!$E:$E,$E394)*VLOOKUP($D394,$A$25:$H$36,4,0)</f>
        <v>45256.743</v>
      </c>
      <c r="H394" s="61" t="n">
        <f aca="false">VLOOKUP($D394,$A$25:$H$36,5,0)*(1+$B$5)^($A394-2025)*INDEX($B$40:$M$44,MATCH($E394,$A$40:$A$44,0),$B394)</f>
        <v>53944.725</v>
      </c>
      <c r="I394" s="62" t="n">
        <f aca="false">IF(H394=0,0,G394/H394)</f>
        <v>0.838946588382831</v>
      </c>
      <c r="J394" s="61" t="n">
        <f aca="false">G394-H394</f>
        <v>-8687.982</v>
      </c>
      <c r="K394" s="61" t="n">
        <f aca="false">SUMIFS($G$48:$G$479,$D$48:$D$479,$D394,$A$48:$A$479,$A394,$B$48:$B$479,"&lt;="&amp;$B394)</f>
        <v>403398.162</v>
      </c>
      <c r="L394" s="61" t="n">
        <f aca="false">SUMIFS($H$48:$H$479,$D$48:$D$479,$D394,$A$48:$A$479,$A394,$B$48:$B$479,"&lt;="&amp;$B394)</f>
        <v>470661.147</v>
      </c>
      <c r="M394" s="62" t="n">
        <f aca="false">IF(L394=0,0,K394/L394)</f>
        <v>0.857088299238773</v>
      </c>
    </row>
    <row r="395" customFormat="false" ht="15" hidden="false" customHeight="false" outlineLevel="0" collapsed="false">
      <c r="A395" s="56" t="n">
        <v>2026</v>
      </c>
      <c r="B395" s="56" t="n">
        <v>12</v>
      </c>
      <c r="C395" s="56" t="s">
        <v>171</v>
      </c>
      <c r="D395" s="56" t="s">
        <v>324</v>
      </c>
      <c r="E395" s="56" t="s">
        <v>145</v>
      </c>
      <c r="F395" s="56" t="s">
        <v>337</v>
      </c>
      <c r="G395" s="73" t="n">
        <f aca="false">SUMIFS(DRE_por_UN!$F:$F,DRE_por_UN!$C:$C,$C395,DRE_por_UN!$E:$E,$E395)*VLOOKUP($D395,$A$25:$H$36,4,0)</f>
        <v>47981.322</v>
      </c>
      <c r="H395" s="61" t="n">
        <f aca="false">VLOOKUP($D395,$A$25:$H$36,5,0)*(1+$B$5)^($A395-2025)*INDEX($B$40:$M$44,MATCH($E395,$A$40:$A$44,0),$B395)</f>
        <v>55681.482</v>
      </c>
      <c r="I395" s="62" t="n">
        <f aca="false">IF(H395=0,0,G395/H395)</f>
        <v>0.861710577315453</v>
      </c>
      <c r="J395" s="61" t="n">
        <f aca="false">G395-H395</f>
        <v>-7700.16000000001</v>
      </c>
      <c r="K395" s="61" t="n">
        <f aca="false">SUMIFS($G$48:$G$479,$D$48:$D$479,$D395,$A$48:$A$479,$A395,$B$48:$B$479,"&lt;="&amp;$B395)</f>
        <v>451379.484</v>
      </c>
      <c r="L395" s="61" t="n">
        <f aca="false">SUMIFS($H$48:$H$479,$D$48:$D$479,$D395,$A$48:$A$479,$A395,$B$48:$B$479,"&lt;="&amp;$B395)</f>
        <v>526342.629</v>
      </c>
      <c r="M395" s="62" t="n">
        <f aca="false">IF(L395=0,0,K395/L395)</f>
        <v>0.857577287360473</v>
      </c>
    </row>
    <row r="396" customFormat="false" ht="15" hidden="false" customHeight="false" outlineLevel="0" collapsed="false">
      <c r="A396" s="56" t="n">
        <v>2027</v>
      </c>
      <c r="B396" s="56" t="n">
        <v>1</v>
      </c>
      <c r="C396" s="56" t="s">
        <v>172</v>
      </c>
      <c r="D396" s="56" t="s">
        <v>324</v>
      </c>
      <c r="E396" s="56" t="s">
        <v>145</v>
      </c>
      <c r="F396" s="56" t="s">
        <v>337</v>
      </c>
      <c r="G396" s="73" t="n">
        <f aca="false">SUMIFS(DRE_por_UN!$F:$F,DRE_por_UN!$C:$C,$C396,DRE_por_UN!$E:$E,$E396)*VLOOKUP($D396,$A$25:$H$36,4,0)</f>
        <v>34756.42908</v>
      </c>
      <c r="H396" s="61" t="n">
        <f aca="false">VLOOKUP($D396,$A$25:$H$36,5,0)*(1+$B$5)^($A396-2025)*INDEX($B$40:$M$44,MATCH($E396,$A$40:$A$44,0),$B396)</f>
        <v>38771.7843</v>
      </c>
      <c r="I396" s="62" t="n">
        <f aca="false">IF(H396=0,0,G396/H396)</f>
        <v>0.896436150863451</v>
      </c>
      <c r="J396" s="61" t="n">
        <f aca="false">G396-H396</f>
        <v>-4015.35522000001</v>
      </c>
      <c r="K396" s="61" t="n">
        <f aca="false">SUMIFS($G$48:$G$479,$D$48:$D$479,$D396,$A$48:$A$479,$A396,$B$48:$B$479,"&lt;="&amp;$B396)</f>
        <v>34756.42908</v>
      </c>
      <c r="L396" s="61" t="n">
        <f aca="false">SUMIFS($H$48:$H$479,$D$48:$D$479,$D396,$A$48:$A$479,$A396,$B$48:$B$479,"&lt;="&amp;$B396)</f>
        <v>38771.7843</v>
      </c>
      <c r="M396" s="62" t="n">
        <f aca="false">IF(L396=0,0,K396/L396)</f>
        <v>0.896436150863451</v>
      </c>
    </row>
    <row r="397" customFormat="false" ht="15" hidden="false" customHeight="false" outlineLevel="0" collapsed="false">
      <c r="A397" s="56" t="n">
        <v>2027</v>
      </c>
      <c r="B397" s="56" t="n">
        <v>2</v>
      </c>
      <c r="C397" s="56" t="s">
        <v>173</v>
      </c>
      <c r="D397" s="56" t="s">
        <v>324</v>
      </c>
      <c r="E397" s="56" t="s">
        <v>145</v>
      </c>
      <c r="F397" s="56" t="s">
        <v>337</v>
      </c>
      <c r="G397" s="73" t="n">
        <f aca="false">SUMIFS(DRE_por_UN!$F:$F,DRE_por_UN!$C:$C,$C397,DRE_por_UN!$E:$E,$E397)*VLOOKUP($D397,$A$25:$H$36,4,0)</f>
        <v>32877.62892</v>
      </c>
      <c r="H397" s="61" t="n">
        <f aca="false">VLOOKUP($D397,$A$25:$H$36,5,0)*(1+$B$5)^($A397-2025)*INDEX($B$40:$M$44,MATCH($E397,$A$40:$A$44,0),$B397)</f>
        <v>37600.26276</v>
      </c>
      <c r="I397" s="62" t="n">
        <f aca="false">IF(H397=0,0,G397/H397)</f>
        <v>0.874398913908015</v>
      </c>
      <c r="J397" s="61" t="n">
        <f aca="false">G397-H397</f>
        <v>-4722.63384</v>
      </c>
      <c r="K397" s="61" t="n">
        <f aca="false">SUMIFS($G$48:$G$479,$D$48:$D$479,$D397,$A$48:$A$479,$A397,$B$48:$B$479,"&lt;="&amp;$B397)</f>
        <v>67634.058</v>
      </c>
      <c r="L397" s="61" t="n">
        <f aca="false">SUMIFS($H$48:$H$479,$D$48:$D$479,$D397,$A$48:$A$479,$A397,$B$48:$B$479,"&lt;="&amp;$B397)</f>
        <v>76372.04706</v>
      </c>
      <c r="M397" s="62" t="n">
        <f aca="false">IF(L397=0,0,K397/L397)</f>
        <v>0.885586554290797</v>
      </c>
    </row>
    <row r="398" customFormat="false" ht="15" hidden="false" customHeight="false" outlineLevel="0" collapsed="false">
      <c r="A398" s="56" t="n">
        <v>2027</v>
      </c>
      <c r="B398" s="56" t="n">
        <v>3</v>
      </c>
      <c r="C398" s="56" t="s">
        <v>174</v>
      </c>
      <c r="D398" s="56" t="s">
        <v>324</v>
      </c>
      <c r="E398" s="56" t="s">
        <v>145</v>
      </c>
      <c r="F398" s="56" t="s">
        <v>337</v>
      </c>
      <c r="G398" s="73" t="n">
        <f aca="false">SUMIFS(DRE_por_UN!$F:$F,DRE_por_UN!$C:$C,$C398,DRE_por_UN!$E:$E,$E398)*VLOOKUP($D398,$A$25:$H$36,4,0)</f>
        <v>38239.80873</v>
      </c>
      <c r="H398" s="61" t="n">
        <f aca="false">VLOOKUP($D398,$A$25:$H$36,5,0)*(1+$B$5)^($A398-2025)*INDEX($B$40:$M$44,MATCH($E398,$A$40:$A$44,0),$B398)</f>
        <v>45187.2594</v>
      </c>
      <c r="I398" s="62" t="n">
        <f aca="false">IF(H398=0,0,G398/H398)</f>
        <v>0.846252001952568</v>
      </c>
      <c r="J398" s="61" t="n">
        <f aca="false">G398-H398</f>
        <v>-6947.45067</v>
      </c>
      <c r="K398" s="61" t="n">
        <f aca="false">SUMIFS($G$48:$G$479,$D$48:$D$479,$D398,$A$48:$A$479,$A398,$B$48:$B$479,"&lt;="&amp;$B398)</f>
        <v>105873.86673</v>
      </c>
      <c r="L398" s="61" t="n">
        <f aca="false">SUMIFS($H$48:$H$479,$D$48:$D$479,$D398,$A$48:$A$479,$A398,$B$48:$B$479,"&lt;="&amp;$B398)</f>
        <v>121559.30646</v>
      </c>
      <c r="M398" s="62" t="n">
        <f aca="false">IF(L398=0,0,K398/L398)</f>
        <v>0.870964715193062</v>
      </c>
    </row>
    <row r="399" customFormat="false" ht="15" hidden="false" customHeight="false" outlineLevel="0" collapsed="false">
      <c r="A399" s="56" t="n">
        <v>2027</v>
      </c>
      <c r="B399" s="56" t="n">
        <v>4</v>
      </c>
      <c r="C399" s="56" t="s">
        <v>175</v>
      </c>
      <c r="D399" s="56" t="s">
        <v>324</v>
      </c>
      <c r="E399" s="56" t="s">
        <v>145</v>
      </c>
      <c r="F399" s="56" t="s">
        <v>337</v>
      </c>
      <c r="G399" s="73" t="n">
        <f aca="false">SUMIFS(DRE_por_UN!$F:$F,DRE_por_UN!$C:$C,$C399,DRE_por_UN!$E:$E,$E399)*VLOOKUP($D399,$A$25:$H$36,4,0)</f>
        <v>36754.19505</v>
      </c>
      <c r="H399" s="61" t="n">
        <f aca="false">VLOOKUP($D399,$A$25:$H$36,5,0)*(1+$B$5)^($A399-2025)*INDEX($B$40:$M$44,MATCH($E399,$A$40:$A$44,0),$B399)</f>
        <v>43625.23068</v>
      </c>
      <c r="I399" s="62" t="n">
        <f aca="false">IF(H399=0,0,G399/H399)</f>
        <v>0.842498583436717</v>
      </c>
      <c r="J399" s="61" t="n">
        <f aca="false">G399-H399</f>
        <v>-6871.03563000001</v>
      </c>
      <c r="K399" s="61" t="n">
        <f aca="false">SUMIFS($G$48:$G$479,$D$48:$D$479,$D399,$A$48:$A$479,$A399,$B$48:$B$479,"&lt;="&amp;$B399)</f>
        <v>142628.06178</v>
      </c>
      <c r="L399" s="61" t="n">
        <f aca="false">SUMIFS($H$48:$H$479,$D$48:$D$479,$D399,$A$48:$A$479,$A399,$B$48:$B$479,"&lt;="&amp;$B399)</f>
        <v>165184.53714</v>
      </c>
      <c r="M399" s="62" t="n">
        <f aca="false">IF(L399=0,0,K399/L399)</f>
        <v>0.86344681075758</v>
      </c>
    </row>
    <row r="400" customFormat="false" ht="15" hidden="false" customHeight="false" outlineLevel="0" collapsed="false">
      <c r="A400" s="56" t="n">
        <v>2027</v>
      </c>
      <c r="B400" s="56" t="n">
        <v>5</v>
      </c>
      <c r="C400" s="56" t="s">
        <v>176</v>
      </c>
      <c r="D400" s="56" t="s">
        <v>324</v>
      </c>
      <c r="E400" s="56" t="s">
        <v>145</v>
      </c>
      <c r="F400" s="56" t="s">
        <v>337</v>
      </c>
      <c r="G400" s="73" t="n">
        <f aca="false">SUMIFS(DRE_por_UN!$F:$F,DRE_por_UN!$C:$C,$C400,DRE_por_UN!$E:$E,$E400)*VLOOKUP($D400,$A$25:$H$36,4,0)</f>
        <v>40443.00828</v>
      </c>
      <c r="H400" s="61" t="n">
        <f aca="false">VLOOKUP($D400,$A$25:$H$36,5,0)*(1+$B$5)^($A400-2025)*INDEX($B$40:$M$44,MATCH($E400,$A$40:$A$44,0),$B400)</f>
        <v>44908.3257</v>
      </c>
      <c r="I400" s="62" t="n">
        <f aca="false">IF(H400=0,0,G400/H400)</f>
        <v>0.900568160794291</v>
      </c>
      <c r="J400" s="61" t="n">
        <f aca="false">G400-H400</f>
        <v>-4465.31742</v>
      </c>
      <c r="K400" s="61" t="n">
        <f aca="false">SUMIFS($G$48:$G$479,$D$48:$D$479,$D400,$A$48:$A$479,$A400,$B$48:$B$479,"&lt;="&amp;$B400)</f>
        <v>183071.07006</v>
      </c>
      <c r="L400" s="61" t="n">
        <f aca="false">SUMIFS($H$48:$H$479,$D$48:$D$479,$D400,$A$48:$A$479,$A400,$B$48:$B$479,"&lt;="&amp;$B400)</f>
        <v>210092.86284</v>
      </c>
      <c r="M400" s="62" t="n">
        <f aca="false">IF(L400=0,0,K400/L400)</f>
        <v>0.871381671824907</v>
      </c>
    </row>
    <row r="401" customFormat="false" ht="15" hidden="false" customHeight="false" outlineLevel="0" collapsed="false">
      <c r="A401" s="56" t="n">
        <v>2027</v>
      </c>
      <c r="B401" s="56" t="n">
        <v>6</v>
      </c>
      <c r="C401" s="56" t="s">
        <v>177</v>
      </c>
      <c r="D401" s="56" t="s">
        <v>324</v>
      </c>
      <c r="E401" s="56" t="s">
        <v>145</v>
      </c>
      <c r="F401" s="56" t="s">
        <v>337</v>
      </c>
      <c r="G401" s="73" t="n">
        <f aca="false">SUMIFS(DRE_por_UN!$F:$F,DRE_por_UN!$C:$C,$C401,DRE_por_UN!$E:$E,$E401)*VLOOKUP($D401,$A$25:$H$36,4,0)</f>
        <v>40767.11877</v>
      </c>
      <c r="H401" s="61" t="n">
        <f aca="false">VLOOKUP($D401,$A$25:$H$36,5,0)*(1+$B$5)^($A401-2025)*INDEX($B$40:$M$44,MATCH($E401,$A$40:$A$44,0),$B401)</f>
        <v>47195.58204</v>
      </c>
      <c r="I401" s="62" t="n">
        <f aca="false">IF(H401=0,0,G401/H401)</f>
        <v>0.863790995001362</v>
      </c>
      <c r="J401" s="61" t="n">
        <f aca="false">G401-H401</f>
        <v>-6428.46327</v>
      </c>
      <c r="K401" s="61" t="n">
        <f aca="false">SUMIFS($G$48:$G$479,$D$48:$D$479,$D401,$A$48:$A$479,$A401,$B$48:$B$479,"&lt;="&amp;$B401)</f>
        <v>223838.18883</v>
      </c>
      <c r="L401" s="61" t="n">
        <f aca="false">SUMIFS($H$48:$H$479,$D$48:$D$479,$D401,$A$48:$A$479,$A401,$B$48:$B$479,"&lt;="&amp;$B401)</f>
        <v>257288.44488</v>
      </c>
      <c r="M401" s="62" t="n">
        <f aca="false">IF(L401=0,0,K401/L401)</f>
        <v>0.869989279675575</v>
      </c>
    </row>
    <row r="402" customFormat="false" ht="15" hidden="false" customHeight="false" outlineLevel="0" collapsed="false">
      <c r="A402" s="56" t="n">
        <v>2027</v>
      </c>
      <c r="B402" s="56" t="n">
        <v>7</v>
      </c>
      <c r="C402" s="56" t="s">
        <v>178</v>
      </c>
      <c r="D402" s="56" t="s">
        <v>324</v>
      </c>
      <c r="E402" s="56" t="s">
        <v>145</v>
      </c>
      <c r="F402" s="56" t="s">
        <v>337</v>
      </c>
      <c r="G402" s="73" t="n">
        <f aca="false">SUMIFS(DRE_por_UN!$F:$F,DRE_por_UN!$C:$C,$C402,DRE_por_UN!$E:$E,$E402)*VLOOKUP($D402,$A$25:$H$36,4,0)</f>
        <v>42463.2282</v>
      </c>
      <c r="H402" s="61" t="n">
        <f aca="false">VLOOKUP($D402,$A$25:$H$36,5,0)*(1+$B$5)^($A402-2025)*INDEX($B$40:$M$44,MATCH($E402,$A$40:$A$44,0),$B402)</f>
        <v>47139.7953</v>
      </c>
      <c r="I402" s="62" t="n">
        <f aca="false">IF(H402=0,0,G402/H402)</f>
        <v>0.90079364854603</v>
      </c>
      <c r="J402" s="61" t="n">
        <f aca="false">G402-H402</f>
        <v>-4676.5671</v>
      </c>
      <c r="K402" s="61" t="n">
        <f aca="false">SUMIFS($G$48:$G$479,$D$48:$D$479,$D402,$A$48:$A$479,$A402,$B$48:$B$479,"&lt;="&amp;$B402)</f>
        <v>266301.41703</v>
      </c>
      <c r="L402" s="61" t="n">
        <f aca="false">SUMIFS($H$48:$H$479,$D$48:$D$479,$D402,$A$48:$A$479,$A402,$B$48:$B$479,"&lt;="&amp;$B402)</f>
        <v>304428.24018</v>
      </c>
      <c r="M402" s="62" t="n">
        <f aca="false">IF(L402=0,0,K402/L402)</f>
        <v>0.874759243336109</v>
      </c>
    </row>
    <row r="403" customFormat="false" ht="15" hidden="false" customHeight="false" outlineLevel="0" collapsed="false">
      <c r="A403" s="56" t="n">
        <v>2027</v>
      </c>
      <c r="B403" s="56" t="n">
        <v>8</v>
      </c>
      <c r="C403" s="56" t="s">
        <v>179</v>
      </c>
      <c r="D403" s="56" t="s">
        <v>324</v>
      </c>
      <c r="E403" s="56" t="s">
        <v>145</v>
      </c>
      <c r="F403" s="56" t="s">
        <v>337</v>
      </c>
      <c r="G403" s="73" t="n">
        <f aca="false">SUMIFS(DRE_por_UN!$F:$F,DRE_por_UN!$C:$C,$C403,DRE_por_UN!$E:$E,$E403)*VLOOKUP($D403,$A$25:$H$36,4,0)</f>
        <v>39817.14816</v>
      </c>
      <c r="H403" s="61" t="n">
        <f aca="false">VLOOKUP($D403,$A$25:$H$36,5,0)*(1+$B$5)^($A403-2025)*INDEX($B$40:$M$44,MATCH($E403,$A$40:$A$44,0),$B403)</f>
        <v>45354.61962</v>
      </c>
      <c r="I403" s="62" t="n">
        <f aca="false">IF(H403=0,0,G403/H403)</f>
        <v>0.877907222982019</v>
      </c>
      <c r="J403" s="61" t="n">
        <f aca="false">G403-H403</f>
        <v>-5537.47145999999</v>
      </c>
      <c r="K403" s="61" t="n">
        <f aca="false">SUMIFS($G$48:$G$479,$D$48:$D$479,$D403,$A$48:$A$479,$A403,$B$48:$B$479,"&lt;="&amp;$B403)</f>
        <v>306118.56519</v>
      </c>
      <c r="L403" s="61" t="n">
        <f aca="false">SUMIFS($H$48:$H$479,$D$48:$D$479,$D403,$A$48:$A$479,$A403,$B$48:$B$479,"&lt;="&amp;$B403)</f>
        <v>349782.8598</v>
      </c>
      <c r="M403" s="62" t="n">
        <f aca="false">IF(L403=0,0,K403/L403)</f>
        <v>0.875167426342827</v>
      </c>
    </row>
    <row r="404" customFormat="false" ht="15" hidden="false" customHeight="false" outlineLevel="0" collapsed="false">
      <c r="A404" s="56" t="n">
        <v>2027</v>
      </c>
      <c r="B404" s="56" t="n">
        <v>9</v>
      </c>
      <c r="C404" s="56" t="s">
        <v>180</v>
      </c>
      <c r="D404" s="56" t="s">
        <v>324</v>
      </c>
      <c r="E404" s="56" t="s">
        <v>145</v>
      </c>
      <c r="F404" s="56" t="s">
        <v>337</v>
      </c>
      <c r="G404" s="73" t="n">
        <f aca="false">SUMIFS(DRE_por_UN!$F:$F,DRE_por_UN!$C:$C,$C404,DRE_por_UN!$E:$E,$E404)*VLOOKUP($D404,$A$25:$H$36,4,0)</f>
        <v>37588.15626</v>
      </c>
      <c r="H404" s="61" t="n">
        <f aca="false">VLOOKUP($D404,$A$25:$H$36,5,0)*(1+$B$5)^($A404-2025)*INDEX($B$40:$M$44,MATCH($E404,$A$40:$A$44,0),$B404)</f>
        <v>45745.1268</v>
      </c>
      <c r="I404" s="62" t="n">
        <f aca="false">IF(H404=0,0,G404/H404)</f>
        <v>0.821686568371256</v>
      </c>
      <c r="J404" s="61" t="n">
        <f aca="false">G404-H404</f>
        <v>-8156.97054000001</v>
      </c>
      <c r="K404" s="61" t="n">
        <f aca="false">SUMIFS($G$48:$G$479,$D$48:$D$479,$D404,$A$48:$A$479,$A404,$B$48:$B$479,"&lt;="&amp;$B404)</f>
        <v>343706.72145</v>
      </c>
      <c r="L404" s="61" t="n">
        <f aca="false">SUMIFS($H$48:$H$479,$D$48:$D$479,$D404,$A$48:$A$479,$A404,$B$48:$B$479,"&lt;="&amp;$B404)</f>
        <v>395527.9866</v>
      </c>
      <c r="M404" s="62" t="n">
        <f aca="false">IF(L404=0,0,K404/L404)</f>
        <v>0.868982052078132</v>
      </c>
    </row>
    <row r="405" customFormat="false" ht="15" hidden="false" customHeight="false" outlineLevel="0" collapsed="false">
      <c r="A405" s="56" t="n">
        <v>2027</v>
      </c>
      <c r="B405" s="56" t="n">
        <v>10</v>
      </c>
      <c r="C405" s="56" t="s">
        <v>181</v>
      </c>
      <c r="D405" s="56" t="s">
        <v>324</v>
      </c>
      <c r="E405" s="56" t="s">
        <v>145</v>
      </c>
      <c r="F405" s="56" t="s">
        <v>337</v>
      </c>
      <c r="G405" s="73" t="n">
        <f aca="false">SUMIFS(DRE_por_UN!$F:$F,DRE_por_UN!$C:$C,$C405,DRE_por_UN!$E:$E,$E405)*VLOOKUP($D405,$A$25:$H$36,4,0)</f>
        <v>39504.59688</v>
      </c>
      <c r="H405" s="61" t="n">
        <f aca="false">VLOOKUP($D405,$A$25:$H$36,5,0)*(1+$B$5)^($A405-2025)*INDEX($B$40:$M$44,MATCH($E405,$A$40:$A$44,0),$B405)</f>
        <v>46191.42072</v>
      </c>
      <c r="I405" s="62" t="n">
        <f aca="false">IF(H405=0,0,G405/H405)</f>
        <v>0.855236670884541</v>
      </c>
      <c r="J405" s="61" t="n">
        <f aca="false">G405-H405</f>
        <v>-6686.82384000001</v>
      </c>
      <c r="K405" s="61" t="n">
        <f aca="false">SUMIFS($G$48:$G$479,$D$48:$D$479,$D405,$A$48:$A$479,$A405,$B$48:$B$479,"&lt;="&amp;$B405)</f>
        <v>383211.31833</v>
      </c>
      <c r="L405" s="61" t="n">
        <f aca="false">SUMIFS($H$48:$H$479,$D$48:$D$479,$D405,$A$48:$A$479,$A405,$B$48:$B$479,"&lt;="&amp;$B405)</f>
        <v>441719.40732</v>
      </c>
      <c r="M405" s="62" t="n">
        <f aca="false">IF(L405=0,0,K405/L405)</f>
        <v>0.867544671978575</v>
      </c>
    </row>
    <row r="406" customFormat="false" ht="15" hidden="false" customHeight="false" outlineLevel="0" collapsed="false">
      <c r="A406" s="56" t="n">
        <v>2027</v>
      </c>
      <c r="B406" s="56" t="n">
        <v>11</v>
      </c>
      <c r="C406" s="56" t="s">
        <v>182</v>
      </c>
      <c r="D406" s="56" t="s">
        <v>324</v>
      </c>
      <c r="E406" s="56" t="s">
        <v>145</v>
      </c>
      <c r="F406" s="56" t="s">
        <v>337</v>
      </c>
      <c r="G406" s="73" t="n">
        <f aca="false">SUMIFS(DRE_por_UN!$F:$F,DRE_por_UN!$C:$C,$C406,DRE_por_UN!$E:$E,$E406)*VLOOKUP($D406,$A$25:$H$36,4,0)</f>
        <v>48424.71501</v>
      </c>
      <c r="H406" s="61" t="n">
        <f aca="false">VLOOKUP($D406,$A$25:$H$36,5,0)*(1+$B$5)^($A406-2025)*INDEX($B$40:$M$44,MATCH($E406,$A$40:$A$44,0),$B406)</f>
        <v>57181.4085</v>
      </c>
      <c r="I406" s="62" t="n">
        <f aca="false">IF(H406=0,0,G406/H406)</f>
        <v>0.846861178839273</v>
      </c>
      <c r="J406" s="61" t="n">
        <f aca="false">G406-H406</f>
        <v>-8756.69348999999</v>
      </c>
      <c r="K406" s="61" t="n">
        <f aca="false">SUMIFS($G$48:$G$479,$D$48:$D$479,$D406,$A$48:$A$479,$A406,$B$48:$B$479,"&lt;="&amp;$B406)</f>
        <v>431636.03334</v>
      </c>
      <c r="L406" s="61" t="n">
        <f aca="false">SUMIFS($H$48:$H$479,$D$48:$D$479,$D406,$A$48:$A$479,$A406,$B$48:$B$479,"&lt;="&amp;$B406)</f>
        <v>498900.81582</v>
      </c>
      <c r="M406" s="62" t="n">
        <f aca="false">IF(L406=0,0,K406/L406)</f>
        <v>0.865174037910837</v>
      </c>
    </row>
    <row r="407" customFormat="false" ht="15" hidden="false" customHeight="false" outlineLevel="0" collapsed="false">
      <c r="A407" s="56" t="n">
        <v>2027</v>
      </c>
      <c r="B407" s="56" t="n">
        <v>12</v>
      </c>
      <c r="C407" s="56" t="s">
        <v>183</v>
      </c>
      <c r="D407" s="56" t="s">
        <v>324</v>
      </c>
      <c r="E407" s="56" t="s">
        <v>145</v>
      </c>
      <c r="F407" s="56" t="s">
        <v>337</v>
      </c>
      <c r="G407" s="73" t="n">
        <f aca="false">SUMIFS(DRE_por_UN!$F:$F,DRE_por_UN!$C:$C,$C407,DRE_por_UN!$E:$E,$E407)*VLOOKUP($D407,$A$25:$H$36,4,0)</f>
        <v>51340.01454</v>
      </c>
      <c r="H407" s="61" t="n">
        <f aca="false">VLOOKUP($D407,$A$25:$H$36,5,0)*(1+$B$5)^($A407-2025)*INDEX($B$40:$M$44,MATCH($E407,$A$40:$A$44,0),$B407)</f>
        <v>59022.37092</v>
      </c>
      <c r="I407" s="62" t="n">
        <f aca="false">IF(H407=0,0,G407/H407)</f>
        <v>0.869839922384466</v>
      </c>
      <c r="J407" s="61" t="n">
        <f aca="false">G407-H407</f>
        <v>-7682.35638000001</v>
      </c>
      <c r="K407" s="61" t="n">
        <f aca="false">SUMIFS($G$48:$G$479,$D$48:$D$479,$D407,$A$48:$A$479,$A407,$B$48:$B$479,"&lt;="&amp;$B407)</f>
        <v>482976.04788</v>
      </c>
      <c r="L407" s="61" t="n">
        <f aca="false">SUMIFS($H$48:$H$479,$D$48:$D$479,$D407,$A$48:$A$479,$A407,$B$48:$B$479,"&lt;="&amp;$B407)</f>
        <v>557923.18674</v>
      </c>
      <c r="M407" s="62" t="n">
        <f aca="false">IF(L407=0,0,K407/L407)</f>
        <v>0.865667639128025</v>
      </c>
    </row>
    <row r="408" customFormat="false" ht="15" hidden="false" customHeight="false" outlineLevel="0" collapsed="false">
      <c r="A408" s="56" t="n">
        <v>2025</v>
      </c>
      <c r="B408" s="56" t="n">
        <v>1</v>
      </c>
      <c r="C408" s="56" t="s">
        <v>148</v>
      </c>
      <c r="D408" s="56" t="s">
        <v>325</v>
      </c>
      <c r="E408" s="56" t="s">
        <v>145</v>
      </c>
      <c r="F408" s="56" t="s">
        <v>336</v>
      </c>
      <c r="G408" s="73" t="n">
        <f aca="false">SUMIFS(DRE_por_UN!$F:$F,DRE_por_UN!$C:$C,$C408,DRE_por_UN!$E:$E,$E408)*VLOOKUP($D408,$A$25:$H$36,4,0)</f>
        <v>42001.9194</v>
      </c>
      <c r="H408" s="61" t="n">
        <f aca="false">VLOOKUP($D408,$A$25:$H$36,5,0)*(1+$B$5)^($A408-2025)*INDEX($B$40:$M$44,MATCH($E408,$A$40:$A$44,0),$B408)</f>
        <v>38648.95</v>
      </c>
      <c r="I408" s="62" t="n">
        <f aca="false">IF(H408=0,0,G408/H408)</f>
        <v>1.08675447586545</v>
      </c>
      <c r="J408" s="61" t="n">
        <f aca="false">G408-H408</f>
        <v>3352.96939999999</v>
      </c>
      <c r="K408" s="61" t="n">
        <f aca="false">SUMIFS($G$48:$G$479,$D$48:$D$479,$D408,$A$48:$A$479,$A408,$B$48:$B$479,"&lt;="&amp;$B408)</f>
        <v>42001.9194</v>
      </c>
      <c r="L408" s="61" t="n">
        <f aca="false">SUMIFS($H$48:$H$479,$D$48:$D$479,$D408,$A$48:$A$479,$A408,$B$48:$B$479,"&lt;="&amp;$B408)</f>
        <v>38648.95</v>
      </c>
      <c r="M408" s="62" t="n">
        <f aca="false">IF(L408=0,0,K408/L408)</f>
        <v>1.08675447586545</v>
      </c>
    </row>
    <row r="409" customFormat="false" ht="15" hidden="false" customHeight="false" outlineLevel="0" collapsed="false">
      <c r="A409" s="56" t="n">
        <v>2025</v>
      </c>
      <c r="B409" s="56" t="n">
        <v>2</v>
      </c>
      <c r="C409" s="56" t="s">
        <v>149</v>
      </c>
      <c r="D409" s="56" t="s">
        <v>325</v>
      </c>
      <c r="E409" s="56" t="s">
        <v>145</v>
      </c>
      <c r="F409" s="56" t="s">
        <v>336</v>
      </c>
      <c r="G409" s="73" t="n">
        <f aca="false">SUMIFS(DRE_por_UN!$F:$F,DRE_por_UN!$C:$C,$C409,DRE_por_UN!$E:$E,$E409)*VLOOKUP($D409,$A$25:$H$36,4,0)</f>
        <v>40729.8444</v>
      </c>
      <c r="H409" s="61" t="n">
        <f aca="false">VLOOKUP($D409,$A$25:$H$36,5,0)*(1+$B$5)^($A409-2025)*INDEX($B$40:$M$44,MATCH($E409,$A$40:$A$44,0),$B409)</f>
        <v>37481.14</v>
      </c>
      <c r="I409" s="62" t="n">
        <f aca="false">IF(H409=0,0,G409/H409)</f>
        <v>1.0866757094368</v>
      </c>
      <c r="J409" s="61" t="n">
        <f aca="false">G409-H409</f>
        <v>3248.7044</v>
      </c>
      <c r="K409" s="61" t="n">
        <f aca="false">SUMIFS($G$48:$G$479,$D$48:$D$479,$D409,$A$48:$A$479,$A409,$B$48:$B$479,"&lt;="&amp;$B409)</f>
        <v>82731.7638</v>
      </c>
      <c r="L409" s="61" t="n">
        <f aca="false">SUMIFS($H$48:$H$479,$D$48:$D$479,$D409,$A$48:$A$479,$A409,$B$48:$B$479,"&lt;="&amp;$B409)</f>
        <v>76130.09</v>
      </c>
      <c r="M409" s="62" t="n">
        <f aca="false">IF(L409=0,0,K409/L409)</f>
        <v>1.0867156967764</v>
      </c>
    </row>
    <row r="410" customFormat="false" ht="15" hidden="false" customHeight="false" outlineLevel="0" collapsed="false">
      <c r="A410" s="56" t="n">
        <v>2025</v>
      </c>
      <c r="B410" s="56" t="n">
        <v>3</v>
      </c>
      <c r="C410" s="56" t="s">
        <v>150</v>
      </c>
      <c r="D410" s="56" t="s">
        <v>325</v>
      </c>
      <c r="E410" s="56" t="s">
        <v>145</v>
      </c>
      <c r="F410" s="56" t="s">
        <v>336</v>
      </c>
      <c r="G410" s="73" t="n">
        <f aca="false">SUMIFS(DRE_por_UN!$F:$F,DRE_por_UN!$C:$C,$C410,DRE_por_UN!$E:$E,$E410)*VLOOKUP($D410,$A$25:$H$36,4,0)</f>
        <v>48973.8144</v>
      </c>
      <c r="H410" s="61" t="n">
        <f aca="false">VLOOKUP($D410,$A$25:$H$36,5,0)*(1+$B$5)^($A410-2025)*INDEX($B$40:$M$44,MATCH($E410,$A$40:$A$44,0),$B410)</f>
        <v>45044.1</v>
      </c>
      <c r="I410" s="62" t="n">
        <f aca="false">IF(H410=0,0,G410/H410)</f>
        <v>1.08724149000646</v>
      </c>
      <c r="J410" s="61" t="n">
        <f aca="false">G410-H410</f>
        <v>3929.7144</v>
      </c>
      <c r="K410" s="61" t="n">
        <f aca="false">SUMIFS($G$48:$G$479,$D$48:$D$479,$D410,$A$48:$A$479,$A410,$B$48:$B$479,"&lt;="&amp;$B410)</f>
        <v>131705.5782</v>
      </c>
      <c r="L410" s="61" t="n">
        <f aca="false">SUMIFS($H$48:$H$479,$D$48:$D$479,$D410,$A$48:$A$479,$A410,$B$48:$B$479,"&lt;="&amp;$B410)</f>
        <v>121174.19</v>
      </c>
      <c r="M410" s="62" t="n">
        <f aca="false">IF(L410=0,0,K410/L410)</f>
        <v>1.08691114997344</v>
      </c>
    </row>
    <row r="411" customFormat="false" ht="15" hidden="false" customHeight="false" outlineLevel="0" collapsed="false">
      <c r="A411" s="56" t="n">
        <v>2025</v>
      </c>
      <c r="B411" s="56" t="n">
        <v>4</v>
      </c>
      <c r="C411" s="56" t="s">
        <v>151</v>
      </c>
      <c r="D411" s="56" t="s">
        <v>325</v>
      </c>
      <c r="E411" s="56" t="s">
        <v>145</v>
      </c>
      <c r="F411" s="56" t="s">
        <v>336</v>
      </c>
      <c r="G411" s="73" t="n">
        <f aca="false">SUMIFS(DRE_por_UN!$F:$F,DRE_por_UN!$C:$C,$C411,DRE_por_UN!$E:$E,$E411)*VLOOKUP($D411,$A$25:$H$36,4,0)</f>
        <v>47243.1624</v>
      </c>
      <c r="H411" s="61" t="n">
        <f aca="false">VLOOKUP($D411,$A$25:$H$36,5,0)*(1+$B$5)^($A411-2025)*INDEX($B$40:$M$44,MATCH($E411,$A$40:$A$44,0),$B411)</f>
        <v>43487.02</v>
      </c>
      <c r="I411" s="62" t="n">
        <f aca="false">IF(H411=0,0,G411/H411)</f>
        <v>1.08637387431928</v>
      </c>
      <c r="J411" s="61" t="n">
        <f aca="false">G411-H411</f>
        <v>3756.1424</v>
      </c>
      <c r="K411" s="61" t="n">
        <f aca="false">SUMIFS($G$48:$G$479,$D$48:$D$479,$D411,$A$48:$A$479,$A411,$B$48:$B$479,"&lt;="&amp;$B411)</f>
        <v>178948.7406</v>
      </c>
      <c r="L411" s="61" t="n">
        <f aca="false">SUMIFS($H$48:$H$479,$D$48:$D$479,$D411,$A$48:$A$479,$A411,$B$48:$B$479,"&lt;="&amp;$B411)</f>
        <v>164661.21</v>
      </c>
      <c r="M411" s="62" t="n">
        <f aca="false">IF(L411=0,0,K411/L411)</f>
        <v>1.08676925549132</v>
      </c>
    </row>
    <row r="412" customFormat="false" ht="15" hidden="false" customHeight="false" outlineLevel="0" collapsed="false">
      <c r="A412" s="56" t="n">
        <v>2025</v>
      </c>
      <c r="B412" s="56" t="n">
        <v>5</v>
      </c>
      <c r="C412" s="56" t="s">
        <v>152</v>
      </c>
      <c r="D412" s="56" t="s">
        <v>325</v>
      </c>
      <c r="E412" s="56" t="s">
        <v>145</v>
      </c>
      <c r="F412" s="56" t="s">
        <v>336</v>
      </c>
      <c r="G412" s="73" t="n">
        <f aca="false">SUMIFS(DRE_por_UN!$F:$F,DRE_por_UN!$C:$C,$C412,DRE_por_UN!$E:$E,$E412)*VLOOKUP($D412,$A$25:$H$36,4,0)</f>
        <v>48630.372</v>
      </c>
      <c r="H412" s="61" t="n">
        <f aca="false">VLOOKUP($D412,$A$25:$H$36,5,0)*(1+$B$5)^($A412-2025)*INDEX($B$40:$M$44,MATCH($E412,$A$40:$A$44,0),$B412)</f>
        <v>44766.05</v>
      </c>
      <c r="I412" s="62" t="n">
        <f aca="false">IF(H412=0,0,G412/H412)</f>
        <v>1.08632260384823</v>
      </c>
      <c r="J412" s="61" t="n">
        <f aca="false">G412-H412</f>
        <v>3864.322</v>
      </c>
      <c r="K412" s="61" t="n">
        <f aca="false">SUMIFS($G$48:$G$479,$D$48:$D$479,$D412,$A$48:$A$479,$A412,$B$48:$B$479,"&lt;="&amp;$B412)</f>
        <v>227579.1126</v>
      </c>
      <c r="L412" s="61" t="n">
        <f aca="false">SUMIFS($H$48:$H$479,$D$48:$D$479,$D412,$A$48:$A$479,$A412,$B$48:$B$479,"&lt;="&amp;$B412)</f>
        <v>209427.26</v>
      </c>
      <c r="M412" s="62" t="n">
        <f aca="false">IF(L412=0,0,K412/L412)</f>
        <v>1.08667378162709</v>
      </c>
    </row>
    <row r="413" customFormat="false" ht="15" hidden="false" customHeight="false" outlineLevel="0" collapsed="false">
      <c r="A413" s="56" t="n">
        <v>2025</v>
      </c>
      <c r="B413" s="56" t="n">
        <v>6</v>
      </c>
      <c r="C413" s="56" t="s">
        <v>153</v>
      </c>
      <c r="D413" s="56" t="s">
        <v>325</v>
      </c>
      <c r="E413" s="56" t="s">
        <v>145</v>
      </c>
      <c r="F413" s="56" t="s">
        <v>336</v>
      </c>
      <c r="G413" s="73" t="n">
        <f aca="false">SUMIFS(DRE_por_UN!$F:$F,DRE_por_UN!$C:$C,$C413,DRE_por_UN!$E:$E,$E413)*VLOOKUP($D413,$A$25:$H$36,4,0)</f>
        <v>51114.294</v>
      </c>
      <c r="H413" s="61" t="n">
        <f aca="false">VLOOKUP($D413,$A$25:$H$36,5,0)*(1+$B$5)^($A413-2025)*INDEX($B$40:$M$44,MATCH($E413,$A$40:$A$44,0),$B413)</f>
        <v>47046.06</v>
      </c>
      <c r="I413" s="62" t="n">
        <f aca="false">IF(H413=0,0,G413/H413)</f>
        <v>1.08647342625504</v>
      </c>
      <c r="J413" s="61" t="n">
        <f aca="false">G413-H413</f>
        <v>4068.234</v>
      </c>
      <c r="K413" s="61" t="n">
        <f aca="false">SUMIFS($G$48:$G$479,$D$48:$D$479,$D413,$A$48:$A$479,$A413,$B$48:$B$479,"&lt;="&amp;$B413)</f>
        <v>278693.4066</v>
      </c>
      <c r="L413" s="61" t="n">
        <f aca="false">SUMIFS($H$48:$H$479,$D$48:$D$479,$D413,$A$48:$A$479,$A413,$B$48:$B$479,"&lt;="&amp;$B413)</f>
        <v>256473.32</v>
      </c>
      <c r="M413" s="62" t="n">
        <f aca="false">IF(L413=0,0,K413/L413)</f>
        <v>1.08663702953586</v>
      </c>
    </row>
    <row r="414" customFormat="false" ht="15" hidden="false" customHeight="false" outlineLevel="0" collapsed="false">
      <c r="A414" s="56" t="n">
        <v>2025</v>
      </c>
      <c r="B414" s="56" t="n">
        <v>7</v>
      </c>
      <c r="C414" s="56" t="s">
        <v>154</v>
      </c>
      <c r="D414" s="56" t="s">
        <v>325</v>
      </c>
      <c r="E414" s="56" t="s">
        <v>145</v>
      </c>
      <c r="F414" s="56" t="s">
        <v>336</v>
      </c>
      <c r="G414" s="73" t="n">
        <f aca="false">SUMIFS(DRE_por_UN!$F:$F,DRE_por_UN!$C:$C,$C414,DRE_por_UN!$E:$E,$E414)*VLOOKUP($D414,$A$25:$H$36,4,0)</f>
        <v>51050.2608</v>
      </c>
      <c r="H414" s="61" t="n">
        <f aca="false">VLOOKUP($D414,$A$25:$H$36,5,0)*(1+$B$5)^($A414-2025)*INDEX($B$40:$M$44,MATCH($E414,$A$40:$A$44,0),$B414)</f>
        <v>46990.45</v>
      </c>
      <c r="I414" s="62" t="n">
        <f aca="false">IF(H414=0,0,G414/H414)</f>
        <v>1.08639650822667</v>
      </c>
      <c r="J414" s="61" t="n">
        <f aca="false">G414-H414</f>
        <v>4059.8108</v>
      </c>
      <c r="K414" s="61" t="n">
        <f aca="false">SUMIFS($G$48:$G$479,$D$48:$D$479,$D414,$A$48:$A$479,$A414,$B$48:$B$479,"&lt;="&amp;$B414)</f>
        <v>329743.6674</v>
      </c>
      <c r="L414" s="61" t="n">
        <f aca="false">SUMIFS($H$48:$H$479,$D$48:$D$479,$D414,$A$48:$A$479,$A414,$B$48:$B$479,"&lt;="&amp;$B414)</f>
        <v>303463.77</v>
      </c>
      <c r="M414" s="62" t="n">
        <f aca="false">IF(L414=0,0,K414/L414)</f>
        <v>1.08659978553618</v>
      </c>
    </row>
    <row r="415" customFormat="false" ht="15" hidden="false" customHeight="false" outlineLevel="0" collapsed="false">
      <c r="A415" s="56" t="n">
        <v>2025</v>
      </c>
      <c r="B415" s="56" t="n">
        <v>8</v>
      </c>
      <c r="C415" s="56" t="s">
        <v>155</v>
      </c>
      <c r="D415" s="56" t="s">
        <v>325</v>
      </c>
      <c r="E415" s="56" t="s">
        <v>145</v>
      </c>
      <c r="F415" s="56" t="s">
        <v>336</v>
      </c>
      <c r="G415" s="73" t="n">
        <f aca="false">SUMIFS(DRE_por_UN!$F:$F,DRE_por_UN!$C:$C,$C415,DRE_por_UN!$E:$E,$E415)*VLOOKUP($D415,$A$25:$H$36,4,0)</f>
        <v>49144.095</v>
      </c>
      <c r="H415" s="61" t="n">
        <f aca="false">VLOOKUP($D415,$A$25:$H$36,5,0)*(1+$B$5)^($A415-2025)*INDEX($B$40:$M$44,MATCH($E415,$A$40:$A$44,0),$B415)</f>
        <v>45210.93</v>
      </c>
      <c r="I415" s="62" t="n">
        <f aca="false">IF(H415=0,0,G415/H415)</f>
        <v>1.08699588794126</v>
      </c>
      <c r="J415" s="61" t="n">
        <f aca="false">G415-H415</f>
        <v>3933.165</v>
      </c>
      <c r="K415" s="61" t="n">
        <f aca="false">SUMIFS($G$48:$G$479,$D$48:$D$479,$D415,$A$48:$A$479,$A415,$B$48:$B$479,"&lt;="&amp;$B415)</f>
        <v>378887.7624</v>
      </c>
      <c r="L415" s="61" t="n">
        <f aca="false">SUMIFS($H$48:$H$479,$D$48:$D$479,$D415,$A$48:$A$479,$A415,$B$48:$B$479,"&lt;="&amp;$B415)</f>
        <v>348674.7</v>
      </c>
      <c r="M415" s="62" t="n">
        <f aca="false">IF(L415=0,0,K415/L415)</f>
        <v>1.08665114618296</v>
      </c>
    </row>
    <row r="416" customFormat="false" ht="15" hidden="false" customHeight="false" outlineLevel="0" collapsed="false">
      <c r="A416" s="56" t="n">
        <v>2025</v>
      </c>
      <c r="B416" s="56" t="n">
        <v>9</v>
      </c>
      <c r="C416" s="56" t="s">
        <v>156</v>
      </c>
      <c r="D416" s="56" t="s">
        <v>325</v>
      </c>
      <c r="E416" s="56" t="s">
        <v>145</v>
      </c>
      <c r="F416" s="56" t="s">
        <v>336</v>
      </c>
      <c r="G416" s="73" t="n">
        <f aca="false">SUMIFS(DRE_por_UN!$F:$F,DRE_por_UN!$C:$C,$C416,DRE_por_UN!$E:$E,$E416)*VLOOKUP($D416,$A$25:$H$36,4,0)</f>
        <v>49582.2936</v>
      </c>
      <c r="H416" s="61" t="n">
        <f aca="false">VLOOKUP($D416,$A$25:$H$36,5,0)*(1+$B$5)^($A416-2025)*INDEX($B$40:$M$44,MATCH($E416,$A$40:$A$44,0),$B416)</f>
        <v>45600.2</v>
      </c>
      <c r="I416" s="62" t="n">
        <f aca="false">IF(H416=0,0,G416/H416)</f>
        <v>1.0873262310253</v>
      </c>
      <c r="J416" s="61" t="n">
        <f aca="false">G416-H416</f>
        <v>3982.09359999999</v>
      </c>
      <c r="K416" s="61" t="n">
        <f aca="false">SUMIFS($G$48:$G$479,$D$48:$D$479,$D416,$A$48:$A$479,$A416,$B$48:$B$479,"&lt;="&amp;$B416)</f>
        <v>428470.056</v>
      </c>
      <c r="L416" s="61" t="n">
        <f aca="false">SUMIFS($H$48:$H$479,$D$48:$D$479,$D416,$A$48:$A$479,$A416,$B$48:$B$479,"&lt;="&amp;$B416)</f>
        <v>394274.9</v>
      </c>
      <c r="M416" s="62" t="n">
        <f aca="false">IF(L416=0,0,K416/L416)</f>
        <v>1.08672922369646</v>
      </c>
    </row>
    <row r="417" customFormat="false" ht="15" hidden="false" customHeight="false" outlineLevel="0" collapsed="false">
      <c r="A417" s="56" t="n">
        <v>2025</v>
      </c>
      <c r="B417" s="56" t="n">
        <v>10</v>
      </c>
      <c r="C417" s="56" t="s">
        <v>157</v>
      </c>
      <c r="D417" s="56" t="s">
        <v>325</v>
      </c>
      <c r="E417" s="56" t="s">
        <v>145</v>
      </c>
      <c r="F417" s="56" t="s">
        <v>336</v>
      </c>
      <c r="G417" s="73" t="n">
        <f aca="false">SUMIFS(DRE_por_UN!$F:$F,DRE_por_UN!$C:$C,$C417,DRE_por_UN!$E:$E,$E417)*VLOOKUP($D417,$A$25:$H$36,4,0)</f>
        <v>50039.9424</v>
      </c>
      <c r="H417" s="61" t="n">
        <f aca="false">VLOOKUP($D417,$A$25:$H$36,5,0)*(1+$B$5)^($A417-2025)*INDEX($B$40:$M$44,MATCH($E417,$A$40:$A$44,0),$B417)</f>
        <v>46045.08</v>
      </c>
      <c r="I417" s="62" t="n">
        <f aca="false">IF(H417=0,0,G417/H417)</f>
        <v>1.08675981016864</v>
      </c>
      <c r="J417" s="61" t="n">
        <f aca="false">G417-H417</f>
        <v>3994.8624</v>
      </c>
      <c r="K417" s="61" t="n">
        <f aca="false">SUMIFS($G$48:$G$479,$D$48:$D$479,$D417,$A$48:$A$479,$A417,$B$48:$B$479,"&lt;="&amp;$B417)</f>
        <v>478509.9984</v>
      </c>
      <c r="L417" s="61" t="n">
        <f aca="false">SUMIFS($H$48:$H$479,$D$48:$D$479,$D417,$A$48:$A$479,$A417,$B$48:$B$479,"&lt;="&amp;$B417)</f>
        <v>440319.98</v>
      </c>
      <c r="M417" s="62" t="n">
        <f aca="false">IF(L417=0,0,K417/L417)</f>
        <v>1.0867324221808</v>
      </c>
    </row>
    <row r="418" customFormat="false" ht="15" hidden="false" customHeight="false" outlineLevel="0" collapsed="false">
      <c r="A418" s="56" t="n">
        <v>2025</v>
      </c>
      <c r="B418" s="56" t="n">
        <v>11</v>
      </c>
      <c r="C418" s="56" t="s">
        <v>158</v>
      </c>
      <c r="D418" s="56" t="s">
        <v>325</v>
      </c>
      <c r="E418" s="56" t="s">
        <v>145</v>
      </c>
      <c r="F418" s="56" t="s">
        <v>336</v>
      </c>
      <c r="G418" s="73" t="n">
        <f aca="false">SUMIFS(DRE_por_UN!$F:$F,DRE_por_UN!$C:$C,$C418,DRE_por_UN!$E:$E,$E418)*VLOOKUP($D418,$A$25:$H$36,4,0)</f>
        <v>61967.9424</v>
      </c>
      <c r="H418" s="61" t="n">
        <f aca="false">VLOOKUP($D418,$A$25:$H$36,5,0)*(1+$B$5)^($A418-2025)*INDEX($B$40:$M$44,MATCH($E418,$A$40:$A$44,0),$B418)</f>
        <v>57000.25</v>
      </c>
      <c r="I418" s="62" t="n">
        <f aca="false">IF(H418=0,0,G418/H418)</f>
        <v>1.08715211599949</v>
      </c>
      <c r="J418" s="61" t="n">
        <f aca="false">G418-H418</f>
        <v>4967.6924</v>
      </c>
      <c r="K418" s="61" t="n">
        <f aca="false">SUMIFS($G$48:$G$479,$D$48:$D$479,$D418,$A$48:$A$479,$A418,$B$48:$B$479,"&lt;="&amp;$B418)</f>
        <v>540477.9408</v>
      </c>
      <c r="L418" s="61" t="n">
        <f aca="false">SUMIFS($H$48:$H$479,$D$48:$D$479,$D418,$A$48:$A$479,$A418,$B$48:$B$479,"&lt;="&amp;$B418)</f>
        <v>497320.23</v>
      </c>
      <c r="M418" s="62" t="n">
        <f aca="false">IF(L418=0,0,K418/L418)</f>
        <v>1.08678052529655</v>
      </c>
    </row>
    <row r="419" customFormat="false" ht="15" hidden="false" customHeight="false" outlineLevel="0" collapsed="false">
      <c r="A419" s="56" t="n">
        <v>2025</v>
      </c>
      <c r="B419" s="56" t="n">
        <v>12</v>
      </c>
      <c r="C419" s="56" t="s">
        <v>159</v>
      </c>
      <c r="D419" s="56" t="s">
        <v>325</v>
      </c>
      <c r="E419" s="56" t="s">
        <v>145</v>
      </c>
      <c r="F419" s="56" t="s">
        <v>336</v>
      </c>
      <c r="G419" s="73" t="n">
        <f aca="false">SUMIFS(DRE_por_UN!$F:$F,DRE_por_UN!$C:$C,$C419,DRE_por_UN!$E:$E,$E419)*VLOOKUP($D419,$A$25:$H$36,4,0)</f>
        <v>63928.9896</v>
      </c>
      <c r="H419" s="61" t="n">
        <f aca="false">VLOOKUP($D419,$A$25:$H$36,5,0)*(1+$B$5)^($A419-2025)*INDEX($B$40:$M$44,MATCH($E419,$A$40:$A$44,0),$B419)</f>
        <v>58835.38</v>
      </c>
      <c r="I419" s="62" t="n">
        <f aca="false">IF(H419=0,0,G419/H419)</f>
        <v>1.08657392201767</v>
      </c>
      <c r="J419" s="61" t="n">
        <f aca="false">G419-H419</f>
        <v>5093.6096</v>
      </c>
      <c r="K419" s="61" t="n">
        <f aca="false">SUMIFS($G$48:$G$479,$D$48:$D$479,$D419,$A$48:$A$479,$A419,$B$48:$B$479,"&lt;="&amp;$B419)</f>
        <v>604406.9304</v>
      </c>
      <c r="L419" s="61" t="n">
        <f aca="false">SUMIFS($H$48:$H$479,$D$48:$D$479,$D419,$A$48:$A$479,$A419,$B$48:$B$479,"&lt;="&amp;$B419)</f>
        <v>556155.61</v>
      </c>
      <c r="M419" s="62" t="n">
        <f aca="false">IF(L419=0,0,K419/L419)</f>
        <v>1.08675866885529</v>
      </c>
    </row>
    <row r="420" customFormat="false" ht="15" hidden="false" customHeight="false" outlineLevel="0" collapsed="false">
      <c r="A420" s="56" t="n">
        <v>2026</v>
      </c>
      <c r="B420" s="56" t="n">
        <v>1</v>
      </c>
      <c r="C420" s="56" t="s">
        <v>160</v>
      </c>
      <c r="D420" s="56" t="s">
        <v>325</v>
      </c>
      <c r="E420" s="56" t="s">
        <v>145</v>
      </c>
      <c r="F420" s="56" t="s">
        <v>336</v>
      </c>
      <c r="G420" s="73" t="n">
        <f aca="false">SUMIFS(DRE_por_UN!$F:$F,DRE_por_UN!$C:$C,$C420,DRE_por_UN!$E:$E,$E420)*VLOOKUP($D420,$A$25:$H$36,4,0)</f>
        <v>45475.7016</v>
      </c>
      <c r="H420" s="61" t="n">
        <f aca="false">VLOOKUP($D420,$A$25:$H$36,5,0)*(1+$B$5)^($A420-2025)*INDEX($B$40:$M$44,MATCH($E420,$A$40:$A$44,0),$B420)</f>
        <v>40967.887</v>
      </c>
      <c r="I420" s="62" t="n">
        <f aca="false">IF(H420=0,0,G420/H420)</f>
        <v>1.11003288014342</v>
      </c>
      <c r="J420" s="61" t="n">
        <f aca="false">G420-H420</f>
        <v>4507.81459999999</v>
      </c>
      <c r="K420" s="61" t="n">
        <f aca="false">SUMIFS($G$48:$G$479,$D$48:$D$479,$D420,$A$48:$A$479,$A420,$B$48:$B$479,"&lt;="&amp;$B420)</f>
        <v>45475.7016</v>
      </c>
      <c r="L420" s="61" t="n">
        <f aca="false">SUMIFS($H$48:$H$479,$D$48:$D$479,$D420,$A$48:$A$479,$A420,$B$48:$B$479,"&lt;="&amp;$B420)</f>
        <v>40967.887</v>
      </c>
      <c r="M420" s="62" t="n">
        <f aca="false">IF(L420=0,0,K420/L420)</f>
        <v>1.11003288014342</v>
      </c>
    </row>
    <row r="421" customFormat="false" ht="15" hidden="false" customHeight="false" outlineLevel="0" collapsed="false">
      <c r="A421" s="56" t="n">
        <v>2026</v>
      </c>
      <c r="B421" s="56" t="n">
        <v>2</v>
      </c>
      <c r="C421" s="56" t="s">
        <v>161</v>
      </c>
      <c r="D421" s="56" t="s">
        <v>325</v>
      </c>
      <c r="E421" s="56" t="s">
        <v>145</v>
      </c>
      <c r="F421" s="56" t="s">
        <v>336</v>
      </c>
      <c r="G421" s="73" t="n">
        <f aca="false">SUMIFS(DRE_por_UN!$F:$F,DRE_por_UN!$C:$C,$C421,DRE_por_UN!$E:$E,$E421)*VLOOKUP($D421,$A$25:$H$36,4,0)</f>
        <v>43017.4584</v>
      </c>
      <c r="H421" s="61" t="n">
        <f aca="false">VLOOKUP($D421,$A$25:$H$36,5,0)*(1+$B$5)^($A421-2025)*INDEX($B$40:$M$44,MATCH($E421,$A$40:$A$44,0),$B421)</f>
        <v>39730.0084</v>
      </c>
      <c r="I421" s="62" t="n">
        <f aca="false">IF(H421=0,0,G421/H421)</f>
        <v>1.08274475975193</v>
      </c>
      <c r="J421" s="61" t="n">
        <f aca="false">G421-H421</f>
        <v>3287.45</v>
      </c>
      <c r="K421" s="61" t="n">
        <f aca="false">SUMIFS($G$48:$G$479,$D$48:$D$479,$D421,$A$48:$A$479,$A421,$B$48:$B$479,"&lt;="&amp;$B421)</f>
        <v>88493.16</v>
      </c>
      <c r="L421" s="61" t="n">
        <f aca="false">SUMIFS($H$48:$H$479,$D$48:$D$479,$D421,$A$48:$A$479,$A421,$B$48:$B$479,"&lt;="&amp;$B421)</f>
        <v>80697.8954</v>
      </c>
      <c r="M421" s="62" t="n">
        <f aca="false">IF(L421=0,0,K421/L421)</f>
        <v>1.09659811524651</v>
      </c>
    </row>
    <row r="422" customFormat="false" ht="15" hidden="false" customHeight="false" outlineLevel="0" collapsed="false">
      <c r="A422" s="56" t="n">
        <v>2026</v>
      </c>
      <c r="B422" s="56" t="n">
        <v>3</v>
      </c>
      <c r="C422" s="56" t="s">
        <v>162</v>
      </c>
      <c r="D422" s="56" t="s">
        <v>325</v>
      </c>
      <c r="E422" s="56" t="s">
        <v>145</v>
      </c>
      <c r="F422" s="56" t="s">
        <v>336</v>
      </c>
      <c r="G422" s="73" t="n">
        <f aca="false">SUMIFS(DRE_por_UN!$F:$F,DRE_por_UN!$C:$C,$C422,DRE_por_UN!$E:$E,$E422)*VLOOKUP($D422,$A$25:$H$36,4,0)</f>
        <v>50033.3946</v>
      </c>
      <c r="H422" s="61" t="n">
        <f aca="false">VLOOKUP($D422,$A$25:$H$36,5,0)*(1+$B$5)^($A422-2025)*INDEX($B$40:$M$44,MATCH($E422,$A$40:$A$44,0),$B422)</f>
        <v>47746.746</v>
      </c>
      <c r="I422" s="62" t="n">
        <f aca="false">IF(H422=0,0,G422/H422)</f>
        <v>1.04789119241759</v>
      </c>
      <c r="J422" s="61" t="n">
        <f aca="false">G422-H422</f>
        <v>2286.6486</v>
      </c>
      <c r="K422" s="61" t="n">
        <f aca="false">SUMIFS($G$48:$G$479,$D$48:$D$479,$D422,$A$48:$A$479,$A422,$B$48:$B$479,"&lt;="&amp;$B422)</f>
        <v>138526.5546</v>
      </c>
      <c r="L422" s="61" t="n">
        <f aca="false">SUMIFS($H$48:$H$479,$D$48:$D$479,$D422,$A$48:$A$479,$A422,$B$48:$B$479,"&lt;="&amp;$B422)</f>
        <v>128444.6414</v>
      </c>
      <c r="M422" s="62" t="n">
        <f aca="false">IF(L422=0,0,K422/L422)</f>
        <v>1.07849228344687</v>
      </c>
    </row>
    <row r="423" customFormat="false" ht="15" hidden="false" customHeight="false" outlineLevel="0" collapsed="false">
      <c r="A423" s="56" t="n">
        <v>2026</v>
      </c>
      <c r="B423" s="56" t="n">
        <v>4</v>
      </c>
      <c r="C423" s="56" t="s">
        <v>163</v>
      </c>
      <c r="D423" s="56" t="s">
        <v>325</v>
      </c>
      <c r="E423" s="56" t="s">
        <v>145</v>
      </c>
      <c r="F423" s="56" t="s">
        <v>336</v>
      </c>
      <c r="G423" s="73" t="n">
        <f aca="false">SUMIFS(DRE_por_UN!$F:$F,DRE_por_UN!$C:$C,$C423,DRE_por_UN!$E:$E,$E423)*VLOOKUP($D423,$A$25:$H$36,4,0)</f>
        <v>48089.601</v>
      </c>
      <c r="H423" s="61" t="n">
        <f aca="false">VLOOKUP($D423,$A$25:$H$36,5,0)*(1+$B$5)^($A423-2025)*INDEX($B$40:$M$44,MATCH($E423,$A$40:$A$44,0),$B423)</f>
        <v>46096.2412</v>
      </c>
      <c r="I423" s="62" t="n">
        <f aca="false">IF(H423=0,0,G423/H423)</f>
        <v>1.0432434347814</v>
      </c>
      <c r="J423" s="61" t="n">
        <f aca="false">G423-H423</f>
        <v>1993.3598</v>
      </c>
      <c r="K423" s="61" t="n">
        <f aca="false">SUMIFS($G$48:$G$479,$D$48:$D$479,$D423,$A$48:$A$479,$A423,$B$48:$B$479,"&lt;="&amp;$B423)</f>
        <v>186616.1556</v>
      </c>
      <c r="L423" s="61" t="n">
        <f aca="false">SUMIFS($H$48:$H$479,$D$48:$D$479,$D423,$A$48:$A$479,$A423,$B$48:$B$479,"&lt;="&amp;$B423)</f>
        <v>174540.8826</v>
      </c>
      <c r="M423" s="62" t="n">
        <f aca="false">IF(L423=0,0,K423/L423)</f>
        <v>1.06918306370476</v>
      </c>
    </row>
    <row r="424" customFormat="false" ht="15" hidden="false" customHeight="false" outlineLevel="0" collapsed="false">
      <c r="A424" s="56" t="n">
        <v>2026</v>
      </c>
      <c r="B424" s="56" t="n">
        <v>5</v>
      </c>
      <c r="C424" s="56" t="s">
        <v>164</v>
      </c>
      <c r="D424" s="56" t="s">
        <v>325</v>
      </c>
      <c r="E424" s="56" t="s">
        <v>145</v>
      </c>
      <c r="F424" s="56" t="s">
        <v>336</v>
      </c>
      <c r="G424" s="73" t="n">
        <f aca="false">SUMIFS(DRE_por_UN!$F:$F,DRE_por_UN!$C:$C,$C424,DRE_por_UN!$E:$E,$E424)*VLOOKUP($D424,$A$25:$H$36,4,0)</f>
        <v>52916.0856</v>
      </c>
      <c r="H424" s="61" t="n">
        <f aca="false">VLOOKUP($D424,$A$25:$H$36,5,0)*(1+$B$5)^($A424-2025)*INDEX($B$40:$M$44,MATCH($E424,$A$40:$A$44,0),$B424)</f>
        <v>47452.013</v>
      </c>
      <c r="I424" s="62" t="n">
        <f aca="false">IF(H424=0,0,G424/H424)</f>
        <v>1.11514943739057</v>
      </c>
      <c r="J424" s="61" t="n">
        <f aca="false">G424-H424</f>
        <v>5464.0726</v>
      </c>
      <c r="K424" s="61" t="n">
        <f aca="false">SUMIFS($G$48:$G$479,$D$48:$D$479,$D424,$A$48:$A$479,$A424,$B$48:$B$479,"&lt;="&amp;$B424)</f>
        <v>239532.2412</v>
      </c>
      <c r="L424" s="61" t="n">
        <f aca="false">SUMIFS($H$48:$H$479,$D$48:$D$479,$D424,$A$48:$A$479,$A424,$B$48:$B$479,"&lt;="&amp;$B424)</f>
        <v>221992.8956</v>
      </c>
      <c r="M424" s="62" t="n">
        <f aca="false">IF(L424=0,0,K424/L424)</f>
        <v>1.07900858967849</v>
      </c>
    </row>
    <row r="425" customFormat="false" ht="15" hidden="false" customHeight="false" outlineLevel="0" collapsed="false">
      <c r="A425" s="56" t="n">
        <v>2026</v>
      </c>
      <c r="B425" s="56" t="n">
        <v>6</v>
      </c>
      <c r="C425" s="56" t="s">
        <v>165</v>
      </c>
      <c r="D425" s="56" t="s">
        <v>325</v>
      </c>
      <c r="E425" s="56" t="s">
        <v>145</v>
      </c>
      <c r="F425" s="56" t="s">
        <v>336</v>
      </c>
      <c r="G425" s="73" t="n">
        <f aca="false">SUMIFS(DRE_por_UN!$F:$F,DRE_por_UN!$C:$C,$C425,DRE_por_UN!$E:$E,$E425)*VLOOKUP($D425,$A$25:$H$36,4,0)</f>
        <v>53340.1554</v>
      </c>
      <c r="H425" s="61" t="n">
        <f aca="false">VLOOKUP($D425,$A$25:$H$36,5,0)*(1+$B$5)^($A425-2025)*INDEX($B$40:$M$44,MATCH($E425,$A$40:$A$44,0),$B425)</f>
        <v>49868.8236</v>
      </c>
      <c r="I425" s="62" t="n">
        <f aca="false">IF(H425=0,0,G425/H425)</f>
        <v>1.06960925783699</v>
      </c>
      <c r="J425" s="61" t="n">
        <f aca="false">G425-H425</f>
        <v>3471.3318</v>
      </c>
      <c r="K425" s="61" t="n">
        <f aca="false">SUMIFS($G$48:$G$479,$D$48:$D$479,$D425,$A$48:$A$479,$A425,$B$48:$B$479,"&lt;="&amp;$B425)</f>
        <v>292872.3966</v>
      </c>
      <c r="L425" s="61" t="n">
        <f aca="false">SUMIFS($H$48:$H$479,$D$48:$D$479,$D425,$A$48:$A$479,$A425,$B$48:$B$479,"&lt;="&amp;$B425)</f>
        <v>271861.7192</v>
      </c>
      <c r="M425" s="62" t="n">
        <f aca="false">IF(L425=0,0,K425/L425)</f>
        <v>1.07728442776654</v>
      </c>
    </row>
    <row r="426" customFormat="false" ht="15" hidden="false" customHeight="false" outlineLevel="0" collapsed="false">
      <c r="A426" s="56" t="n">
        <v>2026</v>
      </c>
      <c r="B426" s="56" t="n">
        <v>7</v>
      </c>
      <c r="C426" s="56" t="s">
        <v>166</v>
      </c>
      <c r="D426" s="56" t="s">
        <v>325</v>
      </c>
      <c r="E426" s="56" t="s">
        <v>145</v>
      </c>
      <c r="F426" s="56" t="s">
        <v>336</v>
      </c>
      <c r="G426" s="73" t="n">
        <f aca="false">SUMIFS(DRE_por_UN!$F:$F,DRE_por_UN!$C:$C,$C426,DRE_por_UN!$E:$E,$E426)*VLOOKUP($D426,$A$25:$H$36,4,0)</f>
        <v>55559.364</v>
      </c>
      <c r="H426" s="61" t="n">
        <f aca="false">VLOOKUP($D426,$A$25:$H$36,5,0)*(1+$B$5)^($A426-2025)*INDEX($B$40:$M$44,MATCH($E426,$A$40:$A$44,0),$B426)</f>
        <v>49809.877</v>
      </c>
      <c r="I426" s="62" t="n">
        <f aca="false">IF(H426=0,0,G426/H426)</f>
        <v>1.11542865283526</v>
      </c>
      <c r="J426" s="61" t="n">
        <f aca="false">G426-H426</f>
        <v>5749.487</v>
      </c>
      <c r="K426" s="61" t="n">
        <f aca="false">SUMIFS($G$48:$G$479,$D$48:$D$479,$D426,$A$48:$A$479,$A426,$B$48:$B$479,"&lt;="&amp;$B426)</f>
        <v>348431.7606</v>
      </c>
      <c r="L426" s="61" t="n">
        <f aca="false">SUMIFS($H$48:$H$479,$D$48:$D$479,$D426,$A$48:$A$479,$A426,$B$48:$B$479,"&lt;="&amp;$B426)</f>
        <v>321671.5962</v>
      </c>
      <c r="M426" s="62" t="n">
        <f aca="false">IF(L426=0,0,K426/L426)</f>
        <v>1.08319094603355</v>
      </c>
    </row>
    <row r="427" customFormat="false" ht="15" hidden="false" customHeight="false" outlineLevel="0" collapsed="false">
      <c r="A427" s="56" t="n">
        <v>2026</v>
      </c>
      <c r="B427" s="56" t="n">
        <v>8</v>
      </c>
      <c r="C427" s="56" t="s">
        <v>167</v>
      </c>
      <c r="D427" s="56" t="s">
        <v>325</v>
      </c>
      <c r="E427" s="56" t="s">
        <v>145</v>
      </c>
      <c r="F427" s="56" t="s">
        <v>336</v>
      </c>
      <c r="G427" s="73" t="n">
        <f aca="false">SUMIFS(DRE_por_UN!$F:$F,DRE_por_UN!$C:$C,$C427,DRE_por_UN!$E:$E,$E427)*VLOOKUP($D427,$A$25:$H$36,4,0)</f>
        <v>52097.2032</v>
      </c>
      <c r="H427" s="61" t="n">
        <f aca="false">VLOOKUP($D427,$A$25:$H$36,5,0)*(1+$B$5)^($A427-2025)*INDEX($B$40:$M$44,MATCH($E427,$A$40:$A$44,0),$B427)</f>
        <v>47923.5858</v>
      </c>
      <c r="I427" s="62" t="n">
        <f aca="false">IF(H427=0,0,G427/H427)</f>
        <v>1.08708900493001</v>
      </c>
      <c r="J427" s="61" t="n">
        <f aca="false">G427-H427</f>
        <v>4173.6174</v>
      </c>
      <c r="K427" s="61" t="n">
        <f aca="false">SUMIFS($G$48:$G$479,$D$48:$D$479,$D427,$A$48:$A$479,$A427,$B$48:$B$479,"&lt;="&amp;$B427)</f>
        <v>400528.9638</v>
      </c>
      <c r="L427" s="61" t="n">
        <f aca="false">SUMIFS($H$48:$H$479,$D$48:$D$479,$D427,$A$48:$A$479,$A427,$B$48:$B$479,"&lt;="&amp;$B427)</f>
        <v>369595.182</v>
      </c>
      <c r="M427" s="62" t="n">
        <f aca="false">IF(L427=0,0,K427/L427)</f>
        <v>1.08369638812012</v>
      </c>
    </row>
    <row r="428" customFormat="false" ht="15" hidden="false" customHeight="false" outlineLevel="0" collapsed="false">
      <c r="A428" s="56" t="n">
        <v>2026</v>
      </c>
      <c r="B428" s="56" t="n">
        <v>9</v>
      </c>
      <c r="C428" s="56" t="s">
        <v>168</v>
      </c>
      <c r="D428" s="56" t="s">
        <v>325</v>
      </c>
      <c r="E428" s="56" t="s">
        <v>145</v>
      </c>
      <c r="F428" s="56" t="s">
        <v>336</v>
      </c>
      <c r="G428" s="73" t="n">
        <f aca="false">SUMIFS(DRE_por_UN!$F:$F,DRE_por_UN!$C:$C,$C428,DRE_por_UN!$E:$E,$E428)*VLOOKUP($D428,$A$25:$H$36,4,0)</f>
        <v>49180.7652</v>
      </c>
      <c r="H428" s="61" t="n">
        <f aca="false">VLOOKUP($D428,$A$25:$H$36,5,0)*(1+$B$5)^($A428-2025)*INDEX($B$40:$M$44,MATCH($E428,$A$40:$A$44,0),$B428)</f>
        <v>48336.212</v>
      </c>
      <c r="I428" s="62" t="n">
        <f aca="false">IF(H428=0,0,G428/H428)</f>
        <v>1.01747247384632</v>
      </c>
      <c r="J428" s="61" t="n">
        <f aca="false">G428-H428</f>
        <v>844.553199999995</v>
      </c>
      <c r="K428" s="61" t="n">
        <f aca="false">SUMIFS($G$48:$G$479,$D$48:$D$479,$D428,$A$48:$A$479,$A428,$B$48:$B$479,"&lt;="&amp;$B428)</f>
        <v>449709.729</v>
      </c>
      <c r="L428" s="61" t="n">
        <f aca="false">SUMIFS($H$48:$H$479,$D$48:$D$479,$D428,$A$48:$A$479,$A428,$B$48:$B$479,"&lt;="&amp;$B428)</f>
        <v>417931.394</v>
      </c>
      <c r="M428" s="62" t="n">
        <f aca="false">IF(L428=0,0,K428/L428)</f>
        <v>1.07603720480496</v>
      </c>
    </row>
    <row r="429" customFormat="false" ht="15" hidden="false" customHeight="false" outlineLevel="0" collapsed="false">
      <c r="A429" s="56" t="n">
        <v>2026</v>
      </c>
      <c r="B429" s="56" t="n">
        <v>10</v>
      </c>
      <c r="C429" s="56" t="s">
        <v>169</v>
      </c>
      <c r="D429" s="56" t="s">
        <v>325</v>
      </c>
      <c r="E429" s="56" t="s">
        <v>145</v>
      </c>
      <c r="F429" s="56" t="s">
        <v>336</v>
      </c>
      <c r="G429" s="73" t="n">
        <f aca="false">SUMIFS(DRE_por_UN!$F:$F,DRE_por_UN!$C:$C,$C429,DRE_por_UN!$E:$E,$E429)*VLOOKUP($D429,$A$25:$H$36,4,0)</f>
        <v>51688.2576</v>
      </c>
      <c r="H429" s="61" t="n">
        <f aca="false">VLOOKUP($D429,$A$25:$H$36,5,0)*(1+$B$5)^($A429-2025)*INDEX($B$40:$M$44,MATCH($E429,$A$40:$A$44,0),$B429)</f>
        <v>48807.7848</v>
      </c>
      <c r="I429" s="62" t="n">
        <f aca="false">IF(H429=0,0,G429/H429)</f>
        <v>1.05901666735754</v>
      </c>
      <c r="J429" s="61" t="n">
        <f aca="false">G429-H429</f>
        <v>2880.4728</v>
      </c>
      <c r="K429" s="61" t="n">
        <f aca="false">SUMIFS($G$48:$G$479,$D$48:$D$479,$D429,$A$48:$A$479,$A429,$B$48:$B$479,"&lt;="&amp;$B429)</f>
        <v>501397.9866</v>
      </c>
      <c r="L429" s="61" t="n">
        <f aca="false">SUMIFS($H$48:$H$479,$D$48:$D$479,$D429,$A$48:$A$479,$A429,$B$48:$B$479,"&lt;="&amp;$B429)</f>
        <v>466739.1788</v>
      </c>
      <c r="M429" s="62" t="n">
        <f aca="false">IF(L429=0,0,K429/L429)</f>
        <v>1.07425733551897</v>
      </c>
    </row>
    <row r="430" customFormat="false" ht="15" hidden="false" customHeight="false" outlineLevel="0" collapsed="false">
      <c r="A430" s="56" t="n">
        <v>2026</v>
      </c>
      <c r="B430" s="56" t="n">
        <v>11</v>
      </c>
      <c r="C430" s="56" t="s">
        <v>170</v>
      </c>
      <c r="D430" s="56" t="s">
        <v>325</v>
      </c>
      <c r="E430" s="56" t="s">
        <v>145</v>
      </c>
      <c r="F430" s="56" t="s">
        <v>336</v>
      </c>
      <c r="G430" s="73" t="n">
        <f aca="false">SUMIFS(DRE_por_UN!$F:$F,DRE_por_UN!$C:$C,$C430,DRE_por_UN!$E:$E,$E430)*VLOOKUP($D430,$A$25:$H$36,4,0)</f>
        <v>63359.4402</v>
      </c>
      <c r="H430" s="61" t="n">
        <f aca="false">VLOOKUP($D430,$A$25:$H$36,5,0)*(1+$B$5)^($A430-2025)*INDEX($B$40:$M$44,MATCH($E430,$A$40:$A$44,0),$B430)</f>
        <v>60420.265</v>
      </c>
      <c r="I430" s="62" t="n">
        <f aca="false">IF(H430=0,0,G430/H430)</f>
        <v>1.04864551984338</v>
      </c>
      <c r="J430" s="61" t="n">
        <f aca="false">G430-H430</f>
        <v>2939.1752</v>
      </c>
      <c r="K430" s="61" t="n">
        <f aca="false">SUMIFS($G$48:$G$479,$D$48:$D$479,$D430,$A$48:$A$479,$A430,$B$48:$B$479,"&lt;="&amp;$B430)</f>
        <v>564757.4268</v>
      </c>
      <c r="L430" s="61" t="n">
        <f aca="false">SUMIFS($H$48:$H$479,$D$48:$D$479,$D430,$A$48:$A$479,$A430,$B$48:$B$479,"&lt;="&amp;$B430)</f>
        <v>527159.4438</v>
      </c>
      <c r="M430" s="62" t="n">
        <f aca="false">IF(L430=0,0,K430/L430)</f>
        <v>1.07132184283559</v>
      </c>
    </row>
    <row r="431" customFormat="false" ht="15" hidden="false" customHeight="false" outlineLevel="0" collapsed="false">
      <c r="A431" s="56" t="n">
        <v>2026</v>
      </c>
      <c r="B431" s="56" t="n">
        <v>12</v>
      </c>
      <c r="C431" s="56" t="s">
        <v>171</v>
      </c>
      <c r="D431" s="56" t="s">
        <v>325</v>
      </c>
      <c r="E431" s="56" t="s">
        <v>145</v>
      </c>
      <c r="F431" s="56" t="s">
        <v>336</v>
      </c>
      <c r="G431" s="73" t="n">
        <f aca="false">SUMIFS(DRE_por_UN!$F:$F,DRE_por_UN!$C:$C,$C431,DRE_por_UN!$E:$E,$E431)*VLOOKUP($D431,$A$25:$H$36,4,0)</f>
        <v>67173.8508</v>
      </c>
      <c r="H431" s="61" t="n">
        <f aca="false">VLOOKUP($D431,$A$25:$H$36,5,0)*(1+$B$5)^($A431-2025)*INDEX($B$40:$M$44,MATCH($E431,$A$40:$A$44,0),$B431)</f>
        <v>62365.5028</v>
      </c>
      <c r="I431" s="62" t="n">
        <f aca="false">IF(H431=0,0,G431/H431)</f>
        <v>1.07709948263257</v>
      </c>
      <c r="J431" s="61" t="n">
        <f aca="false">G431-H431</f>
        <v>4808.348</v>
      </c>
      <c r="K431" s="61" t="n">
        <f aca="false">SUMIFS($G$48:$G$479,$D$48:$D$479,$D431,$A$48:$A$479,$A431,$B$48:$B$479,"&lt;="&amp;$B431)</f>
        <v>631931.2776</v>
      </c>
      <c r="L431" s="61" t="n">
        <f aca="false">SUMIFS($H$48:$H$479,$D$48:$D$479,$D431,$A$48:$A$479,$A431,$B$48:$B$479,"&lt;="&amp;$B431)</f>
        <v>589524.9466</v>
      </c>
      <c r="M431" s="62" t="n">
        <f aca="false">IF(L431=0,0,K431/L431)</f>
        <v>1.07193305600479</v>
      </c>
    </row>
    <row r="432" customFormat="false" ht="15" hidden="false" customHeight="false" outlineLevel="0" collapsed="false">
      <c r="A432" s="56" t="n">
        <v>2027</v>
      </c>
      <c r="B432" s="56" t="n">
        <v>1</v>
      </c>
      <c r="C432" s="56" t="s">
        <v>172</v>
      </c>
      <c r="D432" s="56" t="s">
        <v>325</v>
      </c>
      <c r="E432" s="56" t="s">
        <v>145</v>
      </c>
      <c r="F432" s="56" t="s">
        <v>336</v>
      </c>
      <c r="G432" s="73" t="n">
        <f aca="false">SUMIFS(DRE_por_UN!$F:$F,DRE_por_UN!$C:$C,$C432,DRE_por_UN!$E:$E,$E432)*VLOOKUP($D432,$A$25:$H$36,4,0)</f>
        <v>48659.000712</v>
      </c>
      <c r="H432" s="61" t="n">
        <f aca="false">VLOOKUP($D432,$A$25:$H$36,5,0)*(1+$B$5)^($A432-2025)*INDEX($B$40:$M$44,MATCH($E432,$A$40:$A$44,0),$B432)</f>
        <v>43425.96022</v>
      </c>
      <c r="I432" s="62" t="n">
        <f aca="false">IF(H432=0,0,G432/H432)</f>
        <v>1.12050488844666</v>
      </c>
      <c r="J432" s="61" t="n">
        <f aca="false">G432-H432</f>
        <v>5233.04049199999</v>
      </c>
      <c r="K432" s="61" t="n">
        <f aca="false">SUMIFS($G$48:$G$479,$D$48:$D$479,$D432,$A$48:$A$479,$A432,$B$48:$B$479,"&lt;="&amp;$B432)</f>
        <v>48659.000712</v>
      </c>
      <c r="L432" s="61" t="n">
        <f aca="false">SUMIFS($H$48:$H$479,$D$48:$D$479,$D432,$A$48:$A$479,$A432,$B$48:$B$479,"&lt;="&amp;$B432)</f>
        <v>43425.96022</v>
      </c>
      <c r="M432" s="62" t="n">
        <f aca="false">IF(L432=0,0,K432/L432)</f>
        <v>1.12050488844666</v>
      </c>
    </row>
    <row r="433" customFormat="false" ht="15" hidden="false" customHeight="false" outlineLevel="0" collapsed="false">
      <c r="A433" s="56" t="n">
        <v>2027</v>
      </c>
      <c r="B433" s="56" t="n">
        <v>2</v>
      </c>
      <c r="C433" s="56" t="s">
        <v>173</v>
      </c>
      <c r="D433" s="56" t="s">
        <v>325</v>
      </c>
      <c r="E433" s="56" t="s">
        <v>145</v>
      </c>
      <c r="F433" s="56" t="s">
        <v>336</v>
      </c>
      <c r="G433" s="73" t="n">
        <f aca="false">SUMIFS(DRE_por_UN!$F:$F,DRE_por_UN!$C:$C,$C433,DRE_por_UN!$E:$E,$E433)*VLOOKUP($D433,$A$25:$H$36,4,0)</f>
        <v>46028.680488</v>
      </c>
      <c r="H433" s="61" t="n">
        <f aca="false">VLOOKUP($D433,$A$25:$H$36,5,0)*(1+$B$5)^($A433-2025)*INDEX($B$40:$M$44,MATCH($E433,$A$40:$A$44,0),$B433)</f>
        <v>42113.808904</v>
      </c>
      <c r="I433" s="62" t="n">
        <f aca="false">IF(H433=0,0,G433/H433)</f>
        <v>1.09295933295713</v>
      </c>
      <c r="J433" s="61" t="n">
        <f aca="false">G433-H433</f>
        <v>3914.871584</v>
      </c>
      <c r="K433" s="61" t="n">
        <f aca="false">SUMIFS($G$48:$G$479,$D$48:$D$479,$D433,$A$48:$A$479,$A433,$B$48:$B$479,"&lt;="&amp;$B433)</f>
        <v>94687.6812</v>
      </c>
      <c r="L433" s="61" t="n">
        <f aca="false">SUMIFS($H$48:$H$479,$D$48:$D$479,$D433,$A$48:$A$479,$A433,$B$48:$B$479,"&lt;="&amp;$B433)</f>
        <v>85539.769124</v>
      </c>
      <c r="M433" s="62" t="n">
        <f aca="false">IF(L433=0,0,K433/L433)</f>
        <v>1.10694338048468</v>
      </c>
    </row>
    <row r="434" customFormat="false" ht="15" hidden="false" customHeight="false" outlineLevel="0" collapsed="false">
      <c r="A434" s="56" t="n">
        <v>2027</v>
      </c>
      <c r="B434" s="56" t="n">
        <v>3</v>
      </c>
      <c r="C434" s="56" t="s">
        <v>174</v>
      </c>
      <c r="D434" s="56" t="s">
        <v>325</v>
      </c>
      <c r="E434" s="56" t="s">
        <v>145</v>
      </c>
      <c r="F434" s="56" t="s">
        <v>336</v>
      </c>
      <c r="G434" s="73" t="n">
        <f aca="false">SUMIFS(DRE_por_UN!$F:$F,DRE_por_UN!$C:$C,$C434,DRE_por_UN!$E:$E,$E434)*VLOOKUP($D434,$A$25:$H$36,4,0)</f>
        <v>53535.732222</v>
      </c>
      <c r="H434" s="61" t="n">
        <f aca="false">VLOOKUP($D434,$A$25:$H$36,5,0)*(1+$B$5)^($A434-2025)*INDEX($B$40:$M$44,MATCH($E434,$A$40:$A$44,0),$B434)</f>
        <v>50611.55076</v>
      </c>
      <c r="I434" s="62" t="n">
        <f aca="false">IF(H434=0,0,G434/H434)</f>
        <v>1.0577769583838</v>
      </c>
      <c r="J434" s="61" t="n">
        <f aca="false">G434-H434</f>
        <v>2924.181462</v>
      </c>
      <c r="K434" s="61" t="n">
        <f aca="false">SUMIFS($G$48:$G$479,$D$48:$D$479,$D434,$A$48:$A$479,$A434,$B$48:$B$479,"&lt;="&amp;$B434)</f>
        <v>148223.413422</v>
      </c>
      <c r="L434" s="61" t="n">
        <f aca="false">SUMIFS($H$48:$H$479,$D$48:$D$479,$D434,$A$48:$A$479,$A434,$B$48:$B$479,"&lt;="&amp;$B434)</f>
        <v>136151.319884</v>
      </c>
      <c r="M434" s="62" t="n">
        <f aca="false">IF(L434=0,0,K434/L434)</f>
        <v>1.08866673895108</v>
      </c>
    </row>
    <row r="435" customFormat="false" ht="15" hidden="false" customHeight="false" outlineLevel="0" collapsed="false">
      <c r="A435" s="56" t="n">
        <v>2027</v>
      </c>
      <c r="B435" s="56" t="n">
        <v>4</v>
      </c>
      <c r="C435" s="56" t="s">
        <v>175</v>
      </c>
      <c r="D435" s="56" t="s">
        <v>325</v>
      </c>
      <c r="E435" s="56" t="s">
        <v>145</v>
      </c>
      <c r="F435" s="56" t="s">
        <v>336</v>
      </c>
      <c r="G435" s="73" t="n">
        <f aca="false">SUMIFS(DRE_por_UN!$F:$F,DRE_por_UN!$C:$C,$C435,DRE_por_UN!$E:$E,$E435)*VLOOKUP($D435,$A$25:$H$36,4,0)</f>
        <v>51455.87307</v>
      </c>
      <c r="H435" s="61" t="n">
        <f aca="false">VLOOKUP($D435,$A$25:$H$36,5,0)*(1+$B$5)^($A435-2025)*INDEX($B$40:$M$44,MATCH($E435,$A$40:$A$44,0),$B435)</f>
        <v>48862.015672</v>
      </c>
      <c r="I435" s="62" t="n">
        <f aca="false">IF(H435=0,0,G435/H435)</f>
        <v>1.05308535397745</v>
      </c>
      <c r="J435" s="61" t="n">
        <f aca="false">G435-H435</f>
        <v>2593.85739799999</v>
      </c>
      <c r="K435" s="61" t="n">
        <f aca="false">SUMIFS($G$48:$G$479,$D$48:$D$479,$D435,$A$48:$A$479,$A435,$B$48:$B$479,"&lt;="&amp;$B435)</f>
        <v>199679.286492</v>
      </c>
      <c r="L435" s="61" t="n">
        <f aca="false">SUMIFS($H$48:$H$479,$D$48:$D$479,$D435,$A$48:$A$479,$A435,$B$48:$B$479,"&lt;="&amp;$B435)</f>
        <v>185013.335556</v>
      </c>
      <c r="M435" s="62" t="n">
        <f aca="false">IF(L435=0,0,K435/L435)</f>
        <v>1.07926969638122</v>
      </c>
    </row>
    <row r="436" customFormat="false" ht="15" hidden="false" customHeight="false" outlineLevel="0" collapsed="false">
      <c r="A436" s="56" t="n">
        <v>2027</v>
      </c>
      <c r="B436" s="56" t="n">
        <v>5</v>
      </c>
      <c r="C436" s="56" t="s">
        <v>176</v>
      </c>
      <c r="D436" s="56" t="s">
        <v>325</v>
      </c>
      <c r="E436" s="56" t="s">
        <v>145</v>
      </c>
      <c r="F436" s="56" t="s">
        <v>336</v>
      </c>
      <c r="G436" s="73" t="n">
        <f aca="false">SUMIFS(DRE_por_UN!$F:$F,DRE_por_UN!$C:$C,$C436,DRE_por_UN!$E:$E,$E436)*VLOOKUP($D436,$A$25:$H$36,4,0)</f>
        <v>56620.211592</v>
      </c>
      <c r="H436" s="61" t="n">
        <f aca="false">VLOOKUP($D436,$A$25:$H$36,5,0)*(1+$B$5)^($A436-2025)*INDEX($B$40:$M$44,MATCH($E436,$A$40:$A$44,0),$B436)</f>
        <v>50299.13378</v>
      </c>
      <c r="I436" s="62" t="n">
        <f aca="false">IF(H436=0,0,G436/H436)</f>
        <v>1.1256697151018</v>
      </c>
      <c r="J436" s="61" t="n">
        <f aca="false">G436-H436</f>
        <v>6321.07781199999</v>
      </c>
      <c r="K436" s="61" t="n">
        <f aca="false">SUMIFS($G$48:$G$479,$D$48:$D$479,$D436,$A$48:$A$479,$A436,$B$48:$B$479,"&lt;="&amp;$B436)</f>
        <v>256299.498084</v>
      </c>
      <c r="L436" s="61" t="n">
        <f aca="false">SUMIFS($H$48:$H$479,$D$48:$D$479,$D436,$A$48:$A$479,$A436,$B$48:$B$479,"&lt;="&amp;$B436)</f>
        <v>235312.469336</v>
      </c>
      <c r="M436" s="62" t="n">
        <f aca="false">IF(L436=0,0,K436/L436)</f>
        <v>1.08918791599621</v>
      </c>
    </row>
    <row r="437" customFormat="false" ht="15" hidden="false" customHeight="false" outlineLevel="0" collapsed="false">
      <c r="A437" s="56" t="n">
        <v>2027</v>
      </c>
      <c r="B437" s="56" t="n">
        <v>6</v>
      </c>
      <c r="C437" s="56" t="s">
        <v>177</v>
      </c>
      <c r="D437" s="56" t="s">
        <v>325</v>
      </c>
      <c r="E437" s="56" t="s">
        <v>145</v>
      </c>
      <c r="F437" s="56" t="s">
        <v>336</v>
      </c>
      <c r="G437" s="73" t="n">
        <f aca="false">SUMIFS(DRE_por_UN!$F:$F,DRE_por_UN!$C:$C,$C437,DRE_por_UN!$E:$E,$E437)*VLOOKUP($D437,$A$25:$H$36,4,0)</f>
        <v>57073.966278</v>
      </c>
      <c r="H437" s="61" t="n">
        <f aca="false">VLOOKUP($D437,$A$25:$H$36,5,0)*(1+$B$5)^($A437-2025)*INDEX($B$40:$M$44,MATCH($E437,$A$40:$A$44,0),$B437)</f>
        <v>52860.953016</v>
      </c>
      <c r="I437" s="62" t="n">
        <f aca="false">IF(H437=0,0,G437/H437)</f>
        <v>1.07969991121282</v>
      </c>
      <c r="J437" s="61" t="n">
        <f aca="false">G437-H437</f>
        <v>4213.01326199999</v>
      </c>
      <c r="K437" s="61" t="n">
        <f aca="false">SUMIFS($G$48:$G$479,$D$48:$D$479,$D437,$A$48:$A$479,$A437,$B$48:$B$479,"&lt;="&amp;$B437)</f>
        <v>313373.464362</v>
      </c>
      <c r="L437" s="61" t="n">
        <f aca="false">SUMIFS($H$48:$H$479,$D$48:$D$479,$D437,$A$48:$A$479,$A437,$B$48:$B$479,"&lt;="&amp;$B437)</f>
        <v>288173.422352</v>
      </c>
      <c r="M437" s="62" t="n">
        <f aca="false">IF(L437=0,0,K437/L437)</f>
        <v>1.08744748840585</v>
      </c>
    </row>
    <row r="438" customFormat="false" ht="15" hidden="false" customHeight="false" outlineLevel="0" collapsed="false">
      <c r="A438" s="56" t="n">
        <v>2027</v>
      </c>
      <c r="B438" s="56" t="n">
        <v>7</v>
      </c>
      <c r="C438" s="56" t="s">
        <v>178</v>
      </c>
      <c r="D438" s="56" t="s">
        <v>325</v>
      </c>
      <c r="E438" s="56" t="s">
        <v>145</v>
      </c>
      <c r="F438" s="56" t="s">
        <v>336</v>
      </c>
      <c r="G438" s="73" t="n">
        <f aca="false">SUMIFS(DRE_por_UN!$F:$F,DRE_por_UN!$C:$C,$C438,DRE_por_UN!$E:$E,$E438)*VLOOKUP($D438,$A$25:$H$36,4,0)</f>
        <v>59448.51948</v>
      </c>
      <c r="H438" s="61" t="n">
        <f aca="false">VLOOKUP($D438,$A$25:$H$36,5,0)*(1+$B$5)^($A438-2025)*INDEX($B$40:$M$44,MATCH($E438,$A$40:$A$44,0),$B438)</f>
        <v>52798.46962</v>
      </c>
      <c r="I438" s="62" t="n">
        <f aca="false">IF(H438=0,0,G438/H438)</f>
        <v>1.12595156465446</v>
      </c>
      <c r="J438" s="61" t="n">
        <f aca="false">G438-H438</f>
        <v>6650.04985999999</v>
      </c>
      <c r="K438" s="61" t="n">
        <f aca="false">SUMIFS($G$48:$G$479,$D$48:$D$479,$D438,$A$48:$A$479,$A438,$B$48:$B$479,"&lt;="&amp;$B438)</f>
        <v>372821.983842</v>
      </c>
      <c r="L438" s="61" t="n">
        <f aca="false">SUMIFS($H$48:$H$479,$D$48:$D$479,$D438,$A$48:$A$479,$A438,$B$48:$B$479,"&lt;="&amp;$B438)</f>
        <v>340971.891972</v>
      </c>
      <c r="M438" s="62" t="n">
        <f aca="false">IF(L438=0,0,K438/L438)</f>
        <v>1.0934097285433</v>
      </c>
    </row>
    <row r="439" customFormat="false" ht="15" hidden="false" customHeight="false" outlineLevel="0" collapsed="false">
      <c r="A439" s="56" t="n">
        <v>2027</v>
      </c>
      <c r="B439" s="56" t="n">
        <v>8</v>
      </c>
      <c r="C439" s="56" t="s">
        <v>179</v>
      </c>
      <c r="D439" s="56" t="s">
        <v>325</v>
      </c>
      <c r="E439" s="56" t="s">
        <v>145</v>
      </c>
      <c r="F439" s="56" t="s">
        <v>336</v>
      </c>
      <c r="G439" s="73" t="n">
        <f aca="false">SUMIFS(DRE_por_UN!$F:$F,DRE_por_UN!$C:$C,$C439,DRE_por_UN!$E:$E,$E439)*VLOOKUP($D439,$A$25:$H$36,4,0)</f>
        <v>55744.007424</v>
      </c>
      <c r="H439" s="61" t="n">
        <f aca="false">VLOOKUP($D439,$A$25:$H$36,5,0)*(1+$B$5)^($A439-2025)*INDEX($B$40:$M$44,MATCH($E439,$A$40:$A$44,0),$B439)</f>
        <v>50799.000948</v>
      </c>
      <c r="I439" s="62" t="n">
        <f aca="false">IF(H439=0,0,G439/H439)</f>
        <v>1.09734456158029</v>
      </c>
      <c r="J439" s="61" t="n">
        <f aca="false">G439-H439</f>
        <v>4945.006476</v>
      </c>
      <c r="K439" s="61" t="n">
        <f aca="false">SUMIFS($G$48:$G$479,$D$48:$D$479,$D439,$A$48:$A$479,$A439,$B$48:$B$479,"&lt;="&amp;$B439)</f>
        <v>428565.991266</v>
      </c>
      <c r="L439" s="61" t="n">
        <f aca="false">SUMIFS($H$48:$H$479,$D$48:$D$479,$D439,$A$48:$A$479,$A439,$B$48:$B$479,"&lt;="&amp;$B439)</f>
        <v>391770.89292</v>
      </c>
      <c r="M439" s="62" t="n">
        <f aca="false">IF(L439=0,0,K439/L439)</f>
        <v>1.09391993895145</v>
      </c>
    </row>
    <row r="440" customFormat="false" ht="15" hidden="false" customHeight="false" outlineLevel="0" collapsed="false">
      <c r="A440" s="56" t="n">
        <v>2027</v>
      </c>
      <c r="B440" s="56" t="n">
        <v>9</v>
      </c>
      <c r="C440" s="56" t="s">
        <v>180</v>
      </c>
      <c r="D440" s="56" t="s">
        <v>325</v>
      </c>
      <c r="E440" s="56" t="s">
        <v>145</v>
      </c>
      <c r="F440" s="56" t="s">
        <v>336</v>
      </c>
      <c r="G440" s="73" t="n">
        <f aca="false">SUMIFS(DRE_por_UN!$F:$F,DRE_por_UN!$C:$C,$C440,DRE_por_UN!$E:$E,$E440)*VLOOKUP($D440,$A$25:$H$36,4,0)</f>
        <v>52623.418764</v>
      </c>
      <c r="H440" s="61" t="n">
        <f aca="false">VLOOKUP($D440,$A$25:$H$36,5,0)*(1+$B$5)^($A440-2025)*INDEX($B$40:$M$44,MATCH($E440,$A$40:$A$44,0),$B440)</f>
        <v>51236.38472</v>
      </c>
      <c r="I440" s="62" t="n">
        <f aca="false">IF(H440=0,0,G440/H440)</f>
        <v>1.02707127076939</v>
      </c>
      <c r="J440" s="61" t="n">
        <f aca="false">G440-H440</f>
        <v>1387.03404399999</v>
      </c>
      <c r="K440" s="61" t="n">
        <f aca="false">SUMIFS($G$48:$G$479,$D$48:$D$479,$D440,$A$48:$A$479,$A440,$B$48:$B$479,"&lt;="&amp;$B440)</f>
        <v>481189.41003</v>
      </c>
      <c r="L440" s="61" t="n">
        <f aca="false">SUMIFS($H$48:$H$479,$D$48:$D$479,$D440,$A$48:$A$479,$A440,$B$48:$B$479,"&lt;="&amp;$B440)</f>
        <v>443007.27764</v>
      </c>
      <c r="M440" s="62" t="n">
        <f aca="false">IF(L440=0,0,K440/L440)</f>
        <v>1.08618849918991</v>
      </c>
    </row>
    <row r="441" customFormat="false" ht="15" hidden="false" customHeight="false" outlineLevel="0" collapsed="false">
      <c r="A441" s="56" t="n">
        <v>2027</v>
      </c>
      <c r="B441" s="56" t="n">
        <v>10</v>
      </c>
      <c r="C441" s="56" t="s">
        <v>181</v>
      </c>
      <c r="D441" s="56" t="s">
        <v>325</v>
      </c>
      <c r="E441" s="56" t="s">
        <v>145</v>
      </c>
      <c r="F441" s="56" t="s">
        <v>336</v>
      </c>
      <c r="G441" s="73" t="n">
        <f aca="false">SUMIFS(DRE_por_UN!$F:$F,DRE_por_UN!$C:$C,$C441,DRE_por_UN!$E:$E,$E441)*VLOOKUP($D441,$A$25:$H$36,4,0)</f>
        <v>55306.435632</v>
      </c>
      <c r="H441" s="61" t="n">
        <f aca="false">VLOOKUP($D441,$A$25:$H$36,5,0)*(1+$B$5)^($A441-2025)*INDEX($B$40:$M$44,MATCH($E441,$A$40:$A$44,0),$B441)</f>
        <v>51736.251888</v>
      </c>
      <c r="I441" s="62" t="n">
        <f aca="false">IF(H441=0,0,G441/H441)</f>
        <v>1.0690073906345</v>
      </c>
      <c r="J441" s="61" t="n">
        <f aca="false">G441-H441</f>
        <v>3570.18374399999</v>
      </c>
      <c r="K441" s="61" t="n">
        <f aca="false">SUMIFS($G$48:$G$479,$D$48:$D$479,$D441,$A$48:$A$479,$A441,$B$48:$B$479,"&lt;="&amp;$B441)</f>
        <v>536495.845662</v>
      </c>
      <c r="L441" s="61" t="n">
        <f aca="false">SUMIFS($H$48:$H$479,$D$48:$D$479,$D441,$A$48:$A$479,$A441,$B$48:$B$479,"&lt;="&amp;$B441)</f>
        <v>494743.529528</v>
      </c>
      <c r="M441" s="62" t="n">
        <f aca="false">IF(L441=0,0,K441/L441)</f>
        <v>1.08439183868424</v>
      </c>
    </row>
    <row r="442" customFormat="false" ht="15" hidden="false" customHeight="false" outlineLevel="0" collapsed="false">
      <c r="A442" s="56" t="n">
        <v>2027</v>
      </c>
      <c r="B442" s="56" t="n">
        <v>11</v>
      </c>
      <c r="C442" s="56" t="s">
        <v>182</v>
      </c>
      <c r="D442" s="56" t="s">
        <v>325</v>
      </c>
      <c r="E442" s="56" t="s">
        <v>145</v>
      </c>
      <c r="F442" s="56" t="s">
        <v>336</v>
      </c>
      <c r="G442" s="73" t="n">
        <f aca="false">SUMIFS(DRE_por_UN!$F:$F,DRE_por_UN!$C:$C,$C442,DRE_por_UN!$E:$E,$E442)*VLOOKUP($D442,$A$25:$H$36,4,0)</f>
        <v>67794.601014</v>
      </c>
      <c r="H442" s="61" t="n">
        <f aca="false">VLOOKUP($D442,$A$25:$H$36,5,0)*(1+$B$5)^($A442-2025)*INDEX($B$40:$M$44,MATCH($E442,$A$40:$A$44,0),$B442)</f>
        <v>64045.4809</v>
      </c>
      <c r="I442" s="62" t="n">
        <f aca="false">IF(H442=0,0,G442/H442)</f>
        <v>1.05853840210606</v>
      </c>
      <c r="J442" s="61" t="n">
        <f aca="false">G442-H442</f>
        <v>3749.120114</v>
      </c>
      <c r="K442" s="61" t="n">
        <f aca="false">SUMIFS($G$48:$G$479,$D$48:$D$479,$D442,$A$48:$A$479,$A442,$B$48:$B$479,"&lt;="&amp;$B442)</f>
        <v>604290.446676</v>
      </c>
      <c r="L442" s="61" t="n">
        <f aca="false">SUMIFS($H$48:$H$479,$D$48:$D$479,$D442,$A$48:$A$479,$A442,$B$48:$B$479,"&lt;="&amp;$B442)</f>
        <v>558789.010428</v>
      </c>
      <c r="M442" s="62" t="n">
        <f aca="false">IF(L442=0,0,K442/L442)</f>
        <v>1.08142865267366</v>
      </c>
    </row>
    <row r="443" customFormat="false" ht="15" hidden="false" customHeight="false" outlineLevel="0" collapsed="false">
      <c r="A443" s="56" t="n">
        <v>2027</v>
      </c>
      <c r="B443" s="56" t="n">
        <v>12</v>
      </c>
      <c r="C443" s="56" t="s">
        <v>183</v>
      </c>
      <c r="D443" s="56" t="s">
        <v>325</v>
      </c>
      <c r="E443" s="56" t="s">
        <v>145</v>
      </c>
      <c r="F443" s="56" t="s">
        <v>336</v>
      </c>
      <c r="G443" s="73" t="n">
        <f aca="false">SUMIFS(DRE_por_UN!$F:$F,DRE_por_UN!$C:$C,$C443,DRE_por_UN!$E:$E,$E443)*VLOOKUP($D443,$A$25:$H$36,4,0)</f>
        <v>71876.020356</v>
      </c>
      <c r="H443" s="61" t="n">
        <f aca="false">VLOOKUP($D443,$A$25:$H$36,5,0)*(1+$B$5)^($A443-2025)*INDEX($B$40:$M$44,MATCH($E443,$A$40:$A$44,0),$B443)</f>
        <v>66107.432968</v>
      </c>
      <c r="I443" s="62" t="n">
        <f aca="false">IF(H443=0,0,G443/H443)</f>
        <v>1.08726079850646</v>
      </c>
      <c r="J443" s="61" t="n">
        <f aca="false">G443-H443</f>
        <v>5768.58738799999</v>
      </c>
      <c r="K443" s="61" t="n">
        <f aca="false">SUMIFS($G$48:$G$479,$D$48:$D$479,$D443,$A$48:$A$479,$A443,$B$48:$B$479,"&lt;="&amp;$B443)</f>
        <v>676166.467032</v>
      </c>
      <c r="L443" s="61" t="n">
        <f aca="false">SUMIFS($H$48:$H$479,$D$48:$D$479,$D443,$A$48:$A$479,$A443,$B$48:$B$479,"&lt;="&amp;$B443)</f>
        <v>624896.443396</v>
      </c>
      <c r="M443" s="62" t="n">
        <f aca="false">IF(L443=0,0,K443/L443)</f>
        <v>1.08204563200484</v>
      </c>
    </row>
    <row r="444" customFormat="false" ht="15" hidden="false" customHeight="false" outlineLevel="0" collapsed="false">
      <c r="A444" s="56" t="n">
        <v>2025</v>
      </c>
      <c r="B444" s="56" t="n">
        <v>1</v>
      </c>
      <c r="C444" s="56" t="s">
        <v>148</v>
      </c>
      <c r="D444" s="56" t="s">
        <v>326</v>
      </c>
      <c r="E444" s="56" t="s">
        <v>145</v>
      </c>
      <c r="F444" s="56" t="s">
        <v>338</v>
      </c>
      <c r="G444" s="73" t="n">
        <f aca="false">SUMIFS(DRE_por_UN!$F:$F,DRE_por_UN!$C:$C,$C444,DRE_por_UN!$E:$E,$E444)*VLOOKUP($D444,$A$25:$H$36,4,0)</f>
        <v>28001.2796</v>
      </c>
      <c r="H444" s="61" t="n">
        <f aca="false">VLOOKUP($D444,$A$25:$H$36,5,0)*(1+$B$5)^($A444-2025)*INDEX($B$40:$M$44,MATCH($E444,$A$40:$A$44,0),$B444)</f>
        <v>29405.45</v>
      </c>
      <c r="I444" s="62" t="n">
        <f aca="false">IF(H444=0,0,G444/H444)</f>
        <v>0.952247954035732</v>
      </c>
      <c r="J444" s="61" t="n">
        <f aca="false">G444-H444</f>
        <v>-1404.1704</v>
      </c>
      <c r="K444" s="61" t="n">
        <f aca="false">SUMIFS($G$48:$G$479,$D$48:$D$479,$D444,$A$48:$A$479,$A444,$B$48:$B$479,"&lt;="&amp;$B444)</f>
        <v>28001.2796</v>
      </c>
      <c r="L444" s="61" t="n">
        <f aca="false">SUMIFS($H$48:$H$479,$D$48:$D$479,$D444,$A$48:$A$479,$A444,$B$48:$B$479,"&lt;="&amp;$B444)</f>
        <v>29405.45</v>
      </c>
      <c r="M444" s="62" t="n">
        <f aca="false">IF(L444=0,0,K444/L444)</f>
        <v>0.952247954035732</v>
      </c>
    </row>
    <row r="445" customFormat="false" ht="15" hidden="false" customHeight="false" outlineLevel="0" collapsed="false">
      <c r="A445" s="56" t="n">
        <v>2025</v>
      </c>
      <c r="B445" s="56" t="n">
        <v>2</v>
      </c>
      <c r="C445" s="56" t="s">
        <v>149</v>
      </c>
      <c r="D445" s="56" t="s">
        <v>326</v>
      </c>
      <c r="E445" s="56" t="s">
        <v>145</v>
      </c>
      <c r="F445" s="56" t="s">
        <v>338</v>
      </c>
      <c r="G445" s="73" t="n">
        <f aca="false">SUMIFS(DRE_por_UN!$F:$F,DRE_por_UN!$C:$C,$C445,DRE_por_UN!$E:$E,$E445)*VLOOKUP($D445,$A$25:$H$36,4,0)</f>
        <v>27153.2296</v>
      </c>
      <c r="H445" s="61" t="n">
        <f aca="false">VLOOKUP($D445,$A$25:$H$36,5,0)*(1+$B$5)^($A445-2025)*INDEX($B$40:$M$44,MATCH($E445,$A$40:$A$44,0),$B445)</f>
        <v>28516.94</v>
      </c>
      <c r="I445" s="62" t="n">
        <f aca="false">IF(H445=0,0,G445/H445)</f>
        <v>0.952178936449703</v>
      </c>
      <c r="J445" s="61" t="n">
        <f aca="false">G445-H445</f>
        <v>-1363.7104</v>
      </c>
      <c r="K445" s="61" t="n">
        <f aca="false">SUMIFS($G$48:$G$479,$D$48:$D$479,$D445,$A$48:$A$479,$A445,$B$48:$B$479,"&lt;="&amp;$B445)</f>
        <v>55154.5092</v>
      </c>
      <c r="L445" s="61" t="n">
        <f aca="false">SUMIFS($H$48:$H$479,$D$48:$D$479,$D445,$A$48:$A$479,$A445,$B$48:$B$479,"&lt;="&amp;$B445)</f>
        <v>57922.39</v>
      </c>
      <c r="M445" s="62" t="n">
        <f aca="false">IF(L445=0,0,K445/L445)</f>
        <v>0.952213974596007</v>
      </c>
    </row>
    <row r="446" customFormat="false" ht="15" hidden="false" customHeight="false" outlineLevel="0" collapsed="false">
      <c r="A446" s="56" t="n">
        <v>2025</v>
      </c>
      <c r="B446" s="56" t="n">
        <v>3</v>
      </c>
      <c r="C446" s="56" t="s">
        <v>150</v>
      </c>
      <c r="D446" s="56" t="s">
        <v>326</v>
      </c>
      <c r="E446" s="56" t="s">
        <v>145</v>
      </c>
      <c r="F446" s="56" t="s">
        <v>338</v>
      </c>
      <c r="G446" s="73" t="n">
        <f aca="false">SUMIFS(DRE_por_UN!$F:$F,DRE_por_UN!$C:$C,$C446,DRE_por_UN!$E:$E,$E446)*VLOOKUP($D446,$A$25:$H$36,4,0)</f>
        <v>32649.2096</v>
      </c>
      <c r="H446" s="61" t="n">
        <f aca="false">VLOOKUP($D446,$A$25:$H$36,5,0)*(1+$B$5)^($A446-2025)*INDEX($B$40:$M$44,MATCH($E446,$A$40:$A$44,0),$B446)</f>
        <v>34271.1</v>
      </c>
      <c r="I446" s="62" t="n">
        <f aca="false">IF(H446=0,0,G446/H446)</f>
        <v>0.952674690920338</v>
      </c>
      <c r="J446" s="61" t="n">
        <f aca="false">G446-H446</f>
        <v>-1621.89039999999</v>
      </c>
      <c r="K446" s="61" t="n">
        <f aca="false">SUMIFS($G$48:$G$479,$D$48:$D$479,$D446,$A$48:$A$479,$A446,$B$48:$B$479,"&lt;="&amp;$B446)</f>
        <v>87803.7188</v>
      </c>
      <c r="L446" s="61" t="n">
        <f aca="false">SUMIFS($H$48:$H$479,$D$48:$D$479,$D446,$A$48:$A$479,$A446,$B$48:$B$479,"&lt;="&amp;$B446)</f>
        <v>92193.49</v>
      </c>
      <c r="M446" s="62" t="n">
        <f aca="false">IF(L446=0,0,K446/L446)</f>
        <v>0.952385236745024</v>
      </c>
    </row>
    <row r="447" customFormat="false" ht="15" hidden="false" customHeight="false" outlineLevel="0" collapsed="false">
      <c r="A447" s="56" t="n">
        <v>2025</v>
      </c>
      <c r="B447" s="56" t="n">
        <v>4</v>
      </c>
      <c r="C447" s="56" t="s">
        <v>151</v>
      </c>
      <c r="D447" s="56" t="s">
        <v>326</v>
      </c>
      <c r="E447" s="56" t="s">
        <v>145</v>
      </c>
      <c r="F447" s="56" t="s">
        <v>338</v>
      </c>
      <c r="G447" s="73" t="n">
        <f aca="false">SUMIFS(DRE_por_UN!$F:$F,DRE_por_UN!$C:$C,$C447,DRE_por_UN!$E:$E,$E447)*VLOOKUP($D447,$A$25:$H$36,4,0)</f>
        <v>31495.4416</v>
      </c>
      <c r="H447" s="61" t="n">
        <f aca="false">VLOOKUP($D447,$A$25:$H$36,5,0)*(1+$B$5)^($A447-2025)*INDEX($B$40:$M$44,MATCH($E447,$A$40:$A$44,0),$B447)</f>
        <v>33086.42</v>
      </c>
      <c r="I447" s="62" t="n">
        <f aca="false">IF(H447=0,0,G447/H447)</f>
        <v>0.951914459164817</v>
      </c>
      <c r="J447" s="61" t="n">
        <f aca="false">G447-H447</f>
        <v>-1590.9784</v>
      </c>
      <c r="K447" s="61" t="n">
        <f aca="false">SUMIFS($G$48:$G$479,$D$48:$D$479,$D447,$A$48:$A$479,$A447,$B$48:$B$479,"&lt;="&amp;$B447)</f>
        <v>119299.1604</v>
      </c>
      <c r="L447" s="61" t="n">
        <f aca="false">SUMIFS($H$48:$H$479,$D$48:$D$479,$D447,$A$48:$A$479,$A447,$B$48:$B$479,"&lt;="&amp;$B447)</f>
        <v>125279.91</v>
      </c>
      <c r="M447" s="62" t="n">
        <f aca="false">IF(L447=0,0,K447/L447)</f>
        <v>0.952260904401991</v>
      </c>
    </row>
    <row r="448" customFormat="false" ht="15" hidden="false" customHeight="false" outlineLevel="0" collapsed="false">
      <c r="A448" s="56" t="n">
        <v>2025</v>
      </c>
      <c r="B448" s="56" t="n">
        <v>5</v>
      </c>
      <c r="C448" s="56" t="s">
        <v>152</v>
      </c>
      <c r="D448" s="56" t="s">
        <v>326</v>
      </c>
      <c r="E448" s="56" t="s">
        <v>145</v>
      </c>
      <c r="F448" s="56" t="s">
        <v>338</v>
      </c>
      <c r="G448" s="73" t="n">
        <f aca="false">SUMIFS(DRE_por_UN!$F:$F,DRE_por_UN!$C:$C,$C448,DRE_por_UN!$E:$E,$E448)*VLOOKUP($D448,$A$25:$H$36,4,0)</f>
        <v>32420.248</v>
      </c>
      <c r="H448" s="61" t="n">
        <f aca="false">VLOOKUP($D448,$A$25:$H$36,5,0)*(1+$B$5)^($A448-2025)*INDEX($B$40:$M$44,MATCH($E448,$A$40:$A$44,0),$B448)</f>
        <v>34059.55</v>
      </c>
      <c r="I448" s="62" t="n">
        <f aca="false">IF(H448=0,0,G448/H448)</f>
        <v>0.951869534389033</v>
      </c>
      <c r="J448" s="61" t="n">
        <f aca="false">G448-H448</f>
        <v>-1639.302</v>
      </c>
      <c r="K448" s="61" t="n">
        <f aca="false">SUMIFS($G$48:$G$479,$D$48:$D$479,$D448,$A$48:$A$479,$A448,$B$48:$B$479,"&lt;="&amp;$B448)</f>
        <v>151719.4084</v>
      </c>
      <c r="L448" s="61" t="n">
        <f aca="false">SUMIFS($H$48:$H$479,$D$48:$D$479,$D448,$A$48:$A$479,$A448,$B$48:$B$479,"&lt;="&amp;$B448)</f>
        <v>159339.46</v>
      </c>
      <c r="M448" s="62" t="n">
        <f aca="false">IF(L448=0,0,K448/L448)</f>
        <v>0.952177247243087</v>
      </c>
    </row>
    <row r="449" customFormat="false" ht="15" hidden="false" customHeight="false" outlineLevel="0" collapsed="false">
      <c r="A449" s="56" t="n">
        <v>2025</v>
      </c>
      <c r="B449" s="56" t="n">
        <v>6</v>
      </c>
      <c r="C449" s="56" t="s">
        <v>153</v>
      </c>
      <c r="D449" s="56" t="s">
        <v>326</v>
      </c>
      <c r="E449" s="56" t="s">
        <v>145</v>
      </c>
      <c r="F449" s="56" t="s">
        <v>338</v>
      </c>
      <c r="G449" s="73" t="n">
        <f aca="false">SUMIFS(DRE_por_UN!$F:$F,DRE_por_UN!$C:$C,$C449,DRE_por_UN!$E:$E,$E449)*VLOOKUP($D449,$A$25:$H$36,4,0)</f>
        <v>34076.196</v>
      </c>
      <c r="H449" s="61" t="n">
        <f aca="false">VLOOKUP($D449,$A$25:$H$36,5,0)*(1+$B$5)^($A449-2025)*INDEX($B$40:$M$44,MATCH($E449,$A$40:$A$44,0),$B449)</f>
        <v>35794.26</v>
      </c>
      <c r="I449" s="62" t="n">
        <f aca="false">IF(H449=0,0,G449/H449)</f>
        <v>0.952001689656387</v>
      </c>
      <c r="J449" s="61" t="n">
        <f aca="false">G449-H449</f>
        <v>-1718.06399999999</v>
      </c>
      <c r="K449" s="61" t="n">
        <f aca="false">SUMIFS($G$48:$G$479,$D$48:$D$479,$D449,$A$48:$A$479,$A449,$B$48:$B$479,"&lt;="&amp;$B449)</f>
        <v>185795.6044</v>
      </c>
      <c r="L449" s="61" t="n">
        <f aca="false">SUMIFS($H$48:$H$479,$D$48:$D$479,$D449,$A$48:$A$479,$A449,$B$48:$B$479,"&lt;="&amp;$B449)</f>
        <v>195133.72</v>
      </c>
      <c r="M449" s="62" t="n">
        <f aca="false">IF(L449=0,0,K449/L449)</f>
        <v>0.952145043921676</v>
      </c>
    </row>
    <row r="450" customFormat="false" ht="15" hidden="false" customHeight="false" outlineLevel="0" collapsed="false">
      <c r="A450" s="56" t="n">
        <v>2025</v>
      </c>
      <c r="B450" s="56" t="n">
        <v>7</v>
      </c>
      <c r="C450" s="56" t="s">
        <v>154</v>
      </c>
      <c r="D450" s="56" t="s">
        <v>326</v>
      </c>
      <c r="E450" s="56" t="s">
        <v>145</v>
      </c>
      <c r="F450" s="56" t="s">
        <v>338</v>
      </c>
      <c r="G450" s="73" t="n">
        <f aca="false">SUMIFS(DRE_por_UN!$F:$F,DRE_por_UN!$C:$C,$C450,DRE_por_UN!$E:$E,$E450)*VLOOKUP($D450,$A$25:$H$36,4,0)</f>
        <v>34033.5072</v>
      </c>
      <c r="H450" s="61" t="n">
        <f aca="false">VLOOKUP($D450,$A$25:$H$36,5,0)*(1+$B$5)^($A450-2025)*INDEX($B$40:$M$44,MATCH($E450,$A$40:$A$44,0),$B450)</f>
        <v>35751.95</v>
      </c>
      <c r="I450" s="62" t="n">
        <f aca="false">IF(H450=0,0,G450/H450)</f>
        <v>0.951934291695978</v>
      </c>
      <c r="J450" s="61" t="n">
        <f aca="false">G450-H450</f>
        <v>-1718.4428</v>
      </c>
      <c r="K450" s="61" t="n">
        <f aca="false">SUMIFS($G$48:$G$479,$D$48:$D$479,$D450,$A$48:$A$479,$A450,$B$48:$B$479,"&lt;="&amp;$B450)</f>
        <v>219829.1116</v>
      </c>
      <c r="L450" s="61" t="n">
        <f aca="false">SUMIFS($H$48:$H$479,$D$48:$D$479,$D450,$A$48:$A$479,$A450,$B$48:$B$479,"&lt;="&amp;$B450)</f>
        <v>230885.67</v>
      </c>
      <c r="M450" s="62" t="n">
        <f aca="false">IF(L450=0,0,K450/L450)</f>
        <v>0.952112409574834</v>
      </c>
    </row>
    <row r="451" customFormat="false" ht="15" hidden="false" customHeight="false" outlineLevel="0" collapsed="false">
      <c r="A451" s="56" t="n">
        <v>2025</v>
      </c>
      <c r="B451" s="56" t="n">
        <v>8</v>
      </c>
      <c r="C451" s="56" t="s">
        <v>155</v>
      </c>
      <c r="D451" s="56" t="s">
        <v>326</v>
      </c>
      <c r="E451" s="56" t="s">
        <v>145</v>
      </c>
      <c r="F451" s="56" t="s">
        <v>338</v>
      </c>
      <c r="G451" s="73" t="n">
        <f aca="false">SUMIFS(DRE_por_UN!$F:$F,DRE_por_UN!$C:$C,$C451,DRE_por_UN!$E:$E,$E451)*VLOOKUP($D451,$A$25:$H$36,4,0)</f>
        <v>32762.73</v>
      </c>
      <c r="H451" s="61" t="n">
        <f aca="false">VLOOKUP($D451,$A$25:$H$36,5,0)*(1+$B$5)^($A451-2025)*INDEX($B$40:$M$44,MATCH($E451,$A$40:$A$44,0),$B451)</f>
        <v>34398.03</v>
      </c>
      <c r="I451" s="62" t="n">
        <f aca="false">IF(H451=0,0,G451/H451)</f>
        <v>0.952459486778749</v>
      </c>
      <c r="J451" s="61" t="n">
        <f aca="false">G451-H451</f>
        <v>-1635.3</v>
      </c>
      <c r="K451" s="61" t="n">
        <f aca="false">SUMIFS($G$48:$G$479,$D$48:$D$479,$D451,$A$48:$A$479,$A451,$B$48:$B$479,"&lt;="&amp;$B451)</f>
        <v>252591.8416</v>
      </c>
      <c r="L451" s="61" t="n">
        <f aca="false">SUMIFS($H$48:$H$479,$D$48:$D$479,$D451,$A$48:$A$479,$A451,$B$48:$B$479,"&lt;="&amp;$B451)</f>
        <v>265283.7</v>
      </c>
      <c r="M451" s="62" t="n">
        <f aca="false">IF(L451=0,0,K451/L451)</f>
        <v>0.95215741336539</v>
      </c>
    </row>
    <row r="452" customFormat="false" ht="15" hidden="false" customHeight="false" outlineLevel="0" collapsed="false">
      <c r="A452" s="56" t="n">
        <v>2025</v>
      </c>
      <c r="B452" s="56" t="n">
        <v>9</v>
      </c>
      <c r="C452" s="56" t="s">
        <v>156</v>
      </c>
      <c r="D452" s="56" t="s">
        <v>326</v>
      </c>
      <c r="E452" s="56" t="s">
        <v>145</v>
      </c>
      <c r="F452" s="56" t="s">
        <v>338</v>
      </c>
      <c r="G452" s="73" t="n">
        <f aca="false">SUMIFS(DRE_por_UN!$F:$F,DRE_por_UN!$C:$C,$C452,DRE_por_UN!$E:$E,$E452)*VLOOKUP($D452,$A$25:$H$36,4,0)</f>
        <v>33054.8624</v>
      </c>
      <c r="H452" s="61" t="n">
        <f aca="false">VLOOKUP($D452,$A$25:$H$36,5,0)*(1+$B$5)^($A452-2025)*INDEX($B$40:$M$44,MATCH($E452,$A$40:$A$44,0),$B452)</f>
        <v>34694.2</v>
      </c>
      <c r="I452" s="62" t="n">
        <f aca="false">IF(H452=0,0,G452/H452)</f>
        <v>0.952748943627465</v>
      </c>
      <c r="J452" s="61" t="n">
        <f aca="false">G452-H452</f>
        <v>-1639.3376</v>
      </c>
      <c r="K452" s="61" t="n">
        <f aca="false">SUMIFS($G$48:$G$479,$D$48:$D$479,$D452,$A$48:$A$479,$A452,$B$48:$B$479,"&lt;="&amp;$B452)</f>
        <v>285646.704</v>
      </c>
      <c r="L452" s="61" t="n">
        <f aca="false">SUMIFS($H$48:$H$479,$D$48:$D$479,$D452,$A$48:$A$479,$A452,$B$48:$B$479,"&lt;="&amp;$B452)</f>
        <v>299977.9</v>
      </c>
      <c r="M452" s="62" t="n">
        <f aca="false">IF(L452=0,0,K452/L452)</f>
        <v>0.952225827302611</v>
      </c>
    </row>
    <row r="453" customFormat="false" ht="15" hidden="false" customHeight="false" outlineLevel="0" collapsed="false">
      <c r="A453" s="56" t="n">
        <v>2025</v>
      </c>
      <c r="B453" s="56" t="n">
        <v>10</v>
      </c>
      <c r="C453" s="56" t="s">
        <v>157</v>
      </c>
      <c r="D453" s="56" t="s">
        <v>326</v>
      </c>
      <c r="E453" s="56" t="s">
        <v>145</v>
      </c>
      <c r="F453" s="56" t="s">
        <v>338</v>
      </c>
      <c r="G453" s="73" t="n">
        <f aca="false">SUMIFS(DRE_por_UN!$F:$F,DRE_por_UN!$C:$C,$C453,DRE_por_UN!$E:$E,$E453)*VLOOKUP($D453,$A$25:$H$36,4,0)</f>
        <v>33359.9616</v>
      </c>
      <c r="H453" s="61" t="n">
        <f aca="false">VLOOKUP($D453,$A$25:$H$36,5,0)*(1+$B$5)^($A453-2025)*INDEX($B$40:$M$44,MATCH($E453,$A$40:$A$44,0),$B453)</f>
        <v>35032.68</v>
      </c>
      <c r="I453" s="62" t="n">
        <f aca="false">IF(H453=0,0,G453/H453)</f>
        <v>0.952252628117518</v>
      </c>
      <c r="J453" s="61" t="n">
        <f aca="false">G453-H453</f>
        <v>-1672.7184</v>
      </c>
      <c r="K453" s="61" t="n">
        <f aca="false">SUMIFS($G$48:$G$479,$D$48:$D$479,$D453,$A$48:$A$479,$A453,$B$48:$B$479,"&lt;="&amp;$B453)</f>
        <v>319006.6656</v>
      </c>
      <c r="L453" s="61" t="n">
        <f aca="false">SUMIFS($H$48:$H$479,$D$48:$D$479,$D453,$A$48:$A$479,$A453,$B$48:$B$479,"&lt;="&amp;$B453)</f>
        <v>335010.58</v>
      </c>
      <c r="M453" s="62" t="n">
        <f aca="false">IF(L453=0,0,K453/L453)</f>
        <v>0.952228629913718</v>
      </c>
    </row>
    <row r="454" customFormat="false" ht="15" hidden="false" customHeight="false" outlineLevel="0" collapsed="false">
      <c r="A454" s="56" t="n">
        <v>2025</v>
      </c>
      <c r="B454" s="56" t="n">
        <v>11</v>
      </c>
      <c r="C454" s="56" t="s">
        <v>158</v>
      </c>
      <c r="D454" s="56" t="s">
        <v>326</v>
      </c>
      <c r="E454" s="56" t="s">
        <v>145</v>
      </c>
      <c r="F454" s="56" t="s">
        <v>338</v>
      </c>
      <c r="G454" s="73" t="n">
        <f aca="false">SUMIFS(DRE_por_UN!$F:$F,DRE_por_UN!$C:$C,$C454,DRE_por_UN!$E:$E,$E454)*VLOOKUP($D454,$A$25:$H$36,4,0)</f>
        <v>41311.9616</v>
      </c>
      <c r="H454" s="61" t="n">
        <f aca="false">VLOOKUP($D454,$A$25:$H$36,5,0)*(1+$B$5)^($A454-2025)*INDEX($B$40:$M$44,MATCH($E454,$A$40:$A$44,0),$B454)</f>
        <v>43367.75</v>
      </c>
      <c r="I454" s="62" t="n">
        <f aca="false">IF(H454=0,0,G454/H454)</f>
        <v>0.952596378645422</v>
      </c>
      <c r="J454" s="61" t="n">
        <f aca="false">G454-H454</f>
        <v>-2055.7884</v>
      </c>
      <c r="K454" s="61" t="n">
        <f aca="false">SUMIFS($G$48:$G$479,$D$48:$D$479,$D454,$A$48:$A$479,$A454,$B$48:$B$479,"&lt;="&amp;$B454)</f>
        <v>360318.6272</v>
      </c>
      <c r="L454" s="61" t="n">
        <f aca="false">SUMIFS($H$48:$H$479,$D$48:$D$479,$D454,$A$48:$A$479,$A454,$B$48:$B$479,"&lt;="&amp;$B454)</f>
        <v>378378.33</v>
      </c>
      <c r="M454" s="62" t="n">
        <f aca="false">IF(L454=0,0,K454/L454)</f>
        <v>0.952270779354621</v>
      </c>
    </row>
    <row r="455" customFormat="false" ht="15" hidden="false" customHeight="false" outlineLevel="0" collapsed="false">
      <c r="A455" s="56" t="n">
        <v>2025</v>
      </c>
      <c r="B455" s="56" t="n">
        <v>12</v>
      </c>
      <c r="C455" s="56" t="s">
        <v>159</v>
      </c>
      <c r="D455" s="56" t="s">
        <v>326</v>
      </c>
      <c r="E455" s="56" t="s">
        <v>145</v>
      </c>
      <c r="F455" s="56" t="s">
        <v>338</v>
      </c>
      <c r="G455" s="73" t="n">
        <f aca="false">SUMIFS(DRE_por_UN!$F:$F,DRE_por_UN!$C:$C,$C455,DRE_por_UN!$E:$E,$E455)*VLOOKUP($D455,$A$25:$H$36,4,0)</f>
        <v>42619.3264</v>
      </c>
      <c r="H455" s="61" t="n">
        <f aca="false">VLOOKUP($D455,$A$25:$H$36,5,0)*(1+$B$5)^($A455-2025)*INDEX($B$40:$M$44,MATCH($E455,$A$40:$A$44,0),$B455)</f>
        <v>44763.98</v>
      </c>
      <c r="I455" s="62" t="n">
        <f aca="false">IF(H455=0,0,G455/H455)</f>
        <v>0.952089747158318</v>
      </c>
      <c r="J455" s="61" t="n">
        <f aca="false">G455-H455</f>
        <v>-2144.6536</v>
      </c>
      <c r="K455" s="61" t="n">
        <f aca="false">SUMIFS($G$48:$G$479,$D$48:$D$479,$D455,$A$48:$A$479,$A455,$B$48:$B$479,"&lt;="&amp;$B455)</f>
        <v>402937.9536</v>
      </c>
      <c r="L455" s="61" t="n">
        <f aca="false">SUMIFS($H$48:$H$479,$D$48:$D$479,$D455,$A$48:$A$479,$A455,$B$48:$B$479,"&lt;="&amp;$B455)</f>
        <v>423142.31</v>
      </c>
      <c r="M455" s="62" t="n">
        <f aca="false">IF(L455=0,0,K455/L455)</f>
        <v>0.952251628063382</v>
      </c>
    </row>
    <row r="456" customFormat="false" ht="15" hidden="false" customHeight="false" outlineLevel="0" collapsed="false">
      <c r="A456" s="56" t="n">
        <v>2026</v>
      </c>
      <c r="B456" s="56" t="n">
        <v>1</v>
      </c>
      <c r="C456" s="56" t="s">
        <v>160</v>
      </c>
      <c r="D456" s="56" t="s">
        <v>326</v>
      </c>
      <c r="E456" s="56" t="s">
        <v>145</v>
      </c>
      <c r="F456" s="56" t="s">
        <v>338</v>
      </c>
      <c r="G456" s="73" t="n">
        <f aca="false">SUMIFS(DRE_por_UN!$F:$F,DRE_por_UN!$C:$C,$C456,DRE_por_UN!$E:$E,$E456)*VLOOKUP($D456,$A$25:$H$36,4,0)</f>
        <v>30317.1344</v>
      </c>
      <c r="H456" s="61" t="n">
        <f aca="false">VLOOKUP($D456,$A$25:$H$36,5,0)*(1+$B$5)^($A456-2025)*INDEX($B$40:$M$44,MATCH($E456,$A$40:$A$44,0),$B456)</f>
        <v>31169.777</v>
      </c>
      <c r="I456" s="62" t="n">
        <f aca="false">IF(H456=0,0,G456/H456)</f>
        <v>0.972645213342399</v>
      </c>
      <c r="J456" s="61" t="n">
        <f aca="false">G456-H456</f>
        <v>-852.642599999999</v>
      </c>
      <c r="K456" s="61" t="n">
        <f aca="false">SUMIFS($G$48:$G$479,$D$48:$D$479,$D456,$A$48:$A$479,$A456,$B$48:$B$479,"&lt;="&amp;$B456)</f>
        <v>30317.1344</v>
      </c>
      <c r="L456" s="61" t="n">
        <f aca="false">SUMIFS($H$48:$H$479,$D$48:$D$479,$D456,$A$48:$A$479,$A456,$B$48:$B$479,"&lt;="&amp;$B456)</f>
        <v>31169.777</v>
      </c>
      <c r="M456" s="62" t="n">
        <f aca="false">IF(L456=0,0,K456/L456)</f>
        <v>0.972645213342399</v>
      </c>
    </row>
    <row r="457" customFormat="false" ht="15" hidden="false" customHeight="false" outlineLevel="0" collapsed="false">
      <c r="A457" s="56" t="n">
        <v>2026</v>
      </c>
      <c r="B457" s="56" t="n">
        <v>2</v>
      </c>
      <c r="C457" s="56" t="s">
        <v>161</v>
      </c>
      <c r="D457" s="56" t="s">
        <v>326</v>
      </c>
      <c r="E457" s="56" t="s">
        <v>145</v>
      </c>
      <c r="F457" s="56" t="s">
        <v>338</v>
      </c>
      <c r="G457" s="73" t="n">
        <f aca="false">SUMIFS(DRE_por_UN!$F:$F,DRE_por_UN!$C:$C,$C457,DRE_por_UN!$E:$E,$E457)*VLOOKUP($D457,$A$25:$H$36,4,0)</f>
        <v>28678.3056</v>
      </c>
      <c r="H457" s="61" t="n">
        <f aca="false">VLOOKUP($D457,$A$25:$H$36,5,0)*(1+$B$5)^($A457-2025)*INDEX($B$40:$M$44,MATCH($E457,$A$40:$A$44,0),$B457)</f>
        <v>30227.9564</v>
      </c>
      <c r="I457" s="62" t="n">
        <f aca="false">IF(H457=0,0,G457/H457)</f>
        <v>0.948734516502082</v>
      </c>
      <c r="J457" s="61" t="n">
        <f aca="false">G457-H457</f>
        <v>-1549.6508</v>
      </c>
      <c r="K457" s="61" t="n">
        <f aca="false">SUMIFS($G$48:$G$479,$D$48:$D$479,$D457,$A$48:$A$479,$A457,$B$48:$B$479,"&lt;="&amp;$B457)</f>
        <v>58995.44</v>
      </c>
      <c r="L457" s="61" t="n">
        <f aca="false">SUMIFS($H$48:$H$479,$D$48:$D$479,$D457,$A$48:$A$479,$A457,$B$48:$B$479,"&lt;="&amp;$B457)</f>
        <v>61397.7334</v>
      </c>
      <c r="M457" s="62" t="n">
        <f aca="false">IF(L457=0,0,K457/L457)</f>
        <v>0.960873255949869</v>
      </c>
    </row>
    <row r="458" customFormat="false" ht="15" hidden="false" customHeight="false" outlineLevel="0" collapsed="false">
      <c r="A458" s="56" t="n">
        <v>2026</v>
      </c>
      <c r="B458" s="56" t="n">
        <v>3</v>
      </c>
      <c r="C458" s="56" t="s">
        <v>162</v>
      </c>
      <c r="D458" s="56" t="s">
        <v>326</v>
      </c>
      <c r="E458" s="56" t="s">
        <v>145</v>
      </c>
      <c r="F458" s="56" t="s">
        <v>338</v>
      </c>
      <c r="G458" s="73" t="n">
        <f aca="false">SUMIFS(DRE_por_UN!$F:$F,DRE_por_UN!$C:$C,$C458,DRE_por_UN!$E:$E,$E458)*VLOOKUP($D458,$A$25:$H$36,4,0)</f>
        <v>33355.5964</v>
      </c>
      <c r="H458" s="61" t="n">
        <f aca="false">VLOOKUP($D458,$A$25:$H$36,5,0)*(1+$B$5)^($A458-2025)*INDEX($B$40:$M$44,MATCH($E458,$A$40:$A$44,0),$B458)</f>
        <v>36327.366</v>
      </c>
      <c r="I458" s="62" t="n">
        <f aca="false">IF(H458=0,0,G458/H458)</f>
        <v>0.918194740571062</v>
      </c>
      <c r="J458" s="61" t="n">
        <f aca="false">G458-H458</f>
        <v>-2971.7696</v>
      </c>
      <c r="K458" s="61" t="n">
        <f aca="false">SUMIFS($G$48:$G$479,$D$48:$D$479,$D458,$A$48:$A$479,$A458,$B$48:$B$479,"&lt;="&amp;$B458)</f>
        <v>92351.0364</v>
      </c>
      <c r="L458" s="61" t="n">
        <f aca="false">SUMIFS($H$48:$H$479,$D$48:$D$479,$D458,$A$48:$A$479,$A458,$B$48:$B$479,"&lt;="&amp;$B458)</f>
        <v>97725.0994</v>
      </c>
      <c r="M458" s="62" t="n">
        <f aca="false">IF(L458=0,0,K458/L458)</f>
        <v>0.945008364964631</v>
      </c>
    </row>
    <row r="459" customFormat="false" ht="15" hidden="false" customHeight="false" outlineLevel="0" collapsed="false">
      <c r="A459" s="56" t="n">
        <v>2026</v>
      </c>
      <c r="B459" s="56" t="n">
        <v>4</v>
      </c>
      <c r="C459" s="56" t="s">
        <v>163</v>
      </c>
      <c r="D459" s="56" t="s">
        <v>326</v>
      </c>
      <c r="E459" s="56" t="s">
        <v>145</v>
      </c>
      <c r="F459" s="56" t="s">
        <v>338</v>
      </c>
      <c r="G459" s="73" t="n">
        <f aca="false">SUMIFS(DRE_por_UN!$F:$F,DRE_por_UN!$C:$C,$C459,DRE_por_UN!$E:$E,$E459)*VLOOKUP($D459,$A$25:$H$36,4,0)</f>
        <v>32059.734</v>
      </c>
      <c r="H459" s="61" t="n">
        <f aca="false">VLOOKUP($D459,$A$25:$H$36,5,0)*(1+$B$5)^($A459-2025)*INDEX($B$40:$M$44,MATCH($E459,$A$40:$A$44,0),$B459)</f>
        <v>35071.6052</v>
      </c>
      <c r="I459" s="62" t="n">
        <f aca="false">IF(H459=0,0,G459/H459)</f>
        <v>0.914122231280135</v>
      </c>
      <c r="J459" s="61" t="n">
        <f aca="false">G459-H459</f>
        <v>-3011.8712</v>
      </c>
      <c r="K459" s="61" t="n">
        <f aca="false">SUMIFS($G$48:$G$479,$D$48:$D$479,$D459,$A$48:$A$479,$A459,$B$48:$B$479,"&lt;="&amp;$B459)</f>
        <v>124410.7704</v>
      </c>
      <c r="L459" s="61" t="n">
        <f aca="false">SUMIFS($H$48:$H$479,$D$48:$D$479,$D459,$A$48:$A$479,$A459,$B$48:$B$479,"&lt;="&amp;$B459)</f>
        <v>132796.7046</v>
      </c>
      <c r="M459" s="62" t="n">
        <f aca="false">IF(L459=0,0,K459/L459)</f>
        <v>0.936851338101654</v>
      </c>
    </row>
    <row r="460" customFormat="false" ht="15" hidden="false" customHeight="false" outlineLevel="0" collapsed="false">
      <c r="A460" s="56" t="n">
        <v>2026</v>
      </c>
      <c r="B460" s="56" t="n">
        <v>5</v>
      </c>
      <c r="C460" s="56" t="s">
        <v>164</v>
      </c>
      <c r="D460" s="56" t="s">
        <v>326</v>
      </c>
      <c r="E460" s="56" t="s">
        <v>145</v>
      </c>
      <c r="F460" s="56" t="s">
        <v>338</v>
      </c>
      <c r="G460" s="73" t="n">
        <f aca="false">SUMIFS(DRE_por_UN!$F:$F,DRE_por_UN!$C:$C,$C460,DRE_por_UN!$E:$E,$E460)*VLOOKUP($D460,$A$25:$H$36,4,0)</f>
        <v>35277.3904</v>
      </c>
      <c r="H460" s="61" t="n">
        <f aca="false">VLOOKUP($D460,$A$25:$H$36,5,0)*(1+$B$5)^($A460-2025)*INDEX($B$40:$M$44,MATCH($E460,$A$40:$A$44,0),$B460)</f>
        <v>36103.123</v>
      </c>
      <c r="I460" s="62" t="n">
        <f aca="false">IF(H460=0,0,G460/H460)</f>
        <v>0.977128499382173</v>
      </c>
      <c r="J460" s="61" t="n">
        <f aca="false">G460-H460</f>
        <v>-825.732599999996</v>
      </c>
      <c r="K460" s="61" t="n">
        <f aca="false">SUMIFS($G$48:$G$479,$D$48:$D$479,$D460,$A$48:$A$479,$A460,$B$48:$B$479,"&lt;="&amp;$B460)</f>
        <v>159688.1608</v>
      </c>
      <c r="L460" s="61" t="n">
        <f aca="false">SUMIFS($H$48:$H$479,$D$48:$D$479,$D460,$A$48:$A$479,$A460,$B$48:$B$479,"&lt;="&amp;$B460)</f>
        <v>168899.8276</v>
      </c>
      <c r="M460" s="62" t="n">
        <f aca="false">IF(L460=0,0,K460/L460)</f>
        <v>0.945460768486895</v>
      </c>
    </row>
    <row r="461" customFormat="false" ht="15" hidden="false" customHeight="false" outlineLevel="0" collapsed="false">
      <c r="A461" s="56" t="n">
        <v>2026</v>
      </c>
      <c r="B461" s="56" t="n">
        <v>6</v>
      </c>
      <c r="C461" s="56" t="s">
        <v>165</v>
      </c>
      <c r="D461" s="56" t="s">
        <v>326</v>
      </c>
      <c r="E461" s="56" t="s">
        <v>145</v>
      </c>
      <c r="F461" s="56" t="s">
        <v>338</v>
      </c>
      <c r="G461" s="73" t="n">
        <f aca="false">SUMIFS(DRE_por_UN!$F:$F,DRE_por_UN!$C:$C,$C461,DRE_por_UN!$E:$E,$E461)*VLOOKUP($D461,$A$25:$H$36,4,0)</f>
        <v>35560.1036</v>
      </c>
      <c r="H461" s="61" t="n">
        <f aca="false">VLOOKUP($D461,$A$25:$H$36,5,0)*(1+$B$5)^($A461-2025)*INDEX($B$40:$M$44,MATCH($E461,$A$40:$A$44,0),$B461)</f>
        <v>37941.9156</v>
      </c>
      <c r="I461" s="62" t="n">
        <f aca="false">IF(H461=0,0,G461/H461)</f>
        <v>0.937224782609553</v>
      </c>
      <c r="J461" s="61" t="n">
        <f aca="false">G461-H461</f>
        <v>-2381.812</v>
      </c>
      <c r="K461" s="61" t="n">
        <f aca="false">SUMIFS($G$48:$G$479,$D$48:$D$479,$D461,$A$48:$A$479,$A461,$B$48:$B$479,"&lt;="&amp;$B461)</f>
        <v>195248.2644</v>
      </c>
      <c r="L461" s="61" t="n">
        <f aca="false">SUMIFS($H$48:$H$479,$D$48:$D$479,$D461,$A$48:$A$479,$A461,$B$48:$B$479,"&lt;="&amp;$B461)</f>
        <v>206841.7432</v>
      </c>
      <c r="M461" s="62" t="n">
        <f aca="false">IF(L461=0,0,K461/L461)</f>
        <v>0.943950004381901</v>
      </c>
    </row>
    <row r="462" customFormat="false" ht="15" hidden="false" customHeight="false" outlineLevel="0" collapsed="false">
      <c r="A462" s="56" t="n">
        <v>2026</v>
      </c>
      <c r="B462" s="56" t="n">
        <v>7</v>
      </c>
      <c r="C462" s="56" t="s">
        <v>166</v>
      </c>
      <c r="D462" s="56" t="s">
        <v>326</v>
      </c>
      <c r="E462" s="56" t="s">
        <v>145</v>
      </c>
      <c r="F462" s="56" t="s">
        <v>338</v>
      </c>
      <c r="G462" s="73" t="n">
        <f aca="false">SUMIFS(DRE_por_UN!$F:$F,DRE_por_UN!$C:$C,$C462,DRE_por_UN!$E:$E,$E462)*VLOOKUP($D462,$A$25:$H$36,4,0)</f>
        <v>37039.576</v>
      </c>
      <c r="H462" s="61" t="n">
        <f aca="false">VLOOKUP($D462,$A$25:$H$36,5,0)*(1+$B$5)^($A462-2025)*INDEX($B$40:$M$44,MATCH($E462,$A$40:$A$44,0),$B462)</f>
        <v>37897.067</v>
      </c>
      <c r="I462" s="62" t="n">
        <f aca="false">IF(H462=0,0,G462/H462)</f>
        <v>0.977373156608663</v>
      </c>
      <c r="J462" s="61" t="n">
        <f aca="false">G462-H462</f>
        <v>-857.490999999995</v>
      </c>
      <c r="K462" s="61" t="n">
        <f aca="false">SUMIFS($G$48:$G$479,$D$48:$D$479,$D462,$A$48:$A$479,$A462,$B$48:$B$479,"&lt;="&amp;$B462)</f>
        <v>232287.8404</v>
      </c>
      <c r="L462" s="61" t="n">
        <f aca="false">SUMIFS($H$48:$H$479,$D$48:$D$479,$D462,$A$48:$A$479,$A462,$B$48:$B$479,"&lt;="&amp;$B462)</f>
        <v>244738.8102</v>
      </c>
      <c r="M462" s="62" t="n">
        <f aca="false">IF(L462=0,0,K462/L462)</f>
        <v>0.949125478750897</v>
      </c>
    </row>
    <row r="463" customFormat="false" ht="15" hidden="false" customHeight="false" outlineLevel="0" collapsed="false">
      <c r="A463" s="56" t="n">
        <v>2026</v>
      </c>
      <c r="B463" s="56" t="n">
        <v>8</v>
      </c>
      <c r="C463" s="56" t="s">
        <v>167</v>
      </c>
      <c r="D463" s="56" t="s">
        <v>326</v>
      </c>
      <c r="E463" s="56" t="s">
        <v>145</v>
      </c>
      <c r="F463" s="56" t="s">
        <v>338</v>
      </c>
      <c r="G463" s="73" t="n">
        <f aca="false">SUMIFS(DRE_por_UN!$F:$F,DRE_por_UN!$C:$C,$C463,DRE_por_UN!$E:$E,$E463)*VLOOKUP($D463,$A$25:$H$36,4,0)</f>
        <v>34731.4688</v>
      </c>
      <c r="H463" s="61" t="n">
        <f aca="false">VLOOKUP($D463,$A$25:$H$36,5,0)*(1+$B$5)^($A463-2025)*INDEX($B$40:$M$44,MATCH($E463,$A$40:$A$44,0),$B463)</f>
        <v>36461.9118</v>
      </c>
      <c r="I463" s="62" t="n">
        <f aca="false">IF(H463=0,0,G463/H463)</f>
        <v>0.952541078770313</v>
      </c>
      <c r="J463" s="61" t="n">
        <f aca="false">G463-H463</f>
        <v>-1730.443</v>
      </c>
      <c r="K463" s="61" t="n">
        <f aca="false">SUMIFS($G$48:$G$479,$D$48:$D$479,$D463,$A$48:$A$479,$A463,$B$48:$B$479,"&lt;="&amp;$B463)</f>
        <v>267019.3092</v>
      </c>
      <c r="L463" s="61" t="n">
        <f aca="false">SUMIFS($H$48:$H$479,$D$48:$D$479,$D463,$A$48:$A$479,$A463,$B$48:$B$479,"&lt;="&amp;$B463)</f>
        <v>281200.722</v>
      </c>
      <c r="M463" s="62" t="n">
        <f aca="false">IF(L463=0,0,K463/L463)</f>
        <v>0.949568362772554</v>
      </c>
    </row>
    <row r="464" customFormat="false" ht="15" hidden="false" customHeight="false" outlineLevel="0" collapsed="false">
      <c r="A464" s="56" t="n">
        <v>2026</v>
      </c>
      <c r="B464" s="56" t="n">
        <v>9</v>
      </c>
      <c r="C464" s="56" t="s">
        <v>168</v>
      </c>
      <c r="D464" s="56" t="s">
        <v>326</v>
      </c>
      <c r="E464" s="56" t="s">
        <v>145</v>
      </c>
      <c r="F464" s="56" t="s">
        <v>338</v>
      </c>
      <c r="G464" s="73" t="n">
        <f aca="false">SUMIFS(DRE_por_UN!$F:$F,DRE_por_UN!$C:$C,$C464,DRE_por_UN!$E:$E,$E464)*VLOOKUP($D464,$A$25:$H$36,4,0)</f>
        <v>32787.1768</v>
      </c>
      <c r="H464" s="61" t="n">
        <f aca="false">VLOOKUP($D464,$A$25:$H$36,5,0)*(1+$B$5)^($A464-2025)*INDEX($B$40:$M$44,MATCH($E464,$A$40:$A$44,0),$B464)</f>
        <v>36775.852</v>
      </c>
      <c r="I464" s="62" t="n">
        <f aca="false">IF(H464=0,0,G464/H464)</f>
        <v>0.891540916577541</v>
      </c>
      <c r="J464" s="61" t="n">
        <f aca="false">G464-H464</f>
        <v>-3988.6752</v>
      </c>
      <c r="K464" s="61" t="n">
        <f aca="false">SUMIFS($G$48:$G$479,$D$48:$D$479,$D464,$A$48:$A$479,$A464,$B$48:$B$479,"&lt;="&amp;$B464)</f>
        <v>299806.486</v>
      </c>
      <c r="L464" s="61" t="n">
        <f aca="false">SUMIFS($H$48:$H$479,$D$48:$D$479,$D464,$A$48:$A$479,$A464,$B$48:$B$479,"&lt;="&amp;$B464)</f>
        <v>317976.574</v>
      </c>
      <c r="M464" s="62" t="n">
        <f aca="false">IF(L464=0,0,K464/L464)</f>
        <v>0.942857148967207</v>
      </c>
    </row>
    <row r="465" customFormat="false" ht="15" hidden="false" customHeight="false" outlineLevel="0" collapsed="false">
      <c r="A465" s="56" t="n">
        <v>2026</v>
      </c>
      <c r="B465" s="56" t="n">
        <v>10</v>
      </c>
      <c r="C465" s="56" t="s">
        <v>169</v>
      </c>
      <c r="D465" s="56" t="s">
        <v>326</v>
      </c>
      <c r="E465" s="56" t="s">
        <v>145</v>
      </c>
      <c r="F465" s="56" t="s">
        <v>338</v>
      </c>
      <c r="G465" s="73" t="n">
        <f aca="false">SUMIFS(DRE_por_UN!$F:$F,DRE_por_UN!$C:$C,$C465,DRE_por_UN!$E:$E,$E465)*VLOOKUP($D465,$A$25:$H$36,4,0)</f>
        <v>34458.8384</v>
      </c>
      <c r="H465" s="61" t="n">
        <f aca="false">VLOOKUP($D465,$A$25:$H$36,5,0)*(1+$B$5)^($A465-2025)*INDEX($B$40:$M$44,MATCH($E465,$A$40:$A$44,0),$B465)</f>
        <v>37134.6408</v>
      </c>
      <c r="I465" s="62" t="n">
        <f aca="false">IF(H465=0,0,G465/H465)</f>
        <v>0.927943226530415</v>
      </c>
      <c r="J465" s="61" t="n">
        <f aca="false">G465-H465</f>
        <v>-2675.8024</v>
      </c>
      <c r="K465" s="61" t="n">
        <f aca="false">SUMIFS($G$48:$G$479,$D$48:$D$479,$D465,$A$48:$A$479,$A465,$B$48:$B$479,"&lt;="&amp;$B465)</f>
        <v>334265.3244</v>
      </c>
      <c r="L465" s="61" t="n">
        <f aca="false">SUMIFS($H$48:$H$479,$D$48:$D$479,$D465,$A$48:$A$479,$A465,$B$48:$B$479,"&lt;="&amp;$B465)</f>
        <v>355111.2148</v>
      </c>
      <c r="M465" s="62" t="n">
        <f aca="false">IF(L465=0,0,K465/L465)</f>
        <v>0.941297572334514</v>
      </c>
    </row>
    <row r="466" customFormat="false" ht="15" hidden="false" customHeight="false" outlineLevel="0" collapsed="false">
      <c r="A466" s="56" t="n">
        <v>2026</v>
      </c>
      <c r="B466" s="56" t="n">
        <v>11</v>
      </c>
      <c r="C466" s="56" t="s">
        <v>170</v>
      </c>
      <c r="D466" s="56" t="s">
        <v>326</v>
      </c>
      <c r="E466" s="56" t="s">
        <v>145</v>
      </c>
      <c r="F466" s="56" t="s">
        <v>338</v>
      </c>
      <c r="G466" s="73" t="n">
        <f aca="false">SUMIFS(DRE_por_UN!$F:$F,DRE_por_UN!$C:$C,$C466,DRE_por_UN!$E:$E,$E466)*VLOOKUP($D466,$A$25:$H$36,4,0)</f>
        <v>42239.6268</v>
      </c>
      <c r="H466" s="61" t="n">
        <f aca="false">VLOOKUP($D466,$A$25:$H$36,5,0)*(1+$B$5)^($A466-2025)*INDEX($B$40:$M$44,MATCH($E466,$A$40:$A$44,0),$B466)</f>
        <v>45969.815</v>
      </c>
      <c r="I466" s="62" t="n">
        <f aca="false">IF(H466=0,0,G466/H466)</f>
        <v>0.918855705640756</v>
      </c>
      <c r="J466" s="61" t="n">
        <f aca="false">G466-H466</f>
        <v>-3730.18819999999</v>
      </c>
      <c r="K466" s="61" t="n">
        <f aca="false">SUMIFS($G$48:$G$479,$D$48:$D$479,$D466,$A$48:$A$479,$A466,$B$48:$B$479,"&lt;="&amp;$B466)</f>
        <v>376504.9512</v>
      </c>
      <c r="L466" s="61" t="n">
        <f aca="false">SUMIFS($H$48:$H$479,$D$48:$D$479,$D466,$A$48:$A$479,$A466,$B$48:$B$479,"&lt;="&amp;$B466)</f>
        <v>401081.0298</v>
      </c>
      <c r="M466" s="62" t="n">
        <f aca="false">IF(L466=0,0,K466/L466)</f>
        <v>0.938725402664257</v>
      </c>
    </row>
    <row r="467" customFormat="false" ht="15" hidden="false" customHeight="false" outlineLevel="0" collapsed="false">
      <c r="A467" s="56" t="n">
        <v>2026</v>
      </c>
      <c r="B467" s="56" t="n">
        <v>12</v>
      </c>
      <c r="C467" s="56" t="s">
        <v>171</v>
      </c>
      <c r="D467" s="56" t="s">
        <v>326</v>
      </c>
      <c r="E467" s="56" t="s">
        <v>145</v>
      </c>
      <c r="F467" s="56" t="s">
        <v>338</v>
      </c>
      <c r="G467" s="73" t="n">
        <f aca="false">SUMIFS(DRE_por_UN!$F:$F,DRE_por_UN!$C:$C,$C467,DRE_por_UN!$E:$E,$E467)*VLOOKUP($D467,$A$25:$H$36,4,0)</f>
        <v>44782.5672</v>
      </c>
      <c r="H467" s="61" t="n">
        <f aca="false">VLOOKUP($D467,$A$25:$H$36,5,0)*(1+$B$5)^($A467-2025)*INDEX($B$40:$M$44,MATCH($E467,$A$40:$A$44,0),$B467)</f>
        <v>47449.8188</v>
      </c>
      <c r="I467" s="62" t="n">
        <f aca="false">IF(H467=0,0,G467/H467)</f>
        <v>0.943787949723425</v>
      </c>
      <c r="J467" s="61" t="n">
        <f aca="false">G467-H467</f>
        <v>-2667.2516</v>
      </c>
      <c r="K467" s="61" t="n">
        <f aca="false">SUMIFS($G$48:$G$479,$D$48:$D$479,$D467,$A$48:$A$479,$A467,$B$48:$B$479,"&lt;="&amp;$B467)</f>
        <v>421287.5184</v>
      </c>
      <c r="L467" s="61" t="n">
        <f aca="false">SUMIFS($H$48:$H$479,$D$48:$D$479,$D467,$A$48:$A$479,$A467,$B$48:$B$479,"&lt;="&amp;$B467)</f>
        <v>448530.8486</v>
      </c>
      <c r="M467" s="62" t="n">
        <f aca="false">IF(L467=0,0,K467/L467)</f>
        <v>0.939260966586725</v>
      </c>
    </row>
    <row r="468" customFormat="false" ht="15" hidden="false" customHeight="false" outlineLevel="0" collapsed="false">
      <c r="A468" s="56" t="n">
        <v>2027</v>
      </c>
      <c r="B468" s="56" t="n">
        <v>1</v>
      </c>
      <c r="C468" s="56" t="s">
        <v>172</v>
      </c>
      <c r="D468" s="56" t="s">
        <v>326</v>
      </c>
      <c r="E468" s="56" t="s">
        <v>145</v>
      </c>
      <c r="F468" s="56" t="s">
        <v>338</v>
      </c>
      <c r="G468" s="73" t="n">
        <f aca="false">SUMIFS(DRE_por_UN!$F:$F,DRE_por_UN!$C:$C,$C468,DRE_por_UN!$E:$E,$E468)*VLOOKUP($D468,$A$25:$H$36,4,0)</f>
        <v>32439.333808</v>
      </c>
      <c r="H468" s="61" t="n">
        <f aca="false">VLOOKUP($D468,$A$25:$H$36,5,0)*(1+$B$5)^($A468-2025)*INDEX($B$40:$M$44,MATCH($E468,$A$40:$A$44,0),$B468)</f>
        <v>33039.96362</v>
      </c>
      <c r="I468" s="62" t="n">
        <f aca="false">IF(H468=0,0,G468/H468)</f>
        <v>0.981821111581478</v>
      </c>
      <c r="J468" s="61" t="n">
        <f aca="false">G468-H468</f>
        <v>-600.629812000007</v>
      </c>
      <c r="K468" s="61" t="n">
        <f aca="false">SUMIFS($G$48:$G$479,$D$48:$D$479,$D468,$A$48:$A$479,$A468,$B$48:$B$479,"&lt;="&amp;$B468)</f>
        <v>32439.333808</v>
      </c>
      <c r="L468" s="61" t="n">
        <f aca="false">SUMIFS($H$48:$H$479,$D$48:$D$479,$D468,$A$48:$A$479,$A468,$B$48:$B$479,"&lt;="&amp;$B468)</f>
        <v>33039.96362</v>
      </c>
      <c r="M468" s="62" t="n">
        <f aca="false">IF(L468=0,0,K468/L468)</f>
        <v>0.981821111581478</v>
      </c>
    </row>
    <row r="469" customFormat="false" ht="15" hidden="false" customHeight="false" outlineLevel="0" collapsed="false">
      <c r="A469" s="56" t="n">
        <v>2027</v>
      </c>
      <c r="B469" s="56" t="n">
        <v>2</v>
      </c>
      <c r="C469" s="56" t="s">
        <v>173</v>
      </c>
      <c r="D469" s="56" t="s">
        <v>326</v>
      </c>
      <c r="E469" s="56" t="s">
        <v>145</v>
      </c>
      <c r="F469" s="56" t="s">
        <v>338</v>
      </c>
      <c r="G469" s="73" t="n">
        <f aca="false">SUMIFS(DRE_por_UN!$F:$F,DRE_por_UN!$C:$C,$C469,DRE_por_UN!$E:$E,$E469)*VLOOKUP($D469,$A$25:$H$36,4,0)</f>
        <v>30685.786992</v>
      </c>
      <c r="H469" s="61" t="n">
        <f aca="false">VLOOKUP($D469,$A$25:$H$36,5,0)*(1+$B$5)^($A469-2025)*INDEX($B$40:$M$44,MATCH($E469,$A$40:$A$44,0),$B469)</f>
        <v>32041.633784</v>
      </c>
      <c r="I469" s="62" t="n">
        <f aca="false">IF(H469=0,0,G469/H469)</f>
        <v>0.95768484212946</v>
      </c>
      <c r="J469" s="61" t="n">
        <f aca="false">G469-H469</f>
        <v>-1355.846792</v>
      </c>
      <c r="K469" s="61" t="n">
        <f aca="false">SUMIFS($G$48:$G$479,$D$48:$D$479,$D469,$A$48:$A$479,$A469,$B$48:$B$479,"&lt;="&amp;$B469)</f>
        <v>63125.1208</v>
      </c>
      <c r="L469" s="61" t="n">
        <f aca="false">SUMIFS($H$48:$H$479,$D$48:$D$479,$D469,$A$48:$A$479,$A469,$B$48:$B$479,"&lt;="&amp;$B469)</f>
        <v>65081.597404</v>
      </c>
      <c r="M469" s="62" t="n">
        <f aca="false">IF(L469=0,0,K469/L469)</f>
        <v>0.969938097987131</v>
      </c>
    </row>
    <row r="470" customFormat="false" ht="15" hidden="false" customHeight="false" outlineLevel="0" collapsed="false">
      <c r="A470" s="56" t="n">
        <v>2027</v>
      </c>
      <c r="B470" s="56" t="n">
        <v>3</v>
      </c>
      <c r="C470" s="56" t="s">
        <v>174</v>
      </c>
      <c r="D470" s="56" t="s">
        <v>326</v>
      </c>
      <c r="E470" s="56" t="s">
        <v>145</v>
      </c>
      <c r="F470" s="56" t="s">
        <v>338</v>
      </c>
      <c r="G470" s="73" t="n">
        <f aca="false">SUMIFS(DRE_por_UN!$F:$F,DRE_por_UN!$C:$C,$C470,DRE_por_UN!$E:$E,$E470)*VLOOKUP($D470,$A$25:$H$36,4,0)</f>
        <v>35690.488148</v>
      </c>
      <c r="H470" s="61" t="n">
        <f aca="false">VLOOKUP($D470,$A$25:$H$36,5,0)*(1+$B$5)^($A470-2025)*INDEX($B$40:$M$44,MATCH($E470,$A$40:$A$44,0),$B470)</f>
        <v>38507.00796</v>
      </c>
      <c r="I470" s="62" t="n">
        <f aca="false">IF(H470=0,0,G470/H470)</f>
        <v>0.926856955104751</v>
      </c>
      <c r="J470" s="61" t="n">
        <f aca="false">G470-H470</f>
        <v>-2816.51981200001</v>
      </c>
      <c r="K470" s="61" t="n">
        <f aca="false">SUMIFS($G$48:$G$479,$D$48:$D$479,$D470,$A$48:$A$479,$A470,$B$48:$B$479,"&lt;="&amp;$B470)</f>
        <v>98815.608948</v>
      </c>
      <c r="L470" s="61" t="n">
        <f aca="false">SUMIFS($H$48:$H$479,$D$48:$D$479,$D470,$A$48:$A$479,$A470,$B$48:$B$479,"&lt;="&amp;$B470)</f>
        <v>103588.605364</v>
      </c>
      <c r="M470" s="62" t="n">
        <f aca="false">IF(L470=0,0,K470/L470)</f>
        <v>0.953923538219014</v>
      </c>
    </row>
    <row r="471" customFormat="false" ht="15" hidden="false" customHeight="false" outlineLevel="0" collapsed="false">
      <c r="A471" s="56" t="n">
        <v>2027</v>
      </c>
      <c r="B471" s="56" t="n">
        <v>4</v>
      </c>
      <c r="C471" s="56" t="s">
        <v>175</v>
      </c>
      <c r="D471" s="56" t="s">
        <v>326</v>
      </c>
      <c r="E471" s="56" t="s">
        <v>145</v>
      </c>
      <c r="F471" s="56" t="s">
        <v>338</v>
      </c>
      <c r="G471" s="73" t="n">
        <f aca="false">SUMIFS(DRE_por_UN!$F:$F,DRE_por_UN!$C:$C,$C471,DRE_por_UN!$E:$E,$E471)*VLOOKUP($D471,$A$25:$H$36,4,0)</f>
        <v>34303.91538</v>
      </c>
      <c r="H471" s="61" t="n">
        <f aca="false">VLOOKUP($D471,$A$25:$H$36,5,0)*(1+$B$5)^($A471-2025)*INDEX($B$40:$M$44,MATCH($E471,$A$40:$A$44,0),$B471)</f>
        <v>37175.901512</v>
      </c>
      <c r="I471" s="62" t="n">
        <f aca="false">IF(H471=0,0,G471/H471)</f>
        <v>0.922746025914854</v>
      </c>
      <c r="J471" s="61" t="n">
        <f aca="false">G471-H471</f>
        <v>-2871.98613200001</v>
      </c>
      <c r="K471" s="61" t="n">
        <f aca="false">SUMIFS($G$48:$G$479,$D$48:$D$479,$D471,$A$48:$A$479,$A471,$B$48:$B$479,"&lt;="&amp;$B471)</f>
        <v>133119.524328</v>
      </c>
      <c r="L471" s="61" t="n">
        <f aca="false">SUMIFS($H$48:$H$479,$D$48:$D$479,$D471,$A$48:$A$479,$A471,$B$48:$B$479,"&lt;="&amp;$B471)</f>
        <v>140764.506876</v>
      </c>
      <c r="M471" s="62" t="n">
        <f aca="false">IF(L471=0,0,K471/L471)</f>
        <v>0.945689558272424</v>
      </c>
    </row>
    <row r="472" customFormat="false" ht="15" hidden="false" customHeight="false" outlineLevel="0" collapsed="false">
      <c r="A472" s="56" t="n">
        <v>2027</v>
      </c>
      <c r="B472" s="56" t="n">
        <v>5</v>
      </c>
      <c r="C472" s="56" t="s">
        <v>176</v>
      </c>
      <c r="D472" s="56" t="s">
        <v>326</v>
      </c>
      <c r="E472" s="56" t="s">
        <v>145</v>
      </c>
      <c r="F472" s="56" t="s">
        <v>338</v>
      </c>
      <c r="G472" s="73" t="n">
        <f aca="false">SUMIFS(DRE_por_UN!$F:$F,DRE_por_UN!$C:$C,$C472,DRE_por_UN!$E:$E,$E472)*VLOOKUP($D472,$A$25:$H$36,4,0)</f>
        <v>37746.807728</v>
      </c>
      <c r="H472" s="61" t="n">
        <f aca="false">VLOOKUP($D472,$A$25:$H$36,5,0)*(1+$B$5)^($A472-2025)*INDEX($B$40:$M$44,MATCH($E472,$A$40:$A$44,0),$B472)</f>
        <v>38269.31038</v>
      </c>
      <c r="I472" s="62" t="n">
        <f aca="false">IF(H472=0,0,G472/H472)</f>
        <v>0.98634669277257</v>
      </c>
      <c r="J472" s="61" t="n">
        <f aca="false">G472-H472</f>
        <v>-522.502652000003</v>
      </c>
      <c r="K472" s="61" t="n">
        <f aca="false">SUMIFS($G$48:$G$479,$D$48:$D$479,$D472,$A$48:$A$479,$A472,$B$48:$B$479,"&lt;="&amp;$B472)</f>
        <v>170866.332056</v>
      </c>
      <c r="L472" s="61" t="n">
        <f aca="false">SUMIFS($H$48:$H$479,$D$48:$D$479,$D472,$A$48:$A$479,$A472,$B$48:$B$479,"&lt;="&amp;$B472)</f>
        <v>179033.817256</v>
      </c>
      <c r="M472" s="62" t="n">
        <f aca="false">IF(L472=0,0,K472/L472)</f>
        <v>0.954380209699035</v>
      </c>
    </row>
    <row r="473" customFormat="false" ht="15" hidden="false" customHeight="false" outlineLevel="0" collapsed="false">
      <c r="A473" s="56" t="n">
        <v>2027</v>
      </c>
      <c r="B473" s="56" t="n">
        <v>6</v>
      </c>
      <c r="C473" s="56" t="s">
        <v>177</v>
      </c>
      <c r="D473" s="56" t="s">
        <v>326</v>
      </c>
      <c r="E473" s="56" t="s">
        <v>145</v>
      </c>
      <c r="F473" s="56" t="s">
        <v>338</v>
      </c>
      <c r="G473" s="73" t="n">
        <f aca="false">SUMIFS(DRE_por_UN!$F:$F,DRE_por_UN!$C:$C,$C473,DRE_por_UN!$E:$E,$E473)*VLOOKUP($D473,$A$25:$H$36,4,0)</f>
        <v>38049.310852</v>
      </c>
      <c r="H473" s="61" t="n">
        <f aca="false">VLOOKUP($D473,$A$25:$H$36,5,0)*(1+$B$5)^($A473-2025)*INDEX($B$40:$M$44,MATCH($E473,$A$40:$A$44,0),$B473)</f>
        <v>40218.430536</v>
      </c>
      <c r="I473" s="62" t="n">
        <f aca="false">IF(H473=0,0,G473/H473)</f>
        <v>0.946066525841718</v>
      </c>
      <c r="J473" s="61" t="n">
        <f aca="false">G473-H473</f>
        <v>-2169.11968400001</v>
      </c>
      <c r="K473" s="61" t="n">
        <f aca="false">SUMIFS($G$48:$G$479,$D$48:$D$479,$D473,$A$48:$A$479,$A473,$B$48:$B$479,"&lt;="&amp;$B473)</f>
        <v>208915.642908</v>
      </c>
      <c r="L473" s="61" t="n">
        <f aca="false">SUMIFS($H$48:$H$479,$D$48:$D$479,$D473,$A$48:$A$479,$A473,$B$48:$B$479,"&lt;="&amp;$B473)</f>
        <v>219252.247792</v>
      </c>
      <c r="M473" s="62" t="n">
        <f aca="false">IF(L473=0,0,K473/L473)</f>
        <v>0.952855193102485</v>
      </c>
    </row>
    <row r="474" customFormat="false" ht="15" hidden="false" customHeight="false" outlineLevel="0" collapsed="false">
      <c r="A474" s="56" t="n">
        <v>2027</v>
      </c>
      <c r="B474" s="56" t="n">
        <v>7</v>
      </c>
      <c r="C474" s="56" t="s">
        <v>178</v>
      </c>
      <c r="D474" s="56" t="s">
        <v>326</v>
      </c>
      <c r="E474" s="56" t="s">
        <v>145</v>
      </c>
      <c r="F474" s="56" t="s">
        <v>338</v>
      </c>
      <c r="G474" s="73" t="n">
        <f aca="false">SUMIFS(DRE_por_UN!$F:$F,DRE_por_UN!$C:$C,$C474,DRE_por_UN!$E:$E,$E474)*VLOOKUP($D474,$A$25:$H$36,4,0)</f>
        <v>39632.34632</v>
      </c>
      <c r="H474" s="61" t="n">
        <f aca="false">VLOOKUP($D474,$A$25:$H$36,5,0)*(1+$B$5)^($A474-2025)*INDEX($B$40:$M$44,MATCH($E474,$A$40:$A$44,0),$B474)</f>
        <v>40170.89102</v>
      </c>
      <c r="I474" s="62" t="n">
        <f aca="false">IF(H474=0,0,G474/H474)</f>
        <v>0.986593658086103</v>
      </c>
      <c r="J474" s="61" t="n">
        <f aca="false">G474-H474</f>
        <v>-538.544700000006</v>
      </c>
      <c r="K474" s="61" t="n">
        <f aca="false">SUMIFS($G$48:$G$479,$D$48:$D$479,$D474,$A$48:$A$479,$A474,$B$48:$B$479,"&lt;="&amp;$B474)</f>
        <v>248547.989228</v>
      </c>
      <c r="L474" s="61" t="n">
        <f aca="false">SUMIFS($H$48:$H$479,$D$48:$D$479,$D474,$A$48:$A$479,$A474,$B$48:$B$479,"&lt;="&amp;$B474)</f>
        <v>259423.138812</v>
      </c>
      <c r="M474" s="62" t="n">
        <f aca="false">IF(L474=0,0,K474/L474)</f>
        <v>0.958079492701377</v>
      </c>
    </row>
    <row r="475" customFormat="false" ht="15" hidden="false" customHeight="false" outlineLevel="0" collapsed="false">
      <c r="A475" s="56" t="n">
        <v>2027</v>
      </c>
      <c r="B475" s="56" t="n">
        <v>8</v>
      </c>
      <c r="C475" s="56" t="s">
        <v>179</v>
      </c>
      <c r="D475" s="56" t="s">
        <v>326</v>
      </c>
      <c r="E475" s="56" t="s">
        <v>145</v>
      </c>
      <c r="F475" s="56" t="s">
        <v>338</v>
      </c>
      <c r="G475" s="73" t="n">
        <f aca="false">SUMIFS(DRE_por_UN!$F:$F,DRE_por_UN!$C:$C,$C475,DRE_por_UN!$E:$E,$E475)*VLOOKUP($D475,$A$25:$H$36,4,0)</f>
        <v>37162.671616</v>
      </c>
      <c r="H475" s="61" t="n">
        <f aca="false">VLOOKUP($D475,$A$25:$H$36,5,0)*(1+$B$5)^($A475-2025)*INDEX($B$40:$M$44,MATCH($E475,$A$40:$A$44,0),$B475)</f>
        <v>38649.626508</v>
      </c>
      <c r="I475" s="62" t="n">
        <f aca="false">IF(H475=0,0,G475/H475)</f>
        <v>0.961527315362486</v>
      </c>
      <c r="J475" s="61" t="n">
        <f aca="false">G475-H475</f>
        <v>-1486.95489199999</v>
      </c>
      <c r="K475" s="61" t="n">
        <f aca="false">SUMIFS($G$48:$G$479,$D$48:$D$479,$D475,$A$48:$A$479,$A475,$B$48:$B$479,"&lt;="&amp;$B475)</f>
        <v>285710.660844</v>
      </c>
      <c r="L475" s="61" t="n">
        <f aca="false">SUMIFS($H$48:$H$479,$D$48:$D$479,$D475,$A$48:$A$479,$A475,$B$48:$B$479,"&lt;="&amp;$B475)</f>
        <v>298072.76532</v>
      </c>
      <c r="M475" s="62" t="n">
        <f aca="false">IF(L475=0,0,K475/L475)</f>
        <v>0.958526554874182</v>
      </c>
    </row>
    <row r="476" customFormat="false" ht="15" hidden="false" customHeight="false" outlineLevel="0" collapsed="false">
      <c r="A476" s="56" t="n">
        <v>2027</v>
      </c>
      <c r="B476" s="56" t="n">
        <v>9</v>
      </c>
      <c r="C476" s="56" t="s">
        <v>180</v>
      </c>
      <c r="D476" s="56" t="s">
        <v>326</v>
      </c>
      <c r="E476" s="56" t="s">
        <v>145</v>
      </c>
      <c r="F476" s="56" t="s">
        <v>338</v>
      </c>
      <c r="G476" s="73" t="n">
        <f aca="false">SUMIFS(DRE_por_UN!$F:$F,DRE_por_UN!$C:$C,$C476,DRE_por_UN!$E:$E,$E476)*VLOOKUP($D476,$A$25:$H$36,4,0)</f>
        <v>35082.279176</v>
      </c>
      <c r="H476" s="61" t="n">
        <f aca="false">VLOOKUP($D476,$A$25:$H$36,5,0)*(1+$B$5)^($A476-2025)*INDEX($B$40:$M$44,MATCH($E476,$A$40:$A$44,0),$B476)</f>
        <v>38982.40312</v>
      </c>
      <c r="I476" s="62" t="n">
        <f aca="false">IF(H476=0,0,G476/H476)</f>
        <v>0.89995167994148</v>
      </c>
      <c r="J476" s="61" t="n">
        <f aca="false">G476-H476</f>
        <v>-3900.12394400001</v>
      </c>
      <c r="K476" s="61" t="n">
        <f aca="false">SUMIFS($G$48:$G$479,$D$48:$D$479,$D476,$A$48:$A$479,$A476,$B$48:$B$479,"&lt;="&amp;$B476)</f>
        <v>320792.94002</v>
      </c>
      <c r="L476" s="61" t="n">
        <f aca="false">SUMIFS($H$48:$H$479,$D$48:$D$479,$D476,$A$48:$A$479,$A476,$B$48:$B$479,"&lt;="&amp;$B476)</f>
        <v>337055.16844</v>
      </c>
      <c r="M476" s="62" t="n">
        <f aca="false">IF(L476=0,0,K476/L476)</f>
        <v>0.951752027731048</v>
      </c>
    </row>
    <row r="477" customFormat="false" ht="15" hidden="false" customHeight="false" outlineLevel="0" collapsed="false">
      <c r="A477" s="56" t="n">
        <v>2027</v>
      </c>
      <c r="B477" s="56" t="n">
        <v>10</v>
      </c>
      <c r="C477" s="56" t="s">
        <v>181</v>
      </c>
      <c r="D477" s="56" t="s">
        <v>326</v>
      </c>
      <c r="E477" s="56" t="s">
        <v>145</v>
      </c>
      <c r="F477" s="56" t="s">
        <v>338</v>
      </c>
      <c r="G477" s="73" t="n">
        <f aca="false">SUMIFS(DRE_por_UN!$F:$F,DRE_por_UN!$C:$C,$C477,DRE_por_UN!$E:$E,$E477)*VLOOKUP($D477,$A$25:$H$36,4,0)</f>
        <v>36870.957088</v>
      </c>
      <c r="H477" s="61" t="n">
        <f aca="false">VLOOKUP($D477,$A$25:$H$36,5,0)*(1+$B$5)^($A477-2025)*INDEX($B$40:$M$44,MATCH($E477,$A$40:$A$44,0),$B477)</f>
        <v>39362.719248</v>
      </c>
      <c r="I477" s="62" t="n">
        <f aca="false">IF(H477=0,0,G477/H477)</f>
        <v>0.936697407912778</v>
      </c>
      <c r="J477" s="61" t="n">
        <f aca="false">G477-H477</f>
        <v>-2491.76216000001</v>
      </c>
      <c r="K477" s="61" t="n">
        <f aca="false">SUMIFS($G$48:$G$479,$D$48:$D$479,$D477,$A$48:$A$479,$A477,$B$48:$B$479,"&lt;="&amp;$B477)</f>
        <v>357663.897108</v>
      </c>
      <c r="L477" s="61" t="n">
        <f aca="false">SUMIFS($H$48:$H$479,$D$48:$D$479,$D477,$A$48:$A$479,$A477,$B$48:$B$479,"&lt;="&amp;$B477)</f>
        <v>376417.887688</v>
      </c>
      <c r="M477" s="62" t="n">
        <f aca="false">IF(L477=0,0,K477/L477)</f>
        <v>0.950177738111254</v>
      </c>
    </row>
    <row r="478" customFormat="false" ht="15" hidden="false" customHeight="false" outlineLevel="0" collapsed="false">
      <c r="A478" s="56" t="n">
        <v>2027</v>
      </c>
      <c r="B478" s="56" t="n">
        <v>11</v>
      </c>
      <c r="C478" s="56" t="s">
        <v>182</v>
      </c>
      <c r="D478" s="56" t="s">
        <v>326</v>
      </c>
      <c r="E478" s="56" t="s">
        <v>145</v>
      </c>
      <c r="F478" s="56" t="s">
        <v>338</v>
      </c>
      <c r="G478" s="73" t="n">
        <f aca="false">SUMIFS(DRE_por_UN!$F:$F,DRE_por_UN!$C:$C,$C478,DRE_por_UN!$E:$E,$E478)*VLOOKUP($D478,$A$25:$H$36,4,0)</f>
        <v>45196.400676</v>
      </c>
      <c r="H478" s="61" t="n">
        <f aca="false">VLOOKUP($D478,$A$25:$H$36,5,0)*(1+$B$5)^($A478-2025)*INDEX($B$40:$M$44,MATCH($E478,$A$40:$A$44,0),$B478)</f>
        <v>48728.0039</v>
      </c>
      <c r="I478" s="62" t="n">
        <f aca="false">IF(H478=0,0,G478/H478)</f>
        <v>0.927524155693971</v>
      </c>
      <c r="J478" s="61" t="n">
        <f aca="false">G478-H478</f>
        <v>-3531.60322399999</v>
      </c>
      <c r="K478" s="61" t="n">
        <f aca="false">SUMIFS($G$48:$G$479,$D$48:$D$479,$D478,$A$48:$A$479,$A478,$B$48:$B$479,"&lt;="&amp;$B478)</f>
        <v>402860.297784</v>
      </c>
      <c r="L478" s="61" t="n">
        <f aca="false">SUMIFS($H$48:$H$479,$D$48:$D$479,$D478,$A$48:$A$479,$A478,$B$48:$B$479,"&lt;="&amp;$B478)</f>
        <v>425145.891588</v>
      </c>
      <c r="M478" s="62" t="n">
        <f aca="false">IF(L478=0,0,K478/L478)</f>
        <v>0.947581302689392</v>
      </c>
    </row>
    <row r="479" customFormat="false" ht="15" hidden="false" customHeight="false" outlineLevel="0" collapsed="false">
      <c r="A479" s="56" t="n">
        <v>2027</v>
      </c>
      <c r="B479" s="56" t="n">
        <v>12</v>
      </c>
      <c r="C479" s="56" t="s">
        <v>183</v>
      </c>
      <c r="D479" s="56" t="s">
        <v>326</v>
      </c>
      <c r="E479" s="56" t="s">
        <v>145</v>
      </c>
      <c r="F479" s="56" t="s">
        <v>338</v>
      </c>
      <c r="G479" s="73" t="n">
        <f aca="false">SUMIFS(DRE_por_UN!$F:$F,DRE_por_UN!$C:$C,$C479,DRE_por_UN!$E:$E,$E479)*VLOOKUP($D479,$A$25:$H$36,4,0)</f>
        <v>47917.346904</v>
      </c>
      <c r="H479" s="61" t="n">
        <f aca="false">VLOOKUP($D479,$A$25:$H$36,5,0)*(1+$B$5)^($A479-2025)*INDEX($B$40:$M$44,MATCH($E479,$A$40:$A$44,0),$B479)</f>
        <v>50296.807928</v>
      </c>
      <c r="I479" s="62" t="n">
        <f aca="false">IF(H479=0,0,G479/H479)</f>
        <v>0.952691609626476</v>
      </c>
      <c r="J479" s="61" t="n">
        <f aca="false">G479-H479</f>
        <v>-2379.461024</v>
      </c>
      <c r="K479" s="61" t="n">
        <f aca="false">SUMIFS($G$48:$G$479,$D$48:$D$479,$D479,$A$48:$A$479,$A479,$B$48:$B$479,"&lt;="&amp;$B479)</f>
        <v>450777.644688</v>
      </c>
      <c r="L479" s="61" t="n">
        <f aca="false">SUMIFS($H$48:$H$479,$D$48:$D$479,$D479,$A$48:$A$479,$A479,$B$48:$B$479,"&lt;="&amp;$B479)</f>
        <v>475442.699516</v>
      </c>
      <c r="M479" s="62" t="n">
        <f aca="false">IF(L479=0,0,K479/L479)</f>
        <v>0.948121919101694</v>
      </c>
    </row>
  </sheetData>
  <conditionalFormatting sqref="E9:E20">
    <cfRule type="cellIs" priority="2" operator="greaterThanOrEqual" aboveAverage="0" equalAverage="0" bottom="0" percent="0" rank="0" text="" dxfId="0">
      <formula>1</formula>
    </cfRule>
    <cfRule type="cellIs" priority="3" operator="between" aboveAverage="0" equalAverage="0" bottom="0" percent="0" rank="0" text="" dxfId="1">
      <formula>0.9</formula>
      <formula>0.9999</formula>
    </cfRule>
    <cfRule type="cellIs" priority="4" operator="lessThan" aboveAverage="0" equalAverage="0" bottom="0" percent="0" rank="0" text="" dxfId="2">
      <formula>0.9</formula>
    </cfRule>
  </conditionalFormatting>
  <conditionalFormatting sqref="H9:H20">
    <cfRule type="cellIs" priority="5" operator="greaterThanOrEqual" aboveAverage="0" equalAverage="0" bottom="0" percent="0" rank="0" text="" dxfId="0">
      <formula>1</formula>
    </cfRule>
    <cfRule type="cellIs" priority="6" operator="between" aboveAverage="0" equalAverage="0" bottom="0" percent="0" rank="0" text="" dxfId="1">
      <formula>0.9</formula>
      <formula>0.9999</formula>
    </cfRule>
    <cfRule type="cellIs" priority="7" operator="lessThan" aboveAverage="0" equalAverage="0" bottom="0" percent="0" rank="0" text="" dxfId="2">
      <formula>0.9</formula>
    </cfRule>
  </conditionalFormatting>
  <conditionalFormatting sqref="K9:K20">
    <cfRule type="cellIs" priority="8" operator="greaterThanOrEqual" aboveAverage="0" equalAverage="0" bottom="0" percent="0" rank="0" text="" dxfId="0">
      <formula>1</formula>
    </cfRule>
    <cfRule type="cellIs" priority="9" operator="between" aboveAverage="0" equalAverage="0" bottom="0" percent="0" rank="0" text="" dxfId="1">
      <formula>0.9</formula>
      <formula>0.9999</formula>
    </cfRule>
    <cfRule type="cellIs" priority="10" operator="lessThan" aboveAverage="0" equalAverage="0" bottom="0" percent="0" rank="0" text="" dxfId="2">
      <formula>0.9</formula>
    </cfRule>
  </conditionalFormatting>
  <conditionalFormatting sqref="L9:L20">
    <cfRule type="cellIs" priority="11" operator="greaterThanOrEqual" aboveAverage="0" equalAverage="0" bottom="0" percent="0" rank="0" text="" dxfId="0">
      <formula>1</formula>
    </cfRule>
    <cfRule type="cellIs" priority="12" operator="between" aboveAverage="0" equalAverage="0" bottom="0" percent="0" rank="0" text="" dxfId="1">
      <formula>0.9</formula>
      <formula>0.9999</formula>
    </cfRule>
    <cfRule type="cellIs" priority="13" operator="lessThan" aboveAverage="0" equalAverage="0" bottom="0" percent="0" rank="0" text="" dxfId="2">
      <formula>0.9</formula>
    </cfRule>
  </conditionalFormatting>
  <conditionalFormatting sqref="I48:I479">
    <cfRule type="cellIs" priority="14" operator="greaterThanOrEqual" aboveAverage="0" equalAverage="0" bottom="0" percent="0" rank="0" text="" dxfId="0">
      <formula>1</formula>
    </cfRule>
    <cfRule type="cellIs" priority="15" operator="between" aboveAverage="0" equalAverage="0" bottom="0" percent="0" rank="0" text="" dxfId="1">
      <formula>0.9</formula>
      <formula>0.9999</formula>
    </cfRule>
    <cfRule type="cellIs" priority="16" operator="lessThan" aboveAverage="0" equalAverage="0" bottom="0" percent="0" rank="0" text="" dxfId="2">
      <formula>0.9</formula>
    </cfRule>
  </conditionalFormatting>
  <conditionalFormatting sqref="M48:M479">
    <cfRule type="cellIs" priority="17" operator="greaterThanOrEqual" aboveAverage="0" equalAverage="0" bottom="0" percent="0" rank="0" text="" dxfId="0">
      <formula>1</formula>
    </cfRule>
    <cfRule type="cellIs" priority="18" operator="between" aboveAverage="0" equalAverage="0" bottom="0" percent="0" rank="0" text="" dxfId="1">
      <formula>0.9</formula>
      <formula>0.9999</formula>
    </cfRule>
    <cfRule type="cellIs" priority="19" operator="lessThan" aboveAverage="0" equalAverage="0" bottom="0" percent="0" rank="0" text="" dxfId="2">
      <formula>0.9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6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24"/>
    <col collapsed="false" customWidth="true" hidden="false" outlineLevel="0" max="8" min="6" style="1" width="14"/>
    <col collapsed="false" customWidth="true" hidden="false" outlineLevel="0" max="9" min="9" style="1" width="13"/>
    <col collapsed="false" customWidth="true" hidden="false" outlineLevel="0" max="10" min="10" style="1" width="14"/>
    <col collapsed="false" customWidth="true" hidden="false" outlineLevel="0" max="12" min="11" style="1" width="13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14"/>
    <col collapsed="false" customWidth="true" hidden="false" outlineLevel="0" max="17" min="16" style="1" width="15"/>
  </cols>
  <sheetData>
    <row r="1" customFormat="false" ht="23.25" hidden="false" customHeight="true" outlineLevel="0" collapsed="false">
      <c r="A1" s="25" t="s">
        <v>254</v>
      </c>
      <c r="B1" s="25" t="s">
        <v>255</v>
      </c>
      <c r="C1" s="25" t="s">
        <v>256</v>
      </c>
      <c r="D1" s="25" t="s">
        <v>257</v>
      </c>
      <c r="E1" s="25" t="s">
        <v>349</v>
      </c>
      <c r="F1" s="25" t="s">
        <v>188</v>
      </c>
      <c r="G1" s="25" t="s">
        <v>350</v>
      </c>
      <c r="H1" s="25" t="s">
        <v>190</v>
      </c>
      <c r="I1" s="25" t="s">
        <v>351</v>
      </c>
      <c r="J1" s="25" t="s">
        <v>352</v>
      </c>
      <c r="K1" s="25" t="s">
        <v>192</v>
      </c>
      <c r="L1" s="25" t="s">
        <v>353</v>
      </c>
      <c r="M1" s="25" t="s">
        <v>354</v>
      </c>
      <c r="N1" s="25" t="s">
        <v>355</v>
      </c>
      <c r="O1" s="25" t="s">
        <v>356</v>
      </c>
      <c r="P1" s="25" t="s">
        <v>357</v>
      </c>
      <c r="Q1" s="25" t="s">
        <v>358</v>
      </c>
    </row>
    <row r="2" customFormat="false" ht="15" hidden="false" customHeight="true" outlineLevel="0" collapsed="false">
      <c r="A2" s="18" t="n">
        <v>2025</v>
      </c>
      <c r="B2" s="18" t="n">
        <v>1</v>
      </c>
      <c r="C2" s="18" t="s">
        <v>148</v>
      </c>
      <c r="D2" s="74" t="n">
        <v>45658</v>
      </c>
      <c r="E2" s="18" t="s">
        <v>141</v>
      </c>
      <c r="F2" s="75" t="n">
        <v>28333.7</v>
      </c>
      <c r="G2" s="75" t="n">
        <v>10976.54</v>
      </c>
      <c r="H2" s="76" t="n">
        <f aca="false">F2-G2</f>
        <v>17357.16</v>
      </c>
      <c r="I2" s="77" t="n">
        <f aca="false">IF($A2=2025,VLOOKUP($E2,Premissas!$A$52:$P$56,2,0),IF($A2=2026,VLOOKUP($E2,Premissas!$A$52:$P$56,3,0),VLOOKUP($E2,Premissas!$A$52:$P$56,4,0)))</f>
        <v>0.3</v>
      </c>
      <c r="J2" s="76" t="n">
        <f aca="false">H2*(1-I2)</f>
        <v>12150.012</v>
      </c>
      <c r="K2" s="76" t="n">
        <f aca="false">H2-J2</f>
        <v>5207.148</v>
      </c>
      <c r="L2" s="78" t="n">
        <f aca="false">SUMIFS(Headcount_Folha!$I:$I,Headcount_Folha!$C:$C,$C2,Headcount_Folha!$D:$D,$E2)</f>
        <v>7392</v>
      </c>
      <c r="M2" s="76" t="n">
        <f aca="false">VLOOKUP($E2,Premissas!$A$52:$P$56,10,0)*(1+VLOOKUP($E2,Premissas!$A$52:$P$56,11,0))^($A2-2025)</f>
        <v>2000</v>
      </c>
      <c r="N2" s="76" t="n">
        <f aca="false">H2*VLOOKUP($E2,Premissas!$A$52:$P$56,7,0)</f>
        <v>260.3574</v>
      </c>
      <c r="O2" s="76" t="n">
        <f aca="false">H2*VLOOKUP($E2,Premissas!$A$52:$P$56,8,0)</f>
        <v>694.2864</v>
      </c>
      <c r="P2" s="76" t="n">
        <f aca="false">H2*VLOOKUP($E2,Premissas!$A$52:$P$56,9,0)</f>
        <v>347.1432</v>
      </c>
      <c r="Q2" s="76" t="n">
        <f aca="false">K2-L2-M2-N2-O2-P2</f>
        <v>-5486.639</v>
      </c>
    </row>
    <row r="3" customFormat="false" ht="15" hidden="false" customHeight="true" outlineLevel="0" collapsed="false">
      <c r="A3" s="18" t="n">
        <v>2025</v>
      </c>
      <c r="B3" s="18" t="n">
        <v>2</v>
      </c>
      <c r="C3" s="18" t="s">
        <v>149</v>
      </c>
      <c r="D3" s="74" t="n">
        <v>45689</v>
      </c>
      <c r="E3" s="18" t="s">
        <v>141</v>
      </c>
      <c r="F3" s="75" t="n">
        <v>40998.3</v>
      </c>
      <c r="G3" s="75" t="n">
        <v>15547.09</v>
      </c>
      <c r="H3" s="76" t="n">
        <f aca="false">F3-G3</f>
        <v>25451.21</v>
      </c>
      <c r="I3" s="77" t="n">
        <f aca="false">IF($A3=2025,VLOOKUP($E3,Premissas!$A$52:$P$56,2,0),IF($A3=2026,VLOOKUP($E3,Premissas!$A$52:$P$56,3,0),VLOOKUP($E3,Premissas!$A$52:$P$56,4,0)))</f>
        <v>0.3</v>
      </c>
      <c r="J3" s="76" t="n">
        <f aca="false">H3*(1-I3)</f>
        <v>17815.847</v>
      </c>
      <c r="K3" s="76" t="n">
        <f aca="false">H3-J3</f>
        <v>7635.363</v>
      </c>
      <c r="L3" s="78" t="n">
        <f aca="false">SUMIFS(Headcount_Folha!$I:$I,Headcount_Folha!$C:$C,$C3,Headcount_Folha!$D:$D,$E3)</f>
        <v>7392</v>
      </c>
      <c r="M3" s="76" t="n">
        <f aca="false">VLOOKUP($E3,Premissas!$A$52:$P$56,10,0)*(1+VLOOKUP($E3,Premissas!$A$52:$P$56,11,0))^($A3-2025)</f>
        <v>2000</v>
      </c>
      <c r="N3" s="76" t="n">
        <f aca="false">H3*VLOOKUP($E3,Premissas!$A$52:$P$56,7,0)</f>
        <v>381.76815</v>
      </c>
      <c r="O3" s="76" t="n">
        <f aca="false">H3*VLOOKUP($E3,Premissas!$A$52:$P$56,8,0)</f>
        <v>1018.0484</v>
      </c>
      <c r="P3" s="76" t="n">
        <f aca="false">H3*VLOOKUP($E3,Premissas!$A$52:$P$56,9,0)</f>
        <v>509.0242</v>
      </c>
      <c r="Q3" s="76" t="n">
        <f aca="false">K3-L3-M3-N3-O3-P3</f>
        <v>-3665.47775</v>
      </c>
    </row>
    <row r="4" customFormat="false" ht="15" hidden="false" customHeight="true" outlineLevel="0" collapsed="false">
      <c r="A4" s="18" t="n">
        <v>2025</v>
      </c>
      <c r="B4" s="18" t="n">
        <v>3</v>
      </c>
      <c r="C4" s="18" t="s">
        <v>150</v>
      </c>
      <c r="D4" s="74" t="n">
        <v>45717</v>
      </c>
      <c r="E4" s="18" t="s">
        <v>141</v>
      </c>
      <c r="F4" s="75" t="n">
        <v>41460.36</v>
      </c>
      <c r="G4" s="75" t="n">
        <v>16952.33</v>
      </c>
      <c r="H4" s="76" t="n">
        <f aca="false">F4-G4</f>
        <v>24508.03</v>
      </c>
      <c r="I4" s="77" t="n">
        <f aca="false">IF($A4=2025,VLOOKUP($E4,Premissas!$A$52:$P$56,2,0),IF($A4=2026,VLOOKUP($E4,Premissas!$A$52:$P$56,3,0),VLOOKUP($E4,Premissas!$A$52:$P$56,4,0)))</f>
        <v>0.3</v>
      </c>
      <c r="J4" s="76" t="n">
        <f aca="false">H4*(1-I4)</f>
        <v>17155.621</v>
      </c>
      <c r="K4" s="76" t="n">
        <f aca="false">H4-J4</f>
        <v>7352.409</v>
      </c>
      <c r="L4" s="78" t="n">
        <f aca="false">SUMIFS(Headcount_Folha!$I:$I,Headcount_Folha!$C:$C,$C4,Headcount_Folha!$D:$D,$E4)</f>
        <v>7392</v>
      </c>
      <c r="M4" s="76" t="n">
        <f aca="false">VLOOKUP($E4,Premissas!$A$52:$P$56,10,0)*(1+VLOOKUP($E4,Premissas!$A$52:$P$56,11,0))^($A4-2025)</f>
        <v>2000</v>
      </c>
      <c r="N4" s="76" t="n">
        <f aca="false">H4*VLOOKUP($E4,Premissas!$A$52:$P$56,7,0)</f>
        <v>367.62045</v>
      </c>
      <c r="O4" s="76" t="n">
        <f aca="false">H4*VLOOKUP($E4,Premissas!$A$52:$P$56,8,0)</f>
        <v>980.3212</v>
      </c>
      <c r="P4" s="76" t="n">
        <f aca="false">H4*VLOOKUP($E4,Premissas!$A$52:$P$56,9,0)</f>
        <v>490.1606</v>
      </c>
      <c r="Q4" s="76" t="n">
        <f aca="false">K4-L4-M4-N4-O4-P4</f>
        <v>-3877.69325</v>
      </c>
    </row>
    <row r="5" customFormat="false" ht="15" hidden="false" customHeight="true" outlineLevel="0" collapsed="false">
      <c r="A5" s="18" t="n">
        <v>2025</v>
      </c>
      <c r="B5" s="18" t="n">
        <v>4</v>
      </c>
      <c r="C5" s="18" t="s">
        <v>151</v>
      </c>
      <c r="D5" s="74" t="n">
        <v>45748</v>
      </c>
      <c r="E5" s="18" t="s">
        <v>141</v>
      </c>
      <c r="F5" s="75" t="n">
        <v>31718.98</v>
      </c>
      <c r="G5" s="75" t="n">
        <v>12511.23</v>
      </c>
      <c r="H5" s="76" t="n">
        <f aca="false">F5-G5</f>
        <v>19207.75</v>
      </c>
      <c r="I5" s="77" t="n">
        <f aca="false">IF($A5=2025,VLOOKUP($E5,Premissas!$A$52:$P$56,2,0),IF($A5=2026,VLOOKUP($E5,Premissas!$A$52:$P$56,3,0),VLOOKUP($E5,Premissas!$A$52:$P$56,4,0)))</f>
        <v>0.3</v>
      </c>
      <c r="J5" s="76" t="n">
        <f aca="false">H5*(1-I5)</f>
        <v>13445.425</v>
      </c>
      <c r="K5" s="76" t="n">
        <f aca="false">H5-J5</f>
        <v>5762.325</v>
      </c>
      <c r="L5" s="78" t="n">
        <f aca="false">SUMIFS(Headcount_Folha!$I:$I,Headcount_Folha!$C:$C,$C5,Headcount_Folha!$D:$D,$E5)</f>
        <v>7392</v>
      </c>
      <c r="M5" s="76" t="n">
        <f aca="false">VLOOKUP($E5,Premissas!$A$52:$P$56,10,0)*(1+VLOOKUP($E5,Premissas!$A$52:$P$56,11,0))^($A5-2025)</f>
        <v>2000</v>
      </c>
      <c r="N5" s="76" t="n">
        <f aca="false">H5*VLOOKUP($E5,Premissas!$A$52:$P$56,7,0)</f>
        <v>288.11625</v>
      </c>
      <c r="O5" s="76" t="n">
        <f aca="false">H5*VLOOKUP($E5,Premissas!$A$52:$P$56,8,0)</f>
        <v>768.31</v>
      </c>
      <c r="P5" s="76" t="n">
        <f aca="false">H5*VLOOKUP($E5,Premissas!$A$52:$P$56,9,0)</f>
        <v>384.155</v>
      </c>
      <c r="Q5" s="76" t="n">
        <f aca="false">K5-L5-M5-N5-O5-P5</f>
        <v>-5070.25625</v>
      </c>
    </row>
    <row r="6" customFormat="false" ht="15" hidden="false" customHeight="true" outlineLevel="0" collapsed="false">
      <c r="A6" s="18" t="n">
        <v>2025</v>
      </c>
      <c r="B6" s="18" t="n">
        <v>5</v>
      </c>
      <c r="C6" s="18" t="s">
        <v>152</v>
      </c>
      <c r="D6" s="74" t="n">
        <v>45778</v>
      </c>
      <c r="E6" s="18" t="s">
        <v>141</v>
      </c>
      <c r="F6" s="75" t="n">
        <v>45902.65</v>
      </c>
      <c r="G6" s="75" t="n">
        <v>18226.98</v>
      </c>
      <c r="H6" s="76" t="n">
        <f aca="false">F6-G6</f>
        <v>27675.67</v>
      </c>
      <c r="I6" s="77" t="n">
        <f aca="false">IF($A6=2025,VLOOKUP($E6,Premissas!$A$52:$P$56,2,0),IF($A6=2026,VLOOKUP($E6,Premissas!$A$52:$P$56,3,0),VLOOKUP($E6,Premissas!$A$52:$P$56,4,0)))</f>
        <v>0.3</v>
      </c>
      <c r="J6" s="76" t="n">
        <f aca="false">H6*(1-I6)</f>
        <v>19372.969</v>
      </c>
      <c r="K6" s="76" t="n">
        <f aca="false">H6-J6</f>
        <v>8302.701</v>
      </c>
      <c r="L6" s="78" t="n">
        <f aca="false">SUMIFS(Headcount_Folha!$I:$I,Headcount_Folha!$C:$C,$C6,Headcount_Folha!$D:$D,$E6)</f>
        <v>7392</v>
      </c>
      <c r="M6" s="76" t="n">
        <f aca="false">VLOOKUP($E6,Premissas!$A$52:$P$56,10,0)*(1+VLOOKUP($E6,Premissas!$A$52:$P$56,11,0))^($A6-2025)</f>
        <v>2000</v>
      </c>
      <c r="N6" s="76" t="n">
        <f aca="false">H6*VLOOKUP($E6,Premissas!$A$52:$P$56,7,0)</f>
        <v>415.13505</v>
      </c>
      <c r="O6" s="76" t="n">
        <f aca="false">H6*VLOOKUP($E6,Premissas!$A$52:$P$56,8,0)</f>
        <v>1107.0268</v>
      </c>
      <c r="P6" s="76" t="n">
        <f aca="false">H6*VLOOKUP($E6,Premissas!$A$52:$P$56,9,0)</f>
        <v>553.5134</v>
      </c>
      <c r="Q6" s="76" t="n">
        <f aca="false">K6-L6-M6-N6-O6-P6</f>
        <v>-3164.97425</v>
      </c>
    </row>
    <row r="7" customFormat="false" ht="15" hidden="false" customHeight="true" outlineLevel="0" collapsed="false">
      <c r="A7" s="18" t="n">
        <v>2025</v>
      </c>
      <c r="B7" s="18" t="n">
        <v>6</v>
      </c>
      <c r="C7" s="18" t="s">
        <v>153</v>
      </c>
      <c r="D7" s="74" t="n">
        <v>45809</v>
      </c>
      <c r="E7" s="18" t="s">
        <v>141</v>
      </c>
      <c r="F7" s="75" t="n">
        <v>44123.99</v>
      </c>
      <c r="G7" s="75" t="n">
        <v>17913.96</v>
      </c>
      <c r="H7" s="76" t="n">
        <f aca="false">F7-G7</f>
        <v>26210.03</v>
      </c>
      <c r="I7" s="77" t="n">
        <f aca="false">IF($A7=2025,VLOOKUP($E7,Premissas!$A$52:$P$56,2,0),IF($A7=2026,VLOOKUP($E7,Premissas!$A$52:$P$56,3,0),VLOOKUP($E7,Premissas!$A$52:$P$56,4,0)))</f>
        <v>0.3</v>
      </c>
      <c r="J7" s="76" t="n">
        <f aca="false">H7*(1-I7)</f>
        <v>18347.021</v>
      </c>
      <c r="K7" s="76" t="n">
        <f aca="false">H7-J7</f>
        <v>7863.009</v>
      </c>
      <c r="L7" s="78" t="n">
        <f aca="false">SUMIFS(Headcount_Folha!$I:$I,Headcount_Folha!$C:$C,$C7,Headcount_Folha!$D:$D,$E7)</f>
        <v>7392</v>
      </c>
      <c r="M7" s="76" t="n">
        <f aca="false">VLOOKUP($E7,Premissas!$A$52:$P$56,10,0)*(1+VLOOKUP($E7,Premissas!$A$52:$P$56,11,0))^($A7-2025)</f>
        <v>2000</v>
      </c>
      <c r="N7" s="76" t="n">
        <f aca="false">H7*VLOOKUP($E7,Premissas!$A$52:$P$56,7,0)</f>
        <v>393.15045</v>
      </c>
      <c r="O7" s="76" t="n">
        <f aca="false">H7*VLOOKUP($E7,Premissas!$A$52:$P$56,8,0)</f>
        <v>1048.4012</v>
      </c>
      <c r="P7" s="76" t="n">
        <f aca="false">H7*VLOOKUP($E7,Premissas!$A$52:$P$56,9,0)</f>
        <v>524.2006</v>
      </c>
      <c r="Q7" s="76" t="n">
        <f aca="false">K7-L7-M7-N7-O7-P7</f>
        <v>-3494.74325</v>
      </c>
    </row>
    <row r="8" customFormat="false" ht="15" hidden="false" customHeight="true" outlineLevel="0" collapsed="false">
      <c r="A8" s="18" t="n">
        <v>2025</v>
      </c>
      <c r="B8" s="18" t="n">
        <v>7</v>
      </c>
      <c r="C8" s="18" t="s">
        <v>154</v>
      </c>
      <c r="D8" s="74" t="n">
        <v>45839</v>
      </c>
      <c r="E8" s="18" t="s">
        <v>141</v>
      </c>
      <c r="F8" s="75" t="n">
        <v>46149.73</v>
      </c>
      <c r="G8" s="75" t="n">
        <v>18062.72</v>
      </c>
      <c r="H8" s="76" t="n">
        <f aca="false">F8-G8</f>
        <v>28087.01</v>
      </c>
      <c r="I8" s="77" t="n">
        <f aca="false">IF($A8=2025,VLOOKUP($E8,Premissas!$A$52:$P$56,2,0),IF($A8=2026,VLOOKUP($E8,Premissas!$A$52:$P$56,3,0),VLOOKUP($E8,Premissas!$A$52:$P$56,4,0)))</f>
        <v>0.3</v>
      </c>
      <c r="J8" s="76" t="n">
        <f aca="false">H8*(1-I8)</f>
        <v>19660.907</v>
      </c>
      <c r="K8" s="76" t="n">
        <f aca="false">H8-J8</f>
        <v>8426.103</v>
      </c>
      <c r="L8" s="78" t="n">
        <f aca="false">SUMIFS(Headcount_Folha!$I:$I,Headcount_Folha!$C:$C,$C8,Headcount_Folha!$D:$D,$E8)</f>
        <v>7392</v>
      </c>
      <c r="M8" s="76" t="n">
        <f aca="false">VLOOKUP($E8,Premissas!$A$52:$P$56,10,0)*(1+VLOOKUP($E8,Premissas!$A$52:$P$56,11,0))^($A8-2025)</f>
        <v>2000</v>
      </c>
      <c r="N8" s="76" t="n">
        <f aca="false">H8*VLOOKUP($E8,Premissas!$A$52:$P$56,7,0)</f>
        <v>421.30515</v>
      </c>
      <c r="O8" s="76" t="n">
        <f aca="false">H8*VLOOKUP($E8,Premissas!$A$52:$P$56,8,0)</f>
        <v>1123.4804</v>
      </c>
      <c r="P8" s="76" t="n">
        <f aca="false">H8*VLOOKUP($E8,Premissas!$A$52:$P$56,9,0)</f>
        <v>561.7402</v>
      </c>
      <c r="Q8" s="76" t="n">
        <f aca="false">K8-L8-M8-N8-O8-P8</f>
        <v>-3072.42275</v>
      </c>
    </row>
    <row r="9" customFormat="false" ht="15" hidden="false" customHeight="true" outlineLevel="0" collapsed="false">
      <c r="A9" s="18" t="n">
        <v>2025</v>
      </c>
      <c r="B9" s="18" t="n">
        <v>8</v>
      </c>
      <c r="C9" s="18" t="s">
        <v>155</v>
      </c>
      <c r="D9" s="74" t="n">
        <v>45870</v>
      </c>
      <c r="E9" s="18" t="s">
        <v>141</v>
      </c>
      <c r="F9" s="75" t="n">
        <v>37827.72</v>
      </c>
      <c r="G9" s="75" t="n">
        <v>14097.8</v>
      </c>
      <c r="H9" s="76" t="n">
        <f aca="false">F9-G9</f>
        <v>23729.92</v>
      </c>
      <c r="I9" s="77" t="n">
        <f aca="false">IF($A9=2025,VLOOKUP($E9,Premissas!$A$52:$P$56,2,0),IF($A9=2026,VLOOKUP($E9,Premissas!$A$52:$P$56,3,0),VLOOKUP($E9,Premissas!$A$52:$P$56,4,0)))</f>
        <v>0.3</v>
      </c>
      <c r="J9" s="76" t="n">
        <f aca="false">H9*(1-I9)</f>
        <v>16610.944</v>
      </c>
      <c r="K9" s="76" t="n">
        <f aca="false">H9-J9</f>
        <v>7118.976</v>
      </c>
      <c r="L9" s="78" t="n">
        <f aca="false">SUMIFS(Headcount_Folha!$I:$I,Headcount_Folha!$C:$C,$C9,Headcount_Folha!$D:$D,$E9)</f>
        <v>7392</v>
      </c>
      <c r="M9" s="76" t="n">
        <f aca="false">VLOOKUP($E9,Premissas!$A$52:$P$56,10,0)*(1+VLOOKUP($E9,Premissas!$A$52:$P$56,11,0))^($A9-2025)</f>
        <v>2000</v>
      </c>
      <c r="N9" s="76" t="n">
        <f aca="false">H9*VLOOKUP($E9,Premissas!$A$52:$P$56,7,0)</f>
        <v>355.9488</v>
      </c>
      <c r="O9" s="76" t="n">
        <f aca="false">H9*VLOOKUP($E9,Premissas!$A$52:$P$56,8,0)</f>
        <v>949.1968</v>
      </c>
      <c r="P9" s="76" t="n">
        <f aca="false">H9*VLOOKUP($E9,Premissas!$A$52:$P$56,9,0)</f>
        <v>474.5984</v>
      </c>
      <c r="Q9" s="76" t="n">
        <f aca="false">K9-L9-M9-N9-O9-P9</f>
        <v>-4052.768</v>
      </c>
    </row>
    <row r="10" customFormat="false" ht="15" hidden="false" customHeight="true" outlineLevel="0" collapsed="false">
      <c r="A10" s="18" t="n">
        <v>2025</v>
      </c>
      <c r="B10" s="18" t="n">
        <v>9</v>
      </c>
      <c r="C10" s="18" t="s">
        <v>156</v>
      </c>
      <c r="D10" s="74" t="n">
        <v>45901</v>
      </c>
      <c r="E10" s="18" t="s">
        <v>141</v>
      </c>
      <c r="F10" s="75" t="n">
        <v>32344.31</v>
      </c>
      <c r="G10" s="75" t="n">
        <v>12588.19</v>
      </c>
      <c r="H10" s="76" t="n">
        <f aca="false">F10-G10</f>
        <v>19756.12</v>
      </c>
      <c r="I10" s="77" t="n">
        <f aca="false">IF($A10=2025,VLOOKUP($E10,Premissas!$A$52:$P$56,2,0),IF($A10=2026,VLOOKUP($E10,Premissas!$A$52:$P$56,3,0),VLOOKUP($E10,Premissas!$A$52:$P$56,4,0)))</f>
        <v>0.3</v>
      </c>
      <c r="J10" s="76" t="n">
        <f aca="false">H10*(1-I10)</f>
        <v>13829.284</v>
      </c>
      <c r="K10" s="76" t="n">
        <f aca="false">H10-J10</f>
        <v>5926.836</v>
      </c>
      <c r="L10" s="78" t="n">
        <f aca="false">SUMIFS(Headcount_Folha!$I:$I,Headcount_Folha!$C:$C,$C10,Headcount_Folha!$D:$D,$E10)</f>
        <v>7392</v>
      </c>
      <c r="M10" s="76" t="n">
        <f aca="false">VLOOKUP($E10,Premissas!$A$52:$P$56,10,0)*(1+VLOOKUP($E10,Premissas!$A$52:$P$56,11,0))^($A10-2025)</f>
        <v>2000</v>
      </c>
      <c r="N10" s="76" t="n">
        <f aca="false">H10*VLOOKUP($E10,Premissas!$A$52:$P$56,7,0)</f>
        <v>296.3418</v>
      </c>
      <c r="O10" s="76" t="n">
        <f aca="false">H10*VLOOKUP($E10,Premissas!$A$52:$P$56,8,0)</f>
        <v>790.2448</v>
      </c>
      <c r="P10" s="76" t="n">
        <f aca="false">H10*VLOOKUP($E10,Premissas!$A$52:$P$56,9,0)</f>
        <v>395.1224</v>
      </c>
      <c r="Q10" s="76" t="n">
        <f aca="false">K10-L10-M10-N10-O10-P10</f>
        <v>-4946.873</v>
      </c>
    </row>
    <row r="11" customFormat="false" ht="15" hidden="false" customHeight="true" outlineLevel="0" collapsed="false">
      <c r="A11" s="18" t="n">
        <v>2025</v>
      </c>
      <c r="B11" s="18" t="n">
        <v>10</v>
      </c>
      <c r="C11" s="18" t="s">
        <v>157</v>
      </c>
      <c r="D11" s="74" t="n">
        <v>45931</v>
      </c>
      <c r="E11" s="18" t="s">
        <v>141</v>
      </c>
      <c r="F11" s="75" t="n">
        <v>51586.47</v>
      </c>
      <c r="G11" s="75" t="n">
        <v>18181.38</v>
      </c>
      <c r="H11" s="76" t="n">
        <f aca="false">F11-G11</f>
        <v>33405.09</v>
      </c>
      <c r="I11" s="77" t="n">
        <f aca="false">IF($A11=2025,VLOOKUP($E11,Premissas!$A$52:$P$56,2,0),IF($A11=2026,VLOOKUP($E11,Premissas!$A$52:$P$56,3,0),VLOOKUP($E11,Premissas!$A$52:$P$56,4,0)))</f>
        <v>0.3</v>
      </c>
      <c r="J11" s="76" t="n">
        <f aca="false">H11*(1-I11)</f>
        <v>23383.563</v>
      </c>
      <c r="K11" s="76" t="n">
        <f aca="false">H11-J11</f>
        <v>10021.527</v>
      </c>
      <c r="L11" s="78" t="n">
        <f aca="false">SUMIFS(Headcount_Folha!$I:$I,Headcount_Folha!$C:$C,$C11,Headcount_Folha!$D:$D,$E11)</f>
        <v>7392</v>
      </c>
      <c r="M11" s="76" t="n">
        <f aca="false">VLOOKUP($E11,Premissas!$A$52:$P$56,10,0)*(1+VLOOKUP($E11,Premissas!$A$52:$P$56,11,0))^($A11-2025)</f>
        <v>2000</v>
      </c>
      <c r="N11" s="76" t="n">
        <f aca="false">H11*VLOOKUP($E11,Premissas!$A$52:$P$56,7,0)</f>
        <v>501.07635</v>
      </c>
      <c r="O11" s="76" t="n">
        <f aca="false">H11*VLOOKUP($E11,Premissas!$A$52:$P$56,8,0)</f>
        <v>1336.2036</v>
      </c>
      <c r="P11" s="76" t="n">
        <f aca="false">H11*VLOOKUP($E11,Premissas!$A$52:$P$56,9,0)</f>
        <v>668.1018</v>
      </c>
      <c r="Q11" s="76" t="n">
        <f aca="false">K11-L11-M11-N11-O11-P11</f>
        <v>-1875.85475</v>
      </c>
    </row>
    <row r="12" customFormat="false" ht="15" hidden="false" customHeight="true" outlineLevel="0" collapsed="false">
      <c r="A12" s="18" t="n">
        <v>2025</v>
      </c>
      <c r="B12" s="18" t="n">
        <v>11</v>
      </c>
      <c r="C12" s="18" t="s">
        <v>158</v>
      </c>
      <c r="D12" s="74" t="n">
        <v>45962</v>
      </c>
      <c r="E12" s="18" t="s">
        <v>141</v>
      </c>
      <c r="F12" s="75" t="n">
        <v>49390.05</v>
      </c>
      <c r="G12" s="75" t="n">
        <v>20494.95</v>
      </c>
      <c r="H12" s="76" t="n">
        <f aca="false">F12-G12</f>
        <v>28895.1</v>
      </c>
      <c r="I12" s="77" t="n">
        <f aca="false">IF($A12=2025,VLOOKUP($E12,Premissas!$A$52:$P$56,2,0),IF($A12=2026,VLOOKUP($E12,Premissas!$A$52:$P$56,3,0),VLOOKUP($E12,Premissas!$A$52:$P$56,4,0)))</f>
        <v>0.3</v>
      </c>
      <c r="J12" s="76" t="n">
        <f aca="false">H12*(1-I12)</f>
        <v>20226.57</v>
      </c>
      <c r="K12" s="76" t="n">
        <f aca="false">H12-J12</f>
        <v>8668.53</v>
      </c>
      <c r="L12" s="78" t="n">
        <f aca="false">SUMIFS(Headcount_Folha!$I:$I,Headcount_Folha!$C:$C,$C12,Headcount_Folha!$D:$D,$E12)</f>
        <v>7392</v>
      </c>
      <c r="M12" s="76" t="n">
        <f aca="false">VLOOKUP($E12,Premissas!$A$52:$P$56,10,0)*(1+VLOOKUP($E12,Premissas!$A$52:$P$56,11,0))^($A12-2025)</f>
        <v>2000</v>
      </c>
      <c r="N12" s="76" t="n">
        <f aca="false">H12*VLOOKUP($E12,Premissas!$A$52:$P$56,7,0)</f>
        <v>433.4265</v>
      </c>
      <c r="O12" s="76" t="n">
        <f aca="false">H12*VLOOKUP($E12,Premissas!$A$52:$P$56,8,0)</f>
        <v>1155.804</v>
      </c>
      <c r="P12" s="76" t="n">
        <f aca="false">H12*VLOOKUP($E12,Premissas!$A$52:$P$56,9,0)</f>
        <v>577.902</v>
      </c>
      <c r="Q12" s="76" t="n">
        <f aca="false">K12-L12-M12-N12-O12-P12</f>
        <v>-2890.6025</v>
      </c>
    </row>
    <row r="13" customFormat="false" ht="15" hidden="false" customHeight="true" outlineLevel="0" collapsed="false">
      <c r="A13" s="18" t="n">
        <v>2025</v>
      </c>
      <c r="B13" s="18" t="n">
        <v>12</v>
      </c>
      <c r="C13" s="18" t="s">
        <v>159</v>
      </c>
      <c r="D13" s="74" t="n">
        <v>45992</v>
      </c>
      <c r="E13" s="18" t="s">
        <v>141</v>
      </c>
      <c r="F13" s="75" t="n">
        <v>44277.44</v>
      </c>
      <c r="G13" s="75" t="n">
        <v>17195.48</v>
      </c>
      <c r="H13" s="76" t="n">
        <f aca="false">F13-G13</f>
        <v>27081.96</v>
      </c>
      <c r="I13" s="77" t="n">
        <f aca="false">IF($A13=2025,VLOOKUP($E13,Premissas!$A$52:$P$56,2,0),IF($A13=2026,VLOOKUP($E13,Premissas!$A$52:$P$56,3,0),VLOOKUP($E13,Premissas!$A$52:$P$56,4,0)))</f>
        <v>0.3</v>
      </c>
      <c r="J13" s="76" t="n">
        <f aca="false">H13*(1-I13)</f>
        <v>18957.372</v>
      </c>
      <c r="K13" s="76" t="n">
        <f aca="false">H13-J13</f>
        <v>8124.588</v>
      </c>
      <c r="L13" s="78" t="n">
        <f aca="false">SUMIFS(Headcount_Folha!$I:$I,Headcount_Folha!$C:$C,$C13,Headcount_Folha!$D:$D,$E13)</f>
        <v>7392</v>
      </c>
      <c r="M13" s="76" t="n">
        <f aca="false">VLOOKUP($E13,Premissas!$A$52:$P$56,10,0)*(1+VLOOKUP($E13,Premissas!$A$52:$P$56,11,0))^($A13-2025)</f>
        <v>2000</v>
      </c>
      <c r="N13" s="76" t="n">
        <f aca="false">H13*VLOOKUP($E13,Premissas!$A$52:$P$56,7,0)</f>
        <v>406.2294</v>
      </c>
      <c r="O13" s="76" t="n">
        <f aca="false">H13*VLOOKUP($E13,Premissas!$A$52:$P$56,8,0)</f>
        <v>1083.2784</v>
      </c>
      <c r="P13" s="76" t="n">
        <f aca="false">H13*VLOOKUP($E13,Premissas!$A$52:$P$56,9,0)</f>
        <v>541.6392</v>
      </c>
      <c r="Q13" s="76" t="n">
        <f aca="false">K13-L13-M13-N13-O13-P13</f>
        <v>-3298.559</v>
      </c>
    </row>
    <row r="14" customFormat="false" ht="15" hidden="false" customHeight="true" outlineLevel="0" collapsed="false">
      <c r="A14" s="18" t="n">
        <v>2026</v>
      </c>
      <c r="B14" s="18" t="n">
        <v>1</v>
      </c>
      <c r="C14" s="18" t="s">
        <v>160</v>
      </c>
      <c r="D14" s="74" t="n">
        <v>46023</v>
      </c>
      <c r="E14" s="18" t="s">
        <v>141</v>
      </c>
      <c r="F14" s="75" t="n">
        <v>33771.87</v>
      </c>
      <c r="G14" s="75" t="n">
        <v>14045.78</v>
      </c>
      <c r="H14" s="76" t="n">
        <f aca="false">F14-G14</f>
        <v>19726.09</v>
      </c>
      <c r="I14" s="77" t="n">
        <f aca="false">IF($A14=2025,VLOOKUP($E14,Premissas!$A$52:$P$56,2,0),IF($A14=2026,VLOOKUP($E14,Premissas!$A$52:$P$56,3,0),VLOOKUP($E14,Premissas!$A$52:$P$56,4,0)))</f>
        <v>0.3</v>
      </c>
      <c r="J14" s="76" t="n">
        <f aca="false">H14*(1-I14)</f>
        <v>13808.263</v>
      </c>
      <c r="K14" s="76" t="n">
        <f aca="false">H14-J14</f>
        <v>5917.827</v>
      </c>
      <c r="L14" s="78" t="n">
        <f aca="false">SUMIFS(Headcount_Folha!$I:$I,Headcount_Folha!$C:$C,$C14,Headcount_Folha!$D:$D,$E14)</f>
        <v>7392</v>
      </c>
      <c r="M14" s="76" t="n">
        <f aca="false">VLOOKUP($E14,Premissas!$A$52:$P$56,10,0)*(1+VLOOKUP($E14,Premissas!$A$52:$P$56,11,0))^($A14-2025)</f>
        <v>2090</v>
      </c>
      <c r="N14" s="76" t="n">
        <f aca="false">H14*VLOOKUP($E14,Premissas!$A$52:$P$56,7,0)</f>
        <v>295.89135</v>
      </c>
      <c r="O14" s="76" t="n">
        <f aca="false">H14*VLOOKUP($E14,Premissas!$A$52:$P$56,8,0)</f>
        <v>789.0436</v>
      </c>
      <c r="P14" s="76" t="n">
        <f aca="false">H14*VLOOKUP($E14,Premissas!$A$52:$P$56,9,0)</f>
        <v>394.5218</v>
      </c>
      <c r="Q14" s="76" t="n">
        <f aca="false">K14-L14-M14-N14-O14-P14</f>
        <v>-5043.62975</v>
      </c>
    </row>
    <row r="15" customFormat="false" ht="15" hidden="false" customHeight="true" outlineLevel="0" collapsed="false">
      <c r="A15" s="18" t="n">
        <v>2026</v>
      </c>
      <c r="B15" s="18" t="n">
        <v>2</v>
      </c>
      <c r="C15" s="18" t="s">
        <v>161</v>
      </c>
      <c r="D15" s="74" t="n">
        <v>46054</v>
      </c>
      <c r="E15" s="18" t="s">
        <v>141</v>
      </c>
      <c r="F15" s="75" t="n">
        <v>28953.67</v>
      </c>
      <c r="G15" s="75" t="n">
        <v>11518.2</v>
      </c>
      <c r="H15" s="76" t="n">
        <f aca="false">F15-G15</f>
        <v>17435.47</v>
      </c>
      <c r="I15" s="77" t="n">
        <f aca="false">IF($A15=2025,VLOOKUP($E15,Premissas!$A$52:$P$56,2,0),IF($A15=2026,VLOOKUP($E15,Premissas!$A$52:$P$56,3,0),VLOOKUP($E15,Premissas!$A$52:$P$56,4,0)))</f>
        <v>0.3</v>
      </c>
      <c r="J15" s="76" t="n">
        <f aca="false">H15*(1-I15)</f>
        <v>12204.829</v>
      </c>
      <c r="K15" s="76" t="n">
        <f aca="false">H15-J15</f>
        <v>5230.641</v>
      </c>
      <c r="L15" s="78" t="n">
        <f aca="false">SUMIFS(Headcount_Folha!$I:$I,Headcount_Folha!$C:$C,$C15,Headcount_Folha!$D:$D,$E15)</f>
        <v>7392</v>
      </c>
      <c r="M15" s="76" t="n">
        <f aca="false">VLOOKUP($E15,Premissas!$A$52:$P$56,10,0)*(1+VLOOKUP($E15,Premissas!$A$52:$P$56,11,0))^($A15-2025)</f>
        <v>2090</v>
      </c>
      <c r="N15" s="76" t="n">
        <f aca="false">H15*VLOOKUP($E15,Premissas!$A$52:$P$56,7,0)</f>
        <v>261.53205</v>
      </c>
      <c r="O15" s="76" t="n">
        <f aca="false">H15*VLOOKUP($E15,Premissas!$A$52:$P$56,8,0)</f>
        <v>697.4188</v>
      </c>
      <c r="P15" s="76" t="n">
        <f aca="false">H15*VLOOKUP($E15,Premissas!$A$52:$P$56,9,0)</f>
        <v>348.7094</v>
      </c>
      <c r="Q15" s="76" t="n">
        <f aca="false">K15-L15-M15-N15-O15-P15</f>
        <v>-5559.01925</v>
      </c>
    </row>
    <row r="16" customFormat="false" ht="15" hidden="false" customHeight="true" outlineLevel="0" collapsed="false">
      <c r="A16" s="18" t="n">
        <v>2026</v>
      </c>
      <c r="B16" s="18" t="n">
        <v>3</v>
      </c>
      <c r="C16" s="18" t="s">
        <v>162</v>
      </c>
      <c r="D16" s="74" t="n">
        <v>46082</v>
      </c>
      <c r="E16" s="18" t="s">
        <v>141</v>
      </c>
      <c r="F16" s="75" t="n">
        <v>42547.87</v>
      </c>
      <c r="G16" s="75" t="n">
        <v>16276.1</v>
      </c>
      <c r="H16" s="76" t="n">
        <f aca="false">F16-G16</f>
        <v>26271.77</v>
      </c>
      <c r="I16" s="77" t="n">
        <f aca="false">IF($A16=2025,VLOOKUP($E16,Premissas!$A$52:$P$56,2,0),IF($A16=2026,VLOOKUP($E16,Premissas!$A$52:$P$56,3,0),VLOOKUP($E16,Premissas!$A$52:$P$56,4,0)))</f>
        <v>0.3</v>
      </c>
      <c r="J16" s="76" t="n">
        <f aca="false">H16*(1-I16)</f>
        <v>18390.239</v>
      </c>
      <c r="K16" s="76" t="n">
        <f aca="false">H16-J16</f>
        <v>7881.531</v>
      </c>
      <c r="L16" s="78" t="n">
        <f aca="false">SUMIFS(Headcount_Folha!$I:$I,Headcount_Folha!$C:$C,$C16,Headcount_Folha!$D:$D,$E16)</f>
        <v>7392</v>
      </c>
      <c r="M16" s="76" t="n">
        <f aca="false">VLOOKUP($E16,Premissas!$A$52:$P$56,10,0)*(1+VLOOKUP($E16,Premissas!$A$52:$P$56,11,0))^($A16-2025)</f>
        <v>2090</v>
      </c>
      <c r="N16" s="76" t="n">
        <f aca="false">H16*VLOOKUP($E16,Premissas!$A$52:$P$56,7,0)</f>
        <v>394.07655</v>
      </c>
      <c r="O16" s="76" t="n">
        <f aca="false">H16*VLOOKUP($E16,Premissas!$A$52:$P$56,8,0)</f>
        <v>1050.8708</v>
      </c>
      <c r="P16" s="76" t="n">
        <f aca="false">H16*VLOOKUP($E16,Premissas!$A$52:$P$56,9,0)</f>
        <v>525.4354</v>
      </c>
      <c r="Q16" s="76" t="n">
        <f aca="false">K16-L16-M16-N16-O16-P16</f>
        <v>-3570.85175</v>
      </c>
    </row>
    <row r="17" customFormat="false" ht="15" hidden="false" customHeight="true" outlineLevel="0" collapsed="false">
      <c r="A17" s="18" t="n">
        <v>2026</v>
      </c>
      <c r="B17" s="18" t="n">
        <v>4</v>
      </c>
      <c r="C17" s="18" t="s">
        <v>163</v>
      </c>
      <c r="D17" s="74" t="n">
        <v>46113</v>
      </c>
      <c r="E17" s="18" t="s">
        <v>141</v>
      </c>
      <c r="F17" s="75" t="n">
        <v>32884.23</v>
      </c>
      <c r="G17" s="75" t="n">
        <v>12315.05</v>
      </c>
      <c r="H17" s="76" t="n">
        <f aca="false">F17-G17</f>
        <v>20569.18</v>
      </c>
      <c r="I17" s="77" t="n">
        <f aca="false">IF($A17=2025,VLOOKUP($E17,Premissas!$A$52:$P$56,2,0),IF($A17=2026,VLOOKUP($E17,Premissas!$A$52:$P$56,3,0),VLOOKUP($E17,Premissas!$A$52:$P$56,4,0)))</f>
        <v>0.3</v>
      </c>
      <c r="J17" s="76" t="n">
        <f aca="false">H17*(1-I17)</f>
        <v>14398.426</v>
      </c>
      <c r="K17" s="76" t="n">
        <f aca="false">H17-J17</f>
        <v>6170.754</v>
      </c>
      <c r="L17" s="78" t="n">
        <f aca="false">SUMIFS(Headcount_Folha!$I:$I,Headcount_Folha!$C:$C,$C17,Headcount_Folha!$D:$D,$E17)</f>
        <v>7392</v>
      </c>
      <c r="M17" s="76" t="n">
        <f aca="false">VLOOKUP($E17,Premissas!$A$52:$P$56,10,0)*(1+VLOOKUP($E17,Premissas!$A$52:$P$56,11,0))^($A17-2025)</f>
        <v>2090</v>
      </c>
      <c r="N17" s="76" t="n">
        <f aca="false">H17*VLOOKUP($E17,Premissas!$A$52:$P$56,7,0)</f>
        <v>308.5377</v>
      </c>
      <c r="O17" s="76" t="n">
        <f aca="false">H17*VLOOKUP($E17,Premissas!$A$52:$P$56,8,0)</f>
        <v>822.7672</v>
      </c>
      <c r="P17" s="76" t="n">
        <f aca="false">H17*VLOOKUP($E17,Premissas!$A$52:$P$56,9,0)</f>
        <v>411.3836</v>
      </c>
      <c r="Q17" s="76" t="n">
        <f aca="false">K17-L17-M17-N17-O17-P17</f>
        <v>-4853.9345</v>
      </c>
    </row>
    <row r="18" customFormat="false" ht="15" hidden="false" customHeight="true" outlineLevel="0" collapsed="false">
      <c r="A18" s="18" t="n">
        <v>2026</v>
      </c>
      <c r="B18" s="18" t="n">
        <v>5</v>
      </c>
      <c r="C18" s="18" t="s">
        <v>164</v>
      </c>
      <c r="D18" s="74" t="n">
        <v>46143</v>
      </c>
      <c r="E18" s="18" t="s">
        <v>141</v>
      </c>
      <c r="F18" s="75" t="n">
        <v>42457.76</v>
      </c>
      <c r="G18" s="75" t="n">
        <v>15640.92</v>
      </c>
      <c r="H18" s="76" t="n">
        <f aca="false">F18-G18</f>
        <v>26816.84</v>
      </c>
      <c r="I18" s="77" t="n">
        <f aca="false">IF($A18=2025,VLOOKUP($E18,Premissas!$A$52:$P$56,2,0),IF($A18=2026,VLOOKUP($E18,Premissas!$A$52:$P$56,3,0),VLOOKUP($E18,Premissas!$A$52:$P$56,4,0)))</f>
        <v>0.3</v>
      </c>
      <c r="J18" s="76" t="n">
        <f aca="false">H18*(1-I18)</f>
        <v>18771.788</v>
      </c>
      <c r="K18" s="76" t="n">
        <f aca="false">H18-J18</f>
        <v>8045.052</v>
      </c>
      <c r="L18" s="78" t="n">
        <f aca="false">SUMIFS(Headcount_Folha!$I:$I,Headcount_Folha!$C:$C,$C18,Headcount_Folha!$D:$D,$E18)</f>
        <v>7392</v>
      </c>
      <c r="M18" s="76" t="n">
        <f aca="false">VLOOKUP($E18,Premissas!$A$52:$P$56,10,0)*(1+VLOOKUP($E18,Premissas!$A$52:$P$56,11,0))^($A18-2025)</f>
        <v>2090</v>
      </c>
      <c r="N18" s="76" t="n">
        <f aca="false">H18*VLOOKUP($E18,Premissas!$A$52:$P$56,7,0)</f>
        <v>402.2526</v>
      </c>
      <c r="O18" s="76" t="n">
        <f aca="false">H18*VLOOKUP($E18,Premissas!$A$52:$P$56,8,0)</f>
        <v>1072.6736</v>
      </c>
      <c r="P18" s="76" t="n">
        <f aca="false">H18*VLOOKUP($E18,Premissas!$A$52:$P$56,9,0)</f>
        <v>536.3368</v>
      </c>
      <c r="Q18" s="76" t="n">
        <f aca="false">K18-L18-M18-N18-O18-P18</f>
        <v>-3448.211</v>
      </c>
    </row>
    <row r="19" customFormat="false" ht="15" hidden="false" customHeight="true" outlineLevel="0" collapsed="false">
      <c r="A19" s="18" t="n">
        <v>2026</v>
      </c>
      <c r="B19" s="18" t="n">
        <v>6</v>
      </c>
      <c r="C19" s="18" t="s">
        <v>165</v>
      </c>
      <c r="D19" s="74" t="n">
        <v>46174</v>
      </c>
      <c r="E19" s="18" t="s">
        <v>141</v>
      </c>
      <c r="F19" s="75" t="n">
        <v>36254.17</v>
      </c>
      <c r="G19" s="75" t="n">
        <v>13888.95</v>
      </c>
      <c r="H19" s="76" t="n">
        <f aca="false">F19-G19</f>
        <v>22365.22</v>
      </c>
      <c r="I19" s="77" t="n">
        <f aca="false">IF($A19=2025,VLOOKUP($E19,Premissas!$A$52:$P$56,2,0),IF($A19=2026,VLOOKUP($E19,Premissas!$A$52:$P$56,3,0),VLOOKUP($E19,Premissas!$A$52:$P$56,4,0)))</f>
        <v>0.3</v>
      </c>
      <c r="J19" s="76" t="n">
        <f aca="false">H19*(1-I19)</f>
        <v>15655.654</v>
      </c>
      <c r="K19" s="76" t="n">
        <f aca="false">H19-J19</f>
        <v>6709.566</v>
      </c>
      <c r="L19" s="78" t="n">
        <f aca="false">SUMIFS(Headcount_Folha!$I:$I,Headcount_Folha!$C:$C,$C19,Headcount_Folha!$D:$D,$E19)</f>
        <v>7392</v>
      </c>
      <c r="M19" s="76" t="n">
        <f aca="false">VLOOKUP($E19,Premissas!$A$52:$P$56,10,0)*(1+VLOOKUP($E19,Premissas!$A$52:$P$56,11,0))^($A19-2025)</f>
        <v>2090</v>
      </c>
      <c r="N19" s="76" t="n">
        <f aca="false">H19*VLOOKUP($E19,Premissas!$A$52:$P$56,7,0)</f>
        <v>335.4783</v>
      </c>
      <c r="O19" s="76" t="n">
        <f aca="false">H19*VLOOKUP($E19,Premissas!$A$52:$P$56,8,0)</f>
        <v>894.6088</v>
      </c>
      <c r="P19" s="76" t="n">
        <f aca="false">H19*VLOOKUP($E19,Premissas!$A$52:$P$56,9,0)</f>
        <v>447.3044</v>
      </c>
      <c r="Q19" s="76" t="n">
        <f aca="false">K19-L19-M19-N19-O19-P19</f>
        <v>-4449.8255</v>
      </c>
    </row>
    <row r="20" customFormat="false" ht="15" hidden="false" customHeight="true" outlineLevel="0" collapsed="false">
      <c r="A20" s="18" t="n">
        <v>2026</v>
      </c>
      <c r="B20" s="18" t="n">
        <v>7</v>
      </c>
      <c r="C20" s="18" t="s">
        <v>166</v>
      </c>
      <c r="D20" s="74" t="n">
        <v>46204</v>
      </c>
      <c r="E20" s="18" t="s">
        <v>141</v>
      </c>
      <c r="F20" s="75" t="n">
        <v>51988.4</v>
      </c>
      <c r="G20" s="75" t="n">
        <v>20138.76</v>
      </c>
      <c r="H20" s="76" t="n">
        <f aca="false">F20-G20</f>
        <v>31849.64</v>
      </c>
      <c r="I20" s="77" t="n">
        <f aca="false">IF($A20=2025,VLOOKUP($E20,Premissas!$A$52:$P$56,2,0),IF($A20=2026,VLOOKUP($E20,Premissas!$A$52:$P$56,3,0),VLOOKUP($E20,Premissas!$A$52:$P$56,4,0)))</f>
        <v>0.3</v>
      </c>
      <c r="J20" s="76" t="n">
        <f aca="false">H20*(1-I20)</f>
        <v>22294.748</v>
      </c>
      <c r="K20" s="76" t="n">
        <f aca="false">H20-J20</f>
        <v>9554.892</v>
      </c>
      <c r="L20" s="78" t="n">
        <f aca="false">SUMIFS(Headcount_Folha!$I:$I,Headcount_Folha!$C:$C,$C20,Headcount_Folha!$D:$D,$E20)</f>
        <v>7392</v>
      </c>
      <c r="M20" s="76" t="n">
        <f aca="false">VLOOKUP($E20,Premissas!$A$52:$P$56,10,0)*(1+VLOOKUP($E20,Premissas!$A$52:$P$56,11,0))^($A20-2025)</f>
        <v>2090</v>
      </c>
      <c r="N20" s="76" t="n">
        <f aca="false">H20*VLOOKUP($E20,Premissas!$A$52:$P$56,7,0)</f>
        <v>477.7446</v>
      </c>
      <c r="O20" s="76" t="n">
        <f aca="false">H20*VLOOKUP($E20,Premissas!$A$52:$P$56,8,0)</f>
        <v>1273.9856</v>
      </c>
      <c r="P20" s="76" t="n">
        <f aca="false">H20*VLOOKUP($E20,Premissas!$A$52:$P$56,9,0)</f>
        <v>636.9928</v>
      </c>
      <c r="Q20" s="76" t="n">
        <f aca="false">K20-L20-M20-N20-O20-P20</f>
        <v>-2315.831</v>
      </c>
    </row>
    <row r="21" customFormat="false" ht="15" hidden="false" customHeight="true" outlineLevel="0" collapsed="false">
      <c r="A21" s="18" t="n">
        <v>2026</v>
      </c>
      <c r="B21" s="18" t="n">
        <v>8</v>
      </c>
      <c r="C21" s="18" t="s">
        <v>167</v>
      </c>
      <c r="D21" s="74" t="n">
        <v>46235</v>
      </c>
      <c r="E21" s="18" t="s">
        <v>141</v>
      </c>
      <c r="F21" s="75" t="n">
        <v>46275.66</v>
      </c>
      <c r="G21" s="75" t="n">
        <v>18440.39</v>
      </c>
      <c r="H21" s="76" t="n">
        <f aca="false">F21-G21</f>
        <v>27835.27</v>
      </c>
      <c r="I21" s="77" t="n">
        <f aca="false">IF($A21=2025,VLOOKUP($E21,Premissas!$A$52:$P$56,2,0),IF($A21=2026,VLOOKUP($E21,Premissas!$A$52:$P$56,3,0),VLOOKUP($E21,Premissas!$A$52:$P$56,4,0)))</f>
        <v>0.3</v>
      </c>
      <c r="J21" s="76" t="n">
        <f aca="false">H21*(1-I21)</f>
        <v>19484.689</v>
      </c>
      <c r="K21" s="76" t="n">
        <f aca="false">H21-J21</f>
        <v>8350.581</v>
      </c>
      <c r="L21" s="78" t="n">
        <f aca="false">SUMIFS(Headcount_Folha!$I:$I,Headcount_Folha!$C:$C,$C21,Headcount_Folha!$D:$D,$E21)</f>
        <v>7392</v>
      </c>
      <c r="M21" s="76" t="n">
        <f aca="false">VLOOKUP($E21,Premissas!$A$52:$P$56,10,0)*(1+VLOOKUP($E21,Premissas!$A$52:$P$56,11,0))^($A21-2025)</f>
        <v>2090</v>
      </c>
      <c r="N21" s="76" t="n">
        <f aca="false">H21*VLOOKUP($E21,Premissas!$A$52:$P$56,7,0)</f>
        <v>417.52905</v>
      </c>
      <c r="O21" s="76" t="n">
        <f aca="false">H21*VLOOKUP($E21,Premissas!$A$52:$P$56,8,0)</f>
        <v>1113.4108</v>
      </c>
      <c r="P21" s="76" t="n">
        <f aca="false">H21*VLOOKUP($E21,Premissas!$A$52:$P$56,9,0)</f>
        <v>556.7054</v>
      </c>
      <c r="Q21" s="76" t="n">
        <f aca="false">K21-L21-M21-N21-O21-P21</f>
        <v>-3219.06425</v>
      </c>
    </row>
    <row r="22" customFormat="false" ht="15" hidden="false" customHeight="true" outlineLevel="0" collapsed="false">
      <c r="A22" s="18" t="n">
        <v>2026</v>
      </c>
      <c r="B22" s="18" t="n">
        <v>9</v>
      </c>
      <c r="C22" s="18" t="s">
        <v>168</v>
      </c>
      <c r="D22" s="74" t="n">
        <v>46266</v>
      </c>
      <c r="E22" s="18" t="s">
        <v>141</v>
      </c>
      <c r="F22" s="75" t="n">
        <v>46538.74</v>
      </c>
      <c r="G22" s="75" t="n">
        <v>17660.26</v>
      </c>
      <c r="H22" s="76" t="n">
        <f aca="false">F22-G22</f>
        <v>28878.48</v>
      </c>
      <c r="I22" s="77" t="n">
        <f aca="false">IF($A22=2025,VLOOKUP($E22,Premissas!$A$52:$P$56,2,0),IF($A22=2026,VLOOKUP($E22,Premissas!$A$52:$P$56,3,0),VLOOKUP($E22,Premissas!$A$52:$P$56,4,0)))</f>
        <v>0.3</v>
      </c>
      <c r="J22" s="76" t="n">
        <f aca="false">H22*(1-I22)</f>
        <v>20214.936</v>
      </c>
      <c r="K22" s="76" t="n">
        <f aca="false">H22-J22</f>
        <v>8663.544</v>
      </c>
      <c r="L22" s="78" t="n">
        <f aca="false">SUMIFS(Headcount_Folha!$I:$I,Headcount_Folha!$C:$C,$C22,Headcount_Folha!$D:$D,$E22)</f>
        <v>7392</v>
      </c>
      <c r="M22" s="76" t="n">
        <f aca="false">VLOOKUP($E22,Premissas!$A$52:$P$56,10,0)*(1+VLOOKUP($E22,Premissas!$A$52:$P$56,11,0))^($A22-2025)</f>
        <v>2090</v>
      </c>
      <c r="N22" s="76" t="n">
        <f aca="false">H22*VLOOKUP($E22,Premissas!$A$52:$P$56,7,0)</f>
        <v>433.1772</v>
      </c>
      <c r="O22" s="76" t="n">
        <f aca="false">H22*VLOOKUP($E22,Premissas!$A$52:$P$56,8,0)</f>
        <v>1155.1392</v>
      </c>
      <c r="P22" s="76" t="n">
        <f aca="false">H22*VLOOKUP($E22,Premissas!$A$52:$P$56,9,0)</f>
        <v>577.5696</v>
      </c>
      <c r="Q22" s="76" t="n">
        <f aca="false">K22-L22-M22-N22-O22-P22</f>
        <v>-2984.342</v>
      </c>
    </row>
    <row r="23" customFormat="false" ht="15" hidden="false" customHeight="true" outlineLevel="0" collapsed="false">
      <c r="A23" s="18" t="n">
        <v>2026</v>
      </c>
      <c r="B23" s="18" t="n">
        <v>10</v>
      </c>
      <c r="C23" s="18" t="s">
        <v>169</v>
      </c>
      <c r="D23" s="74" t="n">
        <v>46296</v>
      </c>
      <c r="E23" s="18" t="s">
        <v>141</v>
      </c>
      <c r="F23" s="75" t="n">
        <v>47689.65</v>
      </c>
      <c r="G23" s="75" t="n">
        <v>18760.32</v>
      </c>
      <c r="H23" s="76" t="n">
        <f aca="false">F23-G23</f>
        <v>28929.33</v>
      </c>
      <c r="I23" s="77" t="n">
        <f aca="false">IF($A23=2025,VLOOKUP($E23,Premissas!$A$52:$P$56,2,0),IF($A23=2026,VLOOKUP($E23,Premissas!$A$52:$P$56,3,0),VLOOKUP($E23,Premissas!$A$52:$P$56,4,0)))</f>
        <v>0.3</v>
      </c>
      <c r="J23" s="76" t="n">
        <f aca="false">H23*(1-I23)</f>
        <v>20250.531</v>
      </c>
      <c r="K23" s="76" t="n">
        <f aca="false">H23-J23</f>
        <v>8678.799</v>
      </c>
      <c r="L23" s="78" t="n">
        <f aca="false">SUMIFS(Headcount_Folha!$I:$I,Headcount_Folha!$C:$C,$C23,Headcount_Folha!$D:$D,$E23)</f>
        <v>7392</v>
      </c>
      <c r="M23" s="76" t="n">
        <f aca="false">VLOOKUP($E23,Premissas!$A$52:$P$56,10,0)*(1+VLOOKUP($E23,Premissas!$A$52:$P$56,11,0))^($A23-2025)</f>
        <v>2090</v>
      </c>
      <c r="N23" s="76" t="n">
        <f aca="false">H23*VLOOKUP($E23,Premissas!$A$52:$P$56,7,0)</f>
        <v>433.93995</v>
      </c>
      <c r="O23" s="76" t="n">
        <f aca="false">H23*VLOOKUP($E23,Premissas!$A$52:$P$56,8,0)</f>
        <v>1157.1732</v>
      </c>
      <c r="P23" s="76" t="n">
        <f aca="false">H23*VLOOKUP($E23,Premissas!$A$52:$P$56,9,0)</f>
        <v>578.5866</v>
      </c>
      <c r="Q23" s="76" t="n">
        <f aca="false">K23-L23-M23-N23-O23-P23</f>
        <v>-2972.90075</v>
      </c>
    </row>
    <row r="24" customFormat="false" ht="15" hidden="false" customHeight="true" outlineLevel="0" collapsed="false">
      <c r="A24" s="18" t="n">
        <v>2026</v>
      </c>
      <c r="B24" s="18" t="n">
        <v>11</v>
      </c>
      <c r="C24" s="18" t="s">
        <v>170</v>
      </c>
      <c r="D24" s="74" t="n">
        <v>46327</v>
      </c>
      <c r="E24" s="18" t="s">
        <v>141</v>
      </c>
      <c r="F24" s="75" t="n">
        <v>55339.8</v>
      </c>
      <c r="G24" s="75" t="n">
        <v>21045.08</v>
      </c>
      <c r="H24" s="76" t="n">
        <f aca="false">F24-G24</f>
        <v>34294.72</v>
      </c>
      <c r="I24" s="77" t="n">
        <f aca="false">IF($A24=2025,VLOOKUP($E24,Premissas!$A$52:$P$56,2,0),IF($A24=2026,VLOOKUP($E24,Premissas!$A$52:$P$56,3,0),VLOOKUP($E24,Premissas!$A$52:$P$56,4,0)))</f>
        <v>0.3</v>
      </c>
      <c r="J24" s="76" t="n">
        <f aca="false">H24*(1-I24)</f>
        <v>24006.304</v>
      </c>
      <c r="K24" s="76" t="n">
        <f aca="false">H24-J24</f>
        <v>10288.416</v>
      </c>
      <c r="L24" s="78" t="n">
        <f aca="false">SUMIFS(Headcount_Folha!$I:$I,Headcount_Folha!$C:$C,$C24,Headcount_Folha!$D:$D,$E24)</f>
        <v>7392</v>
      </c>
      <c r="M24" s="76" t="n">
        <f aca="false">VLOOKUP($E24,Premissas!$A$52:$P$56,10,0)*(1+VLOOKUP($E24,Premissas!$A$52:$P$56,11,0))^($A24-2025)</f>
        <v>2090</v>
      </c>
      <c r="N24" s="76" t="n">
        <f aca="false">H24*VLOOKUP($E24,Premissas!$A$52:$P$56,7,0)</f>
        <v>514.4208</v>
      </c>
      <c r="O24" s="76" t="n">
        <f aca="false">H24*VLOOKUP($E24,Premissas!$A$52:$P$56,8,0)</f>
        <v>1371.7888</v>
      </c>
      <c r="P24" s="76" t="n">
        <f aca="false">H24*VLOOKUP($E24,Premissas!$A$52:$P$56,9,0)</f>
        <v>685.8944</v>
      </c>
      <c r="Q24" s="76" t="n">
        <f aca="false">K24-L24-M24-N24-O24-P24</f>
        <v>-1765.688</v>
      </c>
    </row>
    <row r="25" customFormat="false" ht="15" hidden="false" customHeight="true" outlineLevel="0" collapsed="false">
      <c r="A25" s="18" t="n">
        <v>2026</v>
      </c>
      <c r="B25" s="18" t="n">
        <v>12</v>
      </c>
      <c r="C25" s="18" t="s">
        <v>171</v>
      </c>
      <c r="D25" s="74" t="n">
        <v>46357</v>
      </c>
      <c r="E25" s="18" t="s">
        <v>141</v>
      </c>
      <c r="F25" s="75" t="n">
        <v>56271.68</v>
      </c>
      <c r="G25" s="75" t="n">
        <v>22222.25</v>
      </c>
      <c r="H25" s="76" t="n">
        <f aca="false">F25-G25</f>
        <v>34049.43</v>
      </c>
      <c r="I25" s="77" t="n">
        <f aca="false">IF($A25=2025,VLOOKUP($E25,Premissas!$A$52:$P$56,2,0),IF($A25=2026,VLOOKUP($E25,Premissas!$A$52:$P$56,3,0),VLOOKUP($E25,Premissas!$A$52:$P$56,4,0)))</f>
        <v>0.3</v>
      </c>
      <c r="J25" s="76" t="n">
        <f aca="false">H25*(1-I25)</f>
        <v>23834.601</v>
      </c>
      <c r="K25" s="76" t="n">
        <f aca="false">H25-J25</f>
        <v>10214.829</v>
      </c>
      <c r="L25" s="78" t="n">
        <f aca="false">SUMIFS(Headcount_Folha!$I:$I,Headcount_Folha!$C:$C,$C25,Headcount_Folha!$D:$D,$E25)</f>
        <v>7392</v>
      </c>
      <c r="M25" s="76" t="n">
        <f aca="false">VLOOKUP($E25,Premissas!$A$52:$P$56,10,0)*(1+VLOOKUP($E25,Premissas!$A$52:$P$56,11,0))^($A25-2025)</f>
        <v>2090</v>
      </c>
      <c r="N25" s="76" t="n">
        <f aca="false">H25*VLOOKUP($E25,Premissas!$A$52:$P$56,7,0)</f>
        <v>510.74145</v>
      </c>
      <c r="O25" s="76" t="n">
        <f aca="false">H25*VLOOKUP($E25,Premissas!$A$52:$P$56,8,0)</f>
        <v>1361.9772</v>
      </c>
      <c r="P25" s="76" t="n">
        <f aca="false">H25*VLOOKUP($E25,Premissas!$A$52:$P$56,9,0)</f>
        <v>680.9886</v>
      </c>
      <c r="Q25" s="76" t="n">
        <f aca="false">K25-L25-M25-N25-O25-P25</f>
        <v>-1820.87825</v>
      </c>
    </row>
    <row r="26" customFormat="false" ht="15" hidden="false" customHeight="true" outlineLevel="0" collapsed="false">
      <c r="A26" s="18" t="n">
        <v>2027</v>
      </c>
      <c r="B26" s="18" t="n">
        <v>1</v>
      </c>
      <c r="C26" s="18" t="s">
        <v>172</v>
      </c>
      <c r="D26" s="74" t="n">
        <v>46388</v>
      </c>
      <c r="E26" s="18" t="s">
        <v>141</v>
      </c>
      <c r="F26" s="76" t="n">
        <f aca="false">F14*(1+VLOOKUP($E26,Premissas!$A$52:$P$56,6,0))</f>
        <v>36473.6196</v>
      </c>
      <c r="G26" s="76" t="n">
        <f aca="false">F26*VLOOKUP($E26,Premissas!$A$52:$P$56,5,0)</f>
        <v>14490.96906708</v>
      </c>
      <c r="H26" s="76" t="n">
        <f aca="false">F26-G26</f>
        <v>21982.65053292</v>
      </c>
      <c r="I26" s="77" t="n">
        <f aca="false">IF($A26=2025,VLOOKUP($E26,Premissas!$A$52:$P$56,2,0),IF($A26=2026,VLOOKUP($E26,Premissas!$A$52:$P$56,3,0),VLOOKUP($E26,Premissas!$A$52:$P$56,4,0)))</f>
        <v>0.3</v>
      </c>
      <c r="J26" s="76" t="n">
        <f aca="false">H26*(1-I26)</f>
        <v>15387.855373044</v>
      </c>
      <c r="K26" s="76" t="n">
        <f aca="false">H26-J26</f>
        <v>6594.795159876</v>
      </c>
      <c r="L26" s="78" t="n">
        <f aca="false">SUMIFS(Headcount_Folha!$I:$I,Headcount_Folha!$C:$C,$C26,Headcount_Folha!$D:$D,$E26)</f>
        <v>7392</v>
      </c>
      <c r="M26" s="76" t="n">
        <f aca="false">VLOOKUP($E26,Premissas!$A$52:$P$56,10,0)*(1+VLOOKUP($E26,Premissas!$A$52:$P$56,11,0))^($A26-2025)</f>
        <v>2184.05</v>
      </c>
      <c r="N26" s="76" t="n">
        <f aca="false">H26*VLOOKUP($E26,Premissas!$A$52:$P$56,7,0)</f>
        <v>329.7397579938</v>
      </c>
      <c r="O26" s="76" t="n">
        <f aca="false">H26*VLOOKUP($E26,Premissas!$A$52:$P$56,8,0)</f>
        <v>879.3060213168</v>
      </c>
      <c r="P26" s="76" t="n">
        <f aca="false">H26*VLOOKUP($E26,Premissas!$A$52:$P$56,9,0)</f>
        <v>439.6530106584</v>
      </c>
      <c r="Q26" s="76" t="n">
        <f aca="false">K26-L26-M26-N26-O26-P26</f>
        <v>-4629.953630093</v>
      </c>
    </row>
    <row r="27" customFormat="false" ht="15" hidden="false" customHeight="true" outlineLevel="0" collapsed="false">
      <c r="A27" s="18" t="n">
        <v>2027</v>
      </c>
      <c r="B27" s="18" t="n">
        <v>2</v>
      </c>
      <c r="C27" s="18" t="s">
        <v>173</v>
      </c>
      <c r="D27" s="74" t="n">
        <v>46419</v>
      </c>
      <c r="E27" s="18" t="s">
        <v>141</v>
      </c>
      <c r="F27" s="76" t="n">
        <f aca="false">F15*(1+VLOOKUP($E27,Premissas!$A$52:$P$56,6,0))</f>
        <v>31269.9636</v>
      </c>
      <c r="G27" s="76" t="n">
        <f aca="false">F27*VLOOKUP($E27,Premissas!$A$52:$P$56,5,0)</f>
        <v>12423.55653828</v>
      </c>
      <c r="H27" s="76" t="n">
        <f aca="false">F27-G27</f>
        <v>18846.40706172</v>
      </c>
      <c r="I27" s="77" t="n">
        <f aca="false">IF($A27=2025,VLOOKUP($E27,Premissas!$A$52:$P$56,2,0),IF($A27=2026,VLOOKUP($E27,Premissas!$A$52:$P$56,3,0),VLOOKUP($E27,Premissas!$A$52:$P$56,4,0)))</f>
        <v>0.3</v>
      </c>
      <c r="J27" s="76" t="n">
        <f aca="false">H27*(1-I27)</f>
        <v>13192.484943204</v>
      </c>
      <c r="K27" s="76" t="n">
        <f aca="false">H27-J27</f>
        <v>5653.922118516</v>
      </c>
      <c r="L27" s="78" t="n">
        <f aca="false">SUMIFS(Headcount_Folha!$I:$I,Headcount_Folha!$C:$C,$C27,Headcount_Folha!$D:$D,$E27)</f>
        <v>7392</v>
      </c>
      <c r="M27" s="76" t="n">
        <f aca="false">VLOOKUP($E27,Premissas!$A$52:$P$56,10,0)*(1+VLOOKUP($E27,Premissas!$A$52:$P$56,11,0))^($A27-2025)</f>
        <v>2184.05</v>
      </c>
      <c r="N27" s="76" t="n">
        <f aca="false">H27*VLOOKUP($E27,Premissas!$A$52:$P$56,7,0)</f>
        <v>282.6961059258</v>
      </c>
      <c r="O27" s="76" t="n">
        <f aca="false">H27*VLOOKUP($E27,Premissas!$A$52:$P$56,8,0)</f>
        <v>753.8562824688</v>
      </c>
      <c r="P27" s="76" t="n">
        <f aca="false">H27*VLOOKUP($E27,Premissas!$A$52:$P$56,9,0)</f>
        <v>376.9281412344</v>
      </c>
      <c r="Q27" s="76" t="n">
        <f aca="false">K27-L27-M27-N27-O27-P27</f>
        <v>-5335.608411113</v>
      </c>
    </row>
    <row r="28" customFormat="false" ht="15" hidden="false" customHeight="true" outlineLevel="0" collapsed="false">
      <c r="A28" s="18" t="n">
        <v>2027</v>
      </c>
      <c r="B28" s="18" t="n">
        <v>3</v>
      </c>
      <c r="C28" s="18" t="s">
        <v>174</v>
      </c>
      <c r="D28" s="74" t="n">
        <v>46447</v>
      </c>
      <c r="E28" s="18" t="s">
        <v>141</v>
      </c>
      <c r="F28" s="76" t="n">
        <f aca="false">F16*(1+VLOOKUP($E28,Premissas!$A$52:$P$56,6,0))</f>
        <v>45951.6996</v>
      </c>
      <c r="G28" s="76" t="n">
        <f aca="false">F28*VLOOKUP($E28,Premissas!$A$52:$P$56,5,0)</f>
        <v>18256.61025108</v>
      </c>
      <c r="H28" s="76" t="n">
        <f aca="false">F28-G28</f>
        <v>27695.08934892</v>
      </c>
      <c r="I28" s="77" t="n">
        <f aca="false">IF($A28=2025,VLOOKUP($E28,Premissas!$A$52:$P$56,2,0),IF($A28=2026,VLOOKUP($E28,Premissas!$A$52:$P$56,3,0),VLOOKUP($E28,Premissas!$A$52:$P$56,4,0)))</f>
        <v>0.3</v>
      </c>
      <c r="J28" s="76" t="n">
        <f aca="false">H28*(1-I28)</f>
        <v>19386.562544244</v>
      </c>
      <c r="K28" s="76" t="n">
        <f aca="false">H28-J28</f>
        <v>8308.526804676</v>
      </c>
      <c r="L28" s="78" t="n">
        <f aca="false">SUMIFS(Headcount_Folha!$I:$I,Headcount_Folha!$C:$C,$C28,Headcount_Folha!$D:$D,$E28)</f>
        <v>7392</v>
      </c>
      <c r="M28" s="76" t="n">
        <f aca="false">VLOOKUP($E28,Premissas!$A$52:$P$56,10,0)*(1+VLOOKUP($E28,Premissas!$A$52:$P$56,11,0))^($A28-2025)</f>
        <v>2184.05</v>
      </c>
      <c r="N28" s="76" t="n">
        <f aca="false">H28*VLOOKUP($E28,Premissas!$A$52:$P$56,7,0)</f>
        <v>415.4263402338</v>
      </c>
      <c r="O28" s="76" t="n">
        <f aca="false">H28*VLOOKUP($E28,Premissas!$A$52:$P$56,8,0)</f>
        <v>1107.8035739568</v>
      </c>
      <c r="P28" s="76" t="n">
        <f aca="false">H28*VLOOKUP($E28,Premissas!$A$52:$P$56,9,0)</f>
        <v>553.9017869784</v>
      </c>
      <c r="Q28" s="76" t="n">
        <f aca="false">K28-L28-M28-N28-O28-P28</f>
        <v>-3344.654896493</v>
      </c>
    </row>
    <row r="29" customFormat="false" ht="15" hidden="false" customHeight="true" outlineLevel="0" collapsed="false">
      <c r="A29" s="18" t="n">
        <v>2027</v>
      </c>
      <c r="B29" s="18" t="n">
        <v>4</v>
      </c>
      <c r="C29" s="18" t="s">
        <v>175</v>
      </c>
      <c r="D29" s="74" t="n">
        <v>46478</v>
      </c>
      <c r="E29" s="18" t="s">
        <v>141</v>
      </c>
      <c r="F29" s="76" t="n">
        <f aca="false">F17*(1+VLOOKUP($E29,Premissas!$A$52:$P$56,6,0))</f>
        <v>35514.9684</v>
      </c>
      <c r="G29" s="76" t="n">
        <f aca="false">F29*VLOOKUP($E29,Premissas!$A$52:$P$56,5,0)</f>
        <v>14110.09694532</v>
      </c>
      <c r="H29" s="76" t="n">
        <f aca="false">F29-G29</f>
        <v>21404.87145468</v>
      </c>
      <c r="I29" s="77" t="n">
        <f aca="false">IF($A29=2025,VLOOKUP($E29,Premissas!$A$52:$P$56,2,0),IF($A29=2026,VLOOKUP($E29,Premissas!$A$52:$P$56,3,0),VLOOKUP($E29,Premissas!$A$52:$P$56,4,0)))</f>
        <v>0.3</v>
      </c>
      <c r="J29" s="76" t="n">
        <f aca="false">H29*(1-I29)</f>
        <v>14983.410018276</v>
      </c>
      <c r="K29" s="76" t="n">
        <f aca="false">H29-J29</f>
        <v>6421.461436404</v>
      </c>
      <c r="L29" s="78" t="n">
        <f aca="false">SUMIFS(Headcount_Folha!$I:$I,Headcount_Folha!$C:$C,$C29,Headcount_Folha!$D:$D,$E29)</f>
        <v>7392</v>
      </c>
      <c r="M29" s="76" t="n">
        <f aca="false">VLOOKUP($E29,Premissas!$A$52:$P$56,10,0)*(1+VLOOKUP($E29,Premissas!$A$52:$P$56,11,0))^($A29-2025)</f>
        <v>2184.05</v>
      </c>
      <c r="N29" s="76" t="n">
        <f aca="false">H29*VLOOKUP($E29,Premissas!$A$52:$P$56,7,0)</f>
        <v>321.0730718202</v>
      </c>
      <c r="O29" s="76" t="n">
        <f aca="false">H29*VLOOKUP($E29,Premissas!$A$52:$P$56,8,0)</f>
        <v>856.1948581872</v>
      </c>
      <c r="P29" s="76" t="n">
        <f aca="false">H29*VLOOKUP($E29,Premissas!$A$52:$P$56,9,0)</f>
        <v>428.0974290936</v>
      </c>
      <c r="Q29" s="76" t="n">
        <f aca="false">K29-L29-M29-N29-O29-P29</f>
        <v>-4759.953922697</v>
      </c>
    </row>
    <row r="30" customFormat="false" ht="15" hidden="false" customHeight="true" outlineLevel="0" collapsed="false">
      <c r="A30" s="18" t="n">
        <v>2027</v>
      </c>
      <c r="B30" s="18" t="n">
        <v>5</v>
      </c>
      <c r="C30" s="18" t="s">
        <v>176</v>
      </c>
      <c r="D30" s="74" t="n">
        <v>46508</v>
      </c>
      <c r="E30" s="18" t="s">
        <v>141</v>
      </c>
      <c r="F30" s="76" t="n">
        <f aca="false">F18*(1+VLOOKUP($E30,Premissas!$A$52:$P$56,6,0))</f>
        <v>45854.3808</v>
      </c>
      <c r="G30" s="76" t="n">
        <f aca="false">F30*VLOOKUP($E30,Premissas!$A$52:$P$56,5,0)</f>
        <v>18217.94549184</v>
      </c>
      <c r="H30" s="76" t="n">
        <f aca="false">F30-G30</f>
        <v>27636.43530816</v>
      </c>
      <c r="I30" s="77" t="n">
        <f aca="false">IF($A30=2025,VLOOKUP($E30,Premissas!$A$52:$P$56,2,0),IF($A30=2026,VLOOKUP($E30,Premissas!$A$52:$P$56,3,0),VLOOKUP($E30,Premissas!$A$52:$P$56,4,0)))</f>
        <v>0.3</v>
      </c>
      <c r="J30" s="76" t="n">
        <f aca="false">H30*(1-I30)</f>
        <v>19345.504715712</v>
      </c>
      <c r="K30" s="76" t="n">
        <f aca="false">H30-J30</f>
        <v>8290.930592448</v>
      </c>
      <c r="L30" s="78" t="n">
        <f aca="false">SUMIFS(Headcount_Folha!$I:$I,Headcount_Folha!$C:$C,$C30,Headcount_Folha!$D:$D,$E30)</f>
        <v>7392</v>
      </c>
      <c r="M30" s="76" t="n">
        <f aca="false">VLOOKUP($E30,Premissas!$A$52:$P$56,10,0)*(1+VLOOKUP($E30,Premissas!$A$52:$P$56,11,0))^($A30-2025)</f>
        <v>2184.05</v>
      </c>
      <c r="N30" s="76" t="n">
        <f aca="false">H30*VLOOKUP($E30,Premissas!$A$52:$P$56,7,0)</f>
        <v>414.5465296224</v>
      </c>
      <c r="O30" s="76" t="n">
        <f aca="false">H30*VLOOKUP($E30,Premissas!$A$52:$P$56,8,0)</f>
        <v>1105.4574123264</v>
      </c>
      <c r="P30" s="76" t="n">
        <f aca="false">H30*VLOOKUP($E30,Premissas!$A$52:$P$56,9,0)</f>
        <v>552.7287061632</v>
      </c>
      <c r="Q30" s="76" t="n">
        <f aca="false">K30-L30-M30-N30-O30-P30</f>
        <v>-3357.852055664</v>
      </c>
    </row>
    <row r="31" customFormat="false" ht="15" hidden="false" customHeight="true" outlineLevel="0" collapsed="false">
      <c r="A31" s="18" t="n">
        <v>2027</v>
      </c>
      <c r="B31" s="18" t="n">
        <v>6</v>
      </c>
      <c r="C31" s="18" t="s">
        <v>177</v>
      </c>
      <c r="D31" s="74" t="n">
        <v>46539</v>
      </c>
      <c r="E31" s="18" t="s">
        <v>141</v>
      </c>
      <c r="F31" s="76" t="n">
        <f aca="false">F19*(1+VLOOKUP($E31,Premissas!$A$52:$P$56,6,0))</f>
        <v>39154.5036</v>
      </c>
      <c r="G31" s="76" t="n">
        <f aca="false">F31*VLOOKUP($E31,Premissas!$A$52:$P$56,5,0)</f>
        <v>15556.08428028</v>
      </c>
      <c r="H31" s="76" t="n">
        <f aca="false">F31-G31</f>
        <v>23598.41931972</v>
      </c>
      <c r="I31" s="77" t="n">
        <f aca="false">IF($A31=2025,VLOOKUP($E31,Premissas!$A$52:$P$56,2,0),IF($A31=2026,VLOOKUP($E31,Premissas!$A$52:$P$56,3,0),VLOOKUP($E31,Premissas!$A$52:$P$56,4,0)))</f>
        <v>0.3</v>
      </c>
      <c r="J31" s="76" t="n">
        <f aca="false">H31*(1-I31)</f>
        <v>16518.893523804</v>
      </c>
      <c r="K31" s="76" t="n">
        <f aca="false">H31-J31</f>
        <v>7079.525795916</v>
      </c>
      <c r="L31" s="78" t="n">
        <f aca="false">SUMIFS(Headcount_Folha!$I:$I,Headcount_Folha!$C:$C,$C31,Headcount_Folha!$D:$D,$E31)</f>
        <v>7392</v>
      </c>
      <c r="M31" s="76" t="n">
        <f aca="false">VLOOKUP($E31,Premissas!$A$52:$P$56,10,0)*(1+VLOOKUP($E31,Premissas!$A$52:$P$56,11,0))^($A31-2025)</f>
        <v>2184.05</v>
      </c>
      <c r="N31" s="76" t="n">
        <f aca="false">H31*VLOOKUP($E31,Premissas!$A$52:$P$56,7,0)</f>
        <v>353.9762897958</v>
      </c>
      <c r="O31" s="76" t="n">
        <f aca="false">H31*VLOOKUP($E31,Premissas!$A$52:$P$56,8,0)</f>
        <v>943.9367727888</v>
      </c>
      <c r="P31" s="76" t="n">
        <f aca="false">H31*VLOOKUP($E31,Premissas!$A$52:$P$56,9,0)</f>
        <v>471.9683863944</v>
      </c>
      <c r="Q31" s="76" t="n">
        <f aca="false">K31-L31-M31-N31-O31-P31</f>
        <v>-4266.405653063</v>
      </c>
    </row>
    <row r="32" customFormat="false" ht="15" hidden="false" customHeight="true" outlineLevel="0" collapsed="false">
      <c r="A32" s="18" t="n">
        <v>2027</v>
      </c>
      <c r="B32" s="18" t="n">
        <v>7</v>
      </c>
      <c r="C32" s="18" t="s">
        <v>178</v>
      </c>
      <c r="D32" s="74" t="n">
        <v>46569</v>
      </c>
      <c r="E32" s="18" t="s">
        <v>141</v>
      </c>
      <c r="F32" s="76" t="n">
        <f aca="false">F20*(1+VLOOKUP($E32,Premissas!$A$52:$P$56,6,0))</f>
        <v>56147.472</v>
      </c>
      <c r="G32" s="76" t="n">
        <f aca="false">F32*VLOOKUP($E32,Premissas!$A$52:$P$56,5,0)</f>
        <v>22307.3906256</v>
      </c>
      <c r="H32" s="76" t="n">
        <f aca="false">F32-G32</f>
        <v>33840.0813744</v>
      </c>
      <c r="I32" s="77" t="n">
        <f aca="false">IF($A32=2025,VLOOKUP($E32,Premissas!$A$52:$P$56,2,0),IF($A32=2026,VLOOKUP($E32,Premissas!$A$52:$P$56,3,0),VLOOKUP($E32,Premissas!$A$52:$P$56,4,0)))</f>
        <v>0.3</v>
      </c>
      <c r="J32" s="76" t="n">
        <f aca="false">H32*(1-I32)</f>
        <v>23688.05696208</v>
      </c>
      <c r="K32" s="76" t="n">
        <f aca="false">H32-J32</f>
        <v>10152.02441232</v>
      </c>
      <c r="L32" s="78" t="n">
        <f aca="false">SUMIFS(Headcount_Folha!$I:$I,Headcount_Folha!$C:$C,$C32,Headcount_Folha!$D:$D,$E32)</f>
        <v>7392</v>
      </c>
      <c r="M32" s="76" t="n">
        <f aca="false">VLOOKUP($E32,Premissas!$A$52:$P$56,10,0)*(1+VLOOKUP($E32,Premissas!$A$52:$P$56,11,0))^($A32-2025)</f>
        <v>2184.05</v>
      </c>
      <c r="N32" s="76" t="n">
        <f aca="false">H32*VLOOKUP($E32,Premissas!$A$52:$P$56,7,0)</f>
        <v>507.601220616</v>
      </c>
      <c r="O32" s="76" t="n">
        <f aca="false">H32*VLOOKUP($E32,Premissas!$A$52:$P$56,8,0)</f>
        <v>1353.603254976</v>
      </c>
      <c r="P32" s="76" t="n">
        <f aca="false">H32*VLOOKUP($E32,Premissas!$A$52:$P$56,9,0)</f>
        <v>676.801627488</v>
      </c>
      <c r="Q32" s="76" t="n">
        <f aca="false">K32-L32-M32-N32-O32-P32</f>
        <v>-1962.03169076</v>
      </c>
    </row>
    <row r="33" customFormat="false" ht="15" hidden="false" customHeight="true" outlineLevel="0" collapsed="false">
      <c r="A33" s="18" t="n">
        <v>2027</v>
      </c>
      <c r="B33" s="18" t="n">
        <v>8</v>
      </c>
      <c r="C33" s="18" t="s">
        <v>179</v>
      </c>
      <c r="D33" s="74" t="n">
        <v>46600</v>
      </c>
      <c r="E33" s="18" t="s">
        <v>141</v>
      </c>
      <c r="F33" s="76" t="n">
        <f aca="false">F21*(1+VLOOKUP($E33,Premissas!$A$52:$P$56,6,0))</f>
        <v>49977.7128</v>
      </c>
      <c r="G33" s="76" t="n">
        <f aca="false">F33*VLOOKUP($E33,Premissas!$A$52:$P$56,5,0)</f>
        <v>19856.14529544</v>
      </c>
      <c r="H33" s="76" t="n">
        <f aca="false">F33-G33</f>
        <v>30121.56750456</v>
      </c>
      <c r="I33" s="77" t="n">
        <f aca="false">IF($A33=2025,VLOOKUP($E33,Premissas!$A$52:$P$56,2,0),IF($A33=2026,VLOOKUP($E33,Premissas!$A$52:$P$56,3,0),VLOOKUP($E33,Premissas!$A$52:$P$56,4,0)))</f>
        <v>0.3</v>
      </c>
      <c r="J33" s="76" t="n">
        <f aca="false">H33*(1-I33)</f>
        <v>21085.097253192</v>
      </c>
      <c r="K33" s="76" t="n">
        <f aca="false">H33-J33</f>
        <v>9036.470251368</v>
      </c>
      <c r="L33" s="78" t="n">
        <f aca="false">SUMIFS(Headcount_Folha!$I:$I,Headcount_Folha!$C:$C,$C33,Headcount_Folha!$D:$D,$E33)</f>
        <v>7392</v>
      </c>
      <c r="M33" s="76" t="n">
        <f aca="false">VLOOKUP($E33,Premissas!$A$52:$P$56,10,0)*(1+VLOOKUP($E33,Premissas!$A$52:$P$56,11,0))^($A33-2025)</f>
        <v>2184.05</v>
      </c>
      <c r="N33" s="76" t="n">
        <f aca="false">H33*VLOOKUP($E33,Premissas!$A$52:$P$56,7,0)</f>
        <v>451.8235125684</v>
      </c>
      <c r="O33" s="76" t="n">
        <f aca="false">H33*VLOOKUP($E33,Premissas!$A$52:$P$56,8,0)</f>
        <v>1204.8627001824</v>
      </c>
      <c r="P33" s="76" t="n">
        <f aca="false">H33*VLOOKUP($E33,Premissas!$A$52:$P$56,9,0)</f>
        <v>602.4313500912</v>
      </c>
      <c r="Q33" s="76" t="n">
        <f aca="false">K33-L33-M33-N33-O33-P33</f>
        <v>-2798.697311474</v>
      </c>
    </row>
    <row r="34" customFormat="false" ht="15" hidden="false" customHeight="true" outlineLevel="0" collapsed="false">
      <c r="A34" s="18" t="n">
        <v>2027</v>
      </c>
      <c r="B34" s="18" t="n">
        <v>9</v>
      </c>
      <c r="C34" s="18" t="s">
        <v>180</v>
      </c>
      <c r="D34" s="74" t="n">
        <v>46631</v>
      </c>
      <c r="E34" s="18" t="s">
        <v>141</v>
      </c>
      <c r="F34" s="76" t="n">
        <f aca="false">F22*(1+VLOOKUP($E34,Premissas!$A$52:$P$56,6,0))</f>
        <v>50261.8392</v>
      </c>
      <c r="G34" s="76" t="n">
        <f aca="false">F34*VLOOKUP($E34,Premissas!$A$52:$P$56,5,0)</f>
        <v>19969.02871416</v>
      </c>
      <c r="H34" s="76" t="n">
        <f aca="false">F34-G34</f>
        <v>30292.81048584</v>
      </c>
      <c r="I34" s="77" t="n">
        <f aca="false">IF($A34=2025,VLOOKUP($E34,Premissas!$A$52:$P$56,2,0),IF($A34=2026,VLOOKUP($E34,Premissas!$A$52:$P$56,3,0),VLOOKUP($E34,Premissas!$A$52:$P$56,4,0)))</f>
        <v>0.3</v>
      </c>
      <c r="J34" s="76" t="n">
        <f aca="false">H34*(1-I34)</f>
        <v>21204.967340088</v>
      </c>
      <c r="K34" s="76" t="n">
        <f aca="false">H34-J34</f>
        <v>9087.843145752</v>
      </c>
      <c r="L34" s="78" t="n">
        <f aca="false">SUMIFS(Headcount_Folha!$I:$I,Headcount_Folha!$C:$C,$C34,Headcount_Folha!$D:$D,$E34)</f>
        <v>7392</v>
      </c>
      <c r="M34" s="76" t="n">
        <f aca="false">VLOOKUP($E34,Premissas!$A$52:$P$56,10,0)*(1+VLOOKUP($E34,Premissas!$A$52:$P$56,11,0))^($A34-2025)</f>
        <v>2184.05</v>
      </c>
      <c r="N34" s="76" t="n">
        <f aca="false">H34*VLOOKUP($E34,Premissas!$A$52:$P$56,7,0)</f>
        <v>454.3921572876</v>
      </c>
      <c r="O34" s="76" t="n">
        <f aca="false">H34*VLOOKUP($E34,Premissas!$A$52:$P$56,8,0)</f>
        <v>1211.7124194336</v>
      </c>
      <c r="P34" s="76" t="n">
        <f aca="false">H34*VLOOKUP($E34,Premissas!$A$52:$P$56,9,0)</f>
        <v>605.8562097168</v>
      </c>
      <c r="Q34" s="76" t="n">
        <f aca="false">K34-L34-M34-N34-O34-P34</f>
        <v>-2760.167640686</v>
      </c>
    </row>
    <row r="35" customFormat="false" ht="15" hidden="false" customHeight="true" outlineLevel="0" collapsed="false">
      <c r="A35" s="18" t="n">
        <v>2027</v>
      </c>
      <c r="B35" s="18" t="n">
        <v>10</v>
      </c>
      <c r="C35" s="18" t="s">
        <v>181</v>
      </c>
      <c r="D35" s="74" t="n">
        <v>46661</v>
      </c>
      <c r="E35" s="18" t="s">
        <v>141</v>
      </c>
      <c r="F35" s="76" t="n">
        <f aca="false">F23*(1+VLOOKUP($E35,Premissas!$A$52:$P$56,6,0))</f>
        <v>51504.822</v>
      </c>
      <c r="G35" s="76" t="n">
        <f aca="false">F35*VLOOKUP($E35,Premissas!$A$52:$P$56,5,0)</f>
        <v>20462.8657806</v>
      </c>
      <c r="H35" s="76" t="n">
        <f aca="false">F35-G35</f>
        <v>31041.9562194</v>
      </c>
      <c r="I35" s="77" t="n">
        <f aca="false">IF($A35=2025,VLOOKUP($E35,Premissas!$A$52:$P$56,2,0),IF($A35=2026,VLOOKUP($E35,Premissas!$A$52:$P$56,3,0),VLOOKUP($E35,Premissas!$A$52:$P$56,4,0)))</f>
        <v>0.3</v>
      </c>
      <c r="J35" s="76" t="n">
        <f aca="false">H35*(1-I35)</f>
        <v>21729.36935358</v>
      </c>
      <c r="K35" s="76" t="n">
        <f aca="false">H35-J35</f>
        <v>9312.58686582</v>
      </c>
      <c r="L35" s="78" t="n">
        <f aca="false">SUMIFS(Headcount_Folha!$I:$I,Headcount_Folha!$C:$C,$C35,Headcount_Folha!$D:$D,$E35)</f>
        <v>7392</v>
      </c>
      <c r="M35" s="76" t="n">
        <f aca="false">VLOOKUP($E35,Premissas!$A$52:$P$56,10,0)*(1+VLOOKUP($E35,Premissas!$A$52:$P$56,11,0))^($A35-2025)</f>
        <v>2184.05</v>
      </c>
      <c r="N35" s="76" t="n">
        <f aca="false">H35*VLOOKUP($E35,Premissas!$A$52:$P$56,7,0)</f>
        <v>465.629343291</v>
      </c>
      <c r="O35" s="76" t="n">
        <f aca="false">H35*VLOOKUP($E35,Premissas!$A$52:$P$56,8,0)</f>
        <v>1241.678248776</v>
      </c>
      <c r="P35" s="76" t="n">
        <f aca="false">H35*VLOOKUP($E35,Premissas!$A$52:$P$56,9,0)</f>
        <v>620.839124388</v>
      </c>
      <c r="Q35" s="76" t="n">
        <f aca="false">K35-L35-M35-N35-O35-P35</f>
        <v>-2591.609850635</v>
      </c>
    </row>
    <row r="36" customFormat="false" ht="15" hidden="false" customHeight="true" outlineLevel="0" collapsed="false">
      <c r="A36" s="18" t="n">
        <v>2027</v>
      </c>
      <c r="B36" s="18" t="n">
        <v>11</v>
      </c>
      <c r="C36" s="18" t="s">
        <v>182</v>
      </c>
      <c r="D36" s="74" t="n">
        <v>46692</v>
      </c>
      <c r="E36" s="18" t="s">
        <v>141</v>
      </c>
      <c r="F36" s="76" t="n">
        <f aca="false">F24*(1+VLOOKUP($E36,Premissas!$A$52:$P$56,6,0))</f>
        <v>59766.984</v>
      </c>
      <c r="G36" s="76" t="n">
        <f aca="false">F36*VLOOKUP($E36,Premissas!$A$52:$P$56,5,0)</f>
        <v>23745.4227432</v>
      </c>
      <c r="H36" s="76" t="n">
        <f aca="false">F36-G36</f>
        <v>36021.5612568</v>
      </c>
      <c r="I36" s="77" t="n">
        <f aca="false">IF($A36=2025,VLOOKUP($E36,Premissas!$A$52:$P$56,2,0),IF($A36=2026,VLOOKUP($E36,Premissas!$A$52:$P$56,3,0),VLOOKUP($E36,Premissas!$A$52:$P$56,4,0)))</f>
        <v>0.3</v>
      </c>
      <c r="J36" s="76" t="n">
        <f aca="false">H36*(1-I36)</f>
        <v>25215.09287976</v>
      </c>
      <c r="K36" s="76" t="n">
        <f aca="false">H36-J36</f>
        <v>10806.46837704</v>
      </c>
      <c r="L36" s="78" t="n">
        <f aca="false">SUMIFS(Headcount_Folha!$I:$I,Headcount_Folha!$C:$C,$C36,Headcount_Folha!$D:$D,$E36)</f>
        <v>7392</v>
      </c>
      <c r="M36" s="76" t="n">
        <f aca="false">VLOOKUP($E36,Premissas!$A$52:$P$56,10,0)*(1+VLOOKUP($E36,Premissas!$A$52:$P$56,11,0))^($A36-2025)</f>
        <v>2184.05</v>
      </c>
      <c r="N36" s="76" t="n">
        <f aca="false">H36*VLOOKUP($E36,Premissas!$A$52:$P$56,7,0)</f>
        <v>540.323418852</v>
      </c>
      <c r="O36" s="76" t="n">
        <f aca="false">H36*VLOOKUP($E36,Premissas!$A$52:$P$56,8,0)</f>
        <v>1440.862450272</v>
      </c>
      <c r="P36" s="76" t="n">
        <f aca="false">H36*VLOOKUP($E36,Premissas!$A$52:$P$56,9,0)</f>
        <v>720.431225136</v>
      </c>
      <c r="Q36" s="76" t="n">
        <f aca="false">K36-L36-M36-N36-O36-P36</f>
        <v>-1471.19871722</v>
      </c>
    </row>
    <row r="37" customFormat="false" ht="15" hidden="false" customHeight="true" outlineLevel="0" collapsed="false">
      <c r="A37" s="18" t="n">
        <v>2027</v>
      </c>
      <c r="B37" s="18" t="n">
        <v>12</v>
      </c>
      <c r="C37" s="18" t="s">
        <v>183</v>
      </c>
      <c r="D37" s="74" t="n">
        <v>46722</v>
      </c>
      <c r="E37" s="18" t="s">
        <v>141</v>
      </c>
      <c r="F37" s="76" t="n">
        <f aca="false">F25*(1+VLOOKUP($E37,Premissas!$A$52:$P$56,6,0))</f>
        <v>60773.4144</v>
      </c>
      <c r="G37" s="76" t="n">
        <f aca="false">F37*VLOOKUP($E37,Premissas!$A$52:$P$56,5,0)</f>
        <v>24145.27754112</v>
      </c>
      <c r="H37" s="76" t="n">
        <f aca="false">F37-G37</f>
        <v>36628.13685888</v>
      </c>
      <c r="I37" s="77" t="n">
        <f aca="false">IF($A37=2025,VLOOKUP($E37,Premissas!$A$52:$P$56,2,0),IF($A37=2026,VLOOKUP($E37,Premissas!$A$52:$P$56,3,0),VLOOKUP($E37,Premissas!$A$52:$P$56,4,0)))</f>
        <v>0.3</v>
      </c>
      <c r="J37" s="76" t="n">
        <f aca="false">H37*(1-I37)</f>
        <v>25639.695801216</v>
      </c>
      <c r="K37" s="76" t="n">
        <f aca="false">H37-J37</f>
        <v>10988.441057664</v>
      </c>
      <c r="L37" s="78" t="n">
        <f aca="false">SUMIFS(Headcount_Folha!$I:$I,Headcount_Folha!$C:$C,$C37,Headcount_Folha!$D:$D,$E37)</f>
        <v>7392</v>
      </c>
      <c r="M37" s="76" t="n">
        <f aca="false">VLOOKUP($E37,Premissas!$A$52:$P$56,10,0)*(1+VLOOKUP($E37,Premissas!$A$52:$P$56,11,0))^($A37-2025)</f>
        <v>2184.05</v>
      </c>
      <c r="N37" s="76" t="n">
        <f aca="false">H37*VLOOKUP($E37,Premissas!$A$52:$P$56,7,0)</f>
        <v>549.4220528832</v>
      </c>
      <c r="O37" s="76" t="n">
        <f aca="false">H37*VLOOKUP($E37,Premissas!$A$52:$P$56,8,0)</f>
        <v>1465.1254743552</v>
      </c>
      <c r="P37" s="76" t="n">
        <f aca="false">H37*VLOOKUP($E37,Premissas!$A$52:$P$56,9,0)</f>
        <v>732.5627371776</v>
      </c>
      <c r="Q37" s="76" t="n">
        <f aca="false">K37-L37-M37-N37-O37-P37</f>
        <v>-1334.719206752</v>
      </c>
    </row>
    <row r="38" customFormat="false" ht="15" hidden="false" customHeight="true" outlineLevel="0" collapsed="false">
      <c r="A38" s="18" t="n">
        <v>2025</v>
      </c>
      <c r="B38" s="18" t="n">
        <v>1</v>
      </c>
      <c r="C38" s="18" t="s">
        <v>148</v>
      </c>
      <c r="D38" s="74" t="n">
        <v>45658</v>
      </c>
      <c r="E38" s="18" t="s">
        <v>142</v>
      </c>
      <c r="F38" s="75" t="n">
        <v>62404.31</v>
      </c>
      <c r="G38" s="75" t="n">
        <v>21248.71</v>
      </c>
      <c r="H38" s="76" t="n">
        <f aca="false">F38-G38</f>
        <v>41155.6</v>
      </c>
      <c r="I38" s="77" t="n">
        <f aca="false">IF($A38=2025,VLOOKUP($E38,Premissas!$A$52:$P$56,2,0),IF($A38=2026,VLOOKUP($E38,Premissas!$A$52:$P$56,3,0),VLOOKUP($E38,Premissas!$A$52:$P$56,4,0)))</f>
        <v>0.38</v>
      </c>
      <c r="J38" s="76" t="n">
        <f aca="false">H38*(1-I38)</f>
        <v>25516.472</v>
      </c>
      <c r="K38" s="76" t="n">
        <f aca="false">H38-J38</f>
        <v>15639.128</v>
      </c>
      <c r="L38" s="78" t="n">
        <f aca="false">SUMIFS(Headcount_Folha!$I:$I,Headcount_Folha!$C:$C,$C38,Headcount_Folha!$D:$D,$E38)</f>
        <v>9576</v>
      </c>
      <c r="M38" s="76" t="n">
        <f aca="false">VLOOKUP($E38,Premissas!$A$52:$P$56,10,0)*(1+VLOOKUP($E38,Premissas!$A$52:$P$56,11,0))^($A38-2025)</f>
        <v>3000</v>
      </c>
      <c r="N38" s="76" t="n">
        <f aca="false">H38*VLOOKUP($E38,Premissas!$A$52:$P$56,7,0)</f>
        <v>823.112</v>
      </c>
      <c r="O38" s="76" t="n">
        <f aca="false">H38*VLOOKUP($E38,Premissas!$A$52:$P$56,8,0)</f>
        <v>1440.446</v>
      </c>
      <c r="P38" s="76" t="n">
        <f aca="false">H38*VLOOKUP($E38,Premissas!$A$52:$P$56,9,0)</f>
        <v>823.112</v>
      </c>
      <c r="Q38" s="76" t="n">
        <f aca="false">K38-L38-M38-N38-O38-P38</f>
        <v>-23.5420000000014</v>
      </c>
    </row>
    <row r="39" customFormat="false" ht="15" hidden="false" customHeight="true" outlineLevel="0" collapsed="false">
      <c r="A39" s="18" t="n">
        <v>2025</v>
      </c>
      <c r="B39" s="18" t="n">
        <v>2</v>
      </c>
      <c r="C39" s="18" t="s">
        <v>149</v>
      </c>
      <c r="D39" s="74" t="n">
        <v>45689</v>
      </c>
      <c r="E39" s="18" t="s">
        <v>142</v>
      </c>
      <c r="F39" s="75" t="n">
        <v>61977.91</v>
      </c>
      <c r="G39" s="75" t="n">
        <v>20793.47</v>
      </c>
      <c r="H39" s="76" t="n">
        <f aca="false">F39-G39</f>
        <v>41184.44</v>
      </c>
      <c r="I39" s="77" t="n">
        <f aca="false">IF($A39=2025,VLOOKUP($E39,Premissas!$A$52:$P$56,2,0),IF($A39=2026,VLOOKUP($E39,Premissas!$A$52:$P$56,3,0),VLOOKUP($E39,Premissas!$A$52:$P$56,4,0)))</f>
        <v>0.38</v>
      </c>
      <c r="J39" s="76" t="n">
        <f aca="false">H39*(1-I39)</f>
        <v>25534.3528</v>
      </c>
      <c r="K39" s="76" t="n">
        <f aca="false">H39-J39</f>
        <v>15650.0872</v>
      </c>
      <c r="L39" s="78" t="n">
        <f aca="false">SUMIFS(Headcount_Folha!$I:$I,Headcount_Folha!$C:$C,$C39,Headcount_Folha!$D:$D,$E39)</f>
        <v>9576</v>
      </c>
      <c r="M39" s="76" t="n">
        <f aca="false">VLOOKUP($E39,Premissas!$A$52:$P$56,10,0)*(1+VLOOKUP($E39,Premissas!$A$52:$P$56,11,0))^($A39-2025)</f>
        <v>3000</v>
      </c>
      <c r="N39" s="76" t="n">
        <f aca="false">H39*VLOOKUP($E39,Premissas!$A$52:$P$56,7,0)</f>
        <v>823.6888</v>
      </c>
      <c r="O39" s="76" t="n">
        <f aca="false">H39*VLOOKUP($E39,Premissas!$A$52:$P$56,8,0)</f>
        <v>1441.4554</v>
      </c>
      <c r="P39" s="76" t="n">
        <f aca="false">H39*VLOOKUP($E39,Premissas!$A$52:$P$56,9,0)</f>
        <v>823.6888</v>
      </c>
      <c r="Q39" s="76" t="n">
        <f aca="false">K39-L39-M39-N39-O39-P39</f>
        <v>-14.7458000000003</v>
      </c>
    </row>
    <row r="40" customFormat="false" ht="15" hidden="false" customHeight="true" outlineLevel="0" collapsed="false">
      <c r="A40" s="18" t="n">
        <v>2025</v>
      </c>
      <c r="B40" s="18" t="n">
        <v>3</v>
      </c>
      <c r="C40" s="18" t="s">
        <v>150</v>
      </c>
      <c r="D40" s="74" t="n">
        <v>45717</v>
      </c>
      <c r="E40" s="18" t="s">
        <v>142</v>
      </c>
      <c r="F40" s="75" t="n">
        <v>62232.13</v>
      </c>
      <c r="G40" s="75" t="n">
        <v>21382.98</v>
      </c>
      <c r="H40" s="76" t="n">
        <f aca="false">F40-G40</f>
        <v>40849.15</v>
      </c>
      <c r="I40" s="77" t="n">
        <f aca="false">IF($A40=2025,VLOOKUP($E40,Premissas!$A$52:$P$56,2,0),IF($A40=2026,VLOOKUP($E40,Premissas!$A$52:$P$56,3,0),VLOOKUP($E40,Premissas!$A$52:$P$56,4,0)))</f>
        <v>0.38</v>
      </c>
      <c r="J40" s="76" t="n">
        <f aca="false">H40*(1-I40)</f>
        <v>25326.473</v>
      </c>
      <c r="K40" s="76" t="n">
        <f aca="false">H40-J40</f>
        <v>15522.677</v>
      </c>
      <c r="L40" s="78" t="n">
        <f aca="false">SUMIFS(Headcount_Folha!$I:$I,Headcount_Folha!$C:$C,$C40,Headcount_Folha!$D:$D,$E40)</f>
        <v>9576</v>
      </c>
      <c r="M40" s="76" t="n">
        <f aca="false">VLOOKUP($E40,Premissas!$A$52:$P$56,10,0)*(1+VLOOKUP($E40,Premissas!$A$52:$P$56,11,0))^($A40-2025)</f>
        <v>3000</v>
      </c>
      <c r="N40" s="76" t="n">
        <f aca="false">H40*VLOOKUP($E40,Premissas!$A$52:$P$56,7,0)</f>
        <v>816.983</v>
      </c>
      <c r="O40" s="76" t="n">
        <f aca="false">H40*VLOOKUP($E40,Premissas!$A$52:$P$56,8,0)</f>
        <v>1429.72025</v>
      </c>
      <c r="P40" s="76" t="n">
        <f aca="false">H40*VLOOKUP($E40,Premissas!$A$52:$P$56,9,0)</f>
        <v>816.983</v>
      </c>
      <c r="Q40" s="76" t="n">
        <f aca="false">K40-L40-M40-N40-O40-P40</f>
        <v>-117.009250000002</v>
      </c>
    </row>
    <row r="41" customFormat="false" ht="15" hidden="false" customHeight="true" outlineLevel="0" collapsed="false">
      <c r="A41" s="18" t="n">
        <v>2025</v>
      </c>
      <c r="B41" s="18" t="n">
        <v>4</v>
      </c>
      <c r="C41" s="18" t="s">
        <v>151</v>
      </c>
      <c r="D41" s="74" t="n">
        <v>45748</v>
      </c>
      <c r="E41" s="18" t="s">
        <v>142</v>
      </c>
      <c r="F41" s="75" t="n">
        <v>73019.38</v>
      </c>
      <c r="G41" s="75" t="n">
        <v>25018.97</v>
      </c>
      <c r="H41" s="76" t="n">
        <f aca="false">F41-G41</f>
        <v>48000.41</v>
      </c>
      <c r="I41" s="77" t="n">
        <f aca="false">IF($A41=2025,VLOOKUP($E41,Premissas!$A$52:$P$56,2,0),IF($A41=2026,VLOOKUP($E41,Premissas!$A$52:$P$56,3,0),VLOOKUP($E41,Premissas!$A$52:$P$56,4,0)))</f>
        <v>0.38</v>
      </c>
      <c r="J41" s="76" t="n">
        <f aca="false">H41*(1-I41)</f>
        <v>29760.2542</v>
      </c>
      <c r="K41" s="76" t="n">
        <f aca="false">H41-J41</f>
        <v>18240.1558</v>
      </c>
      <c r="L41" s="78" t="n">
        <f aca="false">SUMIFS(Headcount_Folha!$I:$I,Headcount_Folha!$C:$C,$C41,Headcount_Folha!$D:$D,$E41)</f>
        <v>9576</v>
      </c>
      <c r="M41" s="76" t="n">
        <f aca="false">VLOOKUP($E41,Premissas!$A$52:$P$56,10,0)*(1+VLOOKUP($E41,Premissas!$A$52:$P$56,11,0))^($A41-2025)</f>
        <v>3000</v>
      </c>
      <c r="N41" s="76" t="n">
        <f aca="false">H41*VLOOKUP($E41,Premissas!$A$52:$P$56,7,0)</f>
        <v>960.0082</v>
      </c>
      <c r="O41" s="76" t="n">
        <f aca="false">H41*VLOOKUP($E41,Premissas!$A$52:$P$56,8,0)</f>
        <v>1680.01435</v>
      </c>
      <c r="P41" s="76" t="n">
        <f aca="false">H41*VLOOKUP($E41,Premissas!$A$52:$P$56,9,0)</f>
        <v>960.0082</v>
      </c>
      <c r="Q41" s="76" t="n">
        <f aca="false">K41-L41-M41-N41-O41-P41</f>
        <v>2064.12505</v>
      </c>
    </row>
    <row r="42" customFormat="false" ht="15" hidden="false" customHeight="true" outlineLevel="0" collapsed="false">
      <c r="A42" s="18" t="n">
        <v>2025</v>
      </c>
      <c r="B42" s="18" t="n">
        <v>5</v>
      </c>
      <c r="C42" s="18" t="s">
        <v>152</v>
      </c>
      <c r="D42" s="74" t="n">
        <v>45778</v>
      </c>
      <c r="E42" s="18" t="s">
        <v>142</v>
      </c>
      <c r="F42" s="75" t="n">
        <v>68209.77</v>
      </c>
      <c r="G42" s="75" t="n">
        <v>23301.21</v>
      </c>
      <c r="H42" s="76" t="n">
        <f aca="false">F42-G42</f>
        <v>44908.56</v>
      </c>
      <c r="I42" s="77" t="n">
        <f aca="false">IF($A42=2025,VLOOKUP($E42,Premissas!$A$52:$P$56,2,0),IF($A42=2026,VLOOKUP($E42,Premissas!$A$52:$P$56,3,0),VLOOKUP($E42,Premissas!$A$52:$P$56,4,0)))</f>
        <v>0.38</v>
      </c>
      <c r="J42" s="76" t="n">
        <f aca="false">H42*(1-I42)</f>
        <v>27843.3072</v>
      </c>
      <c r="K42" s="76" t="n">
        <f aca="false">H42-J42</f>
        <v>17065.2528</v>
      </c>
      <c r="L42" s="78" t="n">
        <f aca="false">SUMIFS(Headcount_Folha!$I:$I,Headcount_Folha!$C:$C,$C42,Headcount_Folha!$D:$D,$E42)</f>
        <v>9576</v>
      </c>
      <c r="M42" s="76" t="n">
        <f aca="false">VLOOKUP($E42,Premissas!$A$52:$P$56,10,0)*(1+VLOOKUP($E42,Premissas!$A$52:$P$56,11,0))^($A42-2025)</f>
        <v>3000</v>
      </c>
      <c r="N42" s="76" t="n">
        <f aca="false">H42*VLOOKUP($E42,Premissas!$A$52:$P$56,7,0)</f>
        <v>898.1712</v>
      </c>
      <c r="O42" s="76" t="n">
        <f aca="false">H42*VLOOKUP($E42,Premissas!$A$52:$P$56,8,0)</f>
        <v>1571.7996</v>
      </c>
      <c r="P42" s="76" t="n">
        <f aca="false">H42*VLOOKUP($E42,Premissas!$A$52:$P$56,9,0)</f>
        <v>898.1712</v>
      </c>
      <c r="Q42" s="76" t="n">
        <f aca="false">K42-L42-M42-N42-O42-P42</f>
        <v>1121.1108</v>
      </c>
    </row>
    <row r="43" customFormat="false" ht="15" hidden="false" customHeight="true" outlineLevel="0" collapsed="false">
      <c r="A43" s="18" t="n">
        <v>2025</v>
      </c>
      <c r="B43" s="18" t="n">
        <v>6</v>
      </c>
      <c r="C43" s="18" t="s">
        <v>153</v>
      </c>
      <c r="D43" s="74" t="n">
        <v>45809</v>
      </c>
      <c r="E43" s="18" t="s">
        <v>142</v>
      </c>
      <c r="F43" s="75" t="n">
        <v>93443.01</v>
      </c>
      <c r="G43" s="75" t="n">
        <v>31006.59</v>
      </c>
      <c r="H43" s="76" t="n">
        <f aca="false">F43-G43</f>
        <v>62436.42</v>
      </c>
      <c r="I43" s="77" t="n">
        <f aca="false">IF($A43=2025,VLOOKUP($E43,Premissas!$A$52:$P$56,2,0),IF($A43=2026,VLOOKUP($E43,Premissas!$A$52:$P$56,3,0),VLOOKUP($E43,Premissas!$A$52:$P$56,4,0)))</f>
        <v>0.38</v>
      </c>
      <c r="J43" s="76" t="n">
        <f aca="false">H43*(1-I43)</f>
        <v>38710.5804</v>
      </c>
      <c r="K43" s="76" t="n">
        <f aca="false">H43-J43</f>
        <v>23725.8396</v>
      </c>
      <c r="L43" s="78" t="n">
        <f aca="false">SUMIFS(Headcount_Folha!$I:$I,Headcount_Folha!$C:$C,$C43,Headcount_Folha!$D:$D,$E43)</f>
        <v>9576</v>
      </c>
      <c r="M43" s="76" t="n">
        <f aca="false">VLOOKUP($E43,Premissas!$A$52:$P$56,10,0)*(1+VLOOKUP($E43,Premissas!$A$52:$P$56,11,0))^($A43-2025)</f>
        <v>3000</v>
      </c>
      <c r="N43" s="76" t="n">
        <f aca="false">H43*VLOOKUP($E43,Premissas!$A$52:$P$56,7,0)</f>
        <v>1248.7284</v>
      </c>
      <c r="O43" s="76" t="n">
        <f aca="false">H43*VLOOKUP($E43,Premissas!$A$52:$P$56,8,0)</f>
        <v>2185.2747</v>
      </c>
      <c r="P43" s="76" t="n">
        <f aca="false">H43*VLOOKUP($E43,Premissas!$A$52:$P$56,9,0)</f>
        <v>1248.7284</v>
      </c>
      <c r="Q43" s="76" t="n">
        <f aca="false">K43-L43-M43-N43-O43-P43</f>
        <v>6467.1081</v>
      </c>
    </row>
    <row r="44" customFormat="false" ht="15" hidden="false" customHeight="true" outlineLevel="0" collapsed="false">
      <c r="A44" s="18" t="n">
        <v>2025</v>
      </c>
      <c r="B44" s="18" t="n">
        <v>7</v>
      </c>
      <c r="C44" s="18" t="s">
        <v>154</v>
      </c>
      <c r="D44" s="74" t="n">
        <v>45839</v>
      </c>
      <c r="E44" s="18" t="s">
        <v>142</v>
      </c>
      <c r="F44" s="75" t="n">
        <v>86683.24</v>
      </c>
      <c r="G44" s="75" t="n">
        <v>30059.43</v>
      </c>
      <c r="H44" s="76" t="n">
        <f aca="false">F44-G44</f>
        <v>56623.81</v>
      </c>
      <c r="I44" s="77" t="n">
        <f aca="false">IF($A44=2025,VLOOKUP($E44,Premissas!$A$52:$P$56,2,0),IF($A44=2026,VLOOKUP($E44,Premissas!$A$52:$P$56,3,0),VLOOKUP($E44,Premissas!$A$52:$P$56,4,0)))</f>
        <v>0.38</v>
      </c>
      <c r="J44" s="76" t="n">
        <f aca="false">H44*(1-I44)</f>
        <v>35106.7622</v>
      </c>
      <c r="K44" s="76" t="n">
        <f aca="false">H44-J44</f>
        <v>21517.0478</v>
      </c>
      <c r="L44" s="78" t="n">
        <f aca="false">SUMIFS(Headcount_Folha!$I:$I,Headcount_Folha!$C:$C,$C44,Headcount_Folha!$D:$D,$E44)</f>
        <v>9576</v>
      </c>
      <c r="M44" s="76" t="n">
        <f aca="false">VLOOKUP($E44,Premissas!$A$52:$P$56,10,0)*(1+VLOOKUP($E44,Premissas!$A$52:$P$56,11,0))^($A44-2025)</f>
        <v>3000</v>
      </c>
      <c r="N44" s="76" t="n">
        <f aca="false">H44*VLOOKUP($E44,Premissas!$A$52:$P$56,7,0)</f>
        <v>1132.4762</v>
      </c>
      <c r="O44" s="76" t="n">
        <f aca="false">H44*VLOOKUP($E44,Premissas!$A$52:$P$56,8,0)</f>
        <v>1981.83335</v>
      </c>
      <c r="P44" s="76" t="n">
        <f aca="false">H44*VLOOKUP($E44,Premissas!$A$52:$P$56,9,0)</f>
        <v>1132.4762</v>
      </c>
      <c r="Q44" s="76" t="n">
        <f aca="false">K44-L44-M44-N44-O44-P44</f>
        <v>4694.26205</v>
      </c>
    </row>
    <row r="45" customFormat="false" ht="15" hidden="false" customHeight="true" outlineLevel="0" collapsed="false">
      <c r="A45" s="18" t="n">
        <v>2025</v>
      </c>
      <c r="B45" s="18" t="n">
        <v>8</v>
      </c>
      <c r="C45" s="18" t="s">
        <v>155</v>
      </c>
      <c r="D45" s="74" t="n">
        <v>45870</v>
      </c>
      <c r="E45" s="18" t="s">
        <v>142</v>
      </c>
      <c r="F45" s="75" t="n">
        <v>74561.38</v>
      </c>
      <c r="G45" s="75" t="n">
        <v>25193.01</v>
      </c>
      <c r="H45" s="76" t="n">
        <f aca="false">F45-G45</f>
        <v>49368.37</v>
      </c>
      <c r="I45" s="77" t="n">
        <f aca="false">IF($A45=2025,VLOOKUP($E45,Premissas!$A$52:$P$56,2,0),IF($A45=2026,VLOOKUP($E45,Premissas!$A$52:$P$56,3,0),VLOOKUP($E45,Premissas!$A$52:$P$56,4,0)))</f>
        <v>0.38</v>
      </c>
      <c r="J45" s="76" t="n">
        <f aca="false">H45*(1-I45)</f>
        <v>30608.3894</v>
      </c>
      <c r="K45" s="76" t="n">
        <f aca="false">H45-J45</f>
        <v>18759.9806</v>
      </c>
      <c r="L45" s="78" t="n">
        <f aca="false">SUMIFS(Headcount_Folha!$I:$I,Headcount_Folha!$C:$C,$C45,Headcount_Folha!$D:$D,$E45)</f>
        <v>9576</v>
      </c>
      <c r="M45" s="76" t="n">
        <f aca="false">VLOOKUP($E45,Premissas!$A$52:$P$56,10,0)*(1+VLOOKUP($E45,Premissas!$A$52:$P$56,11,0))^($A45-2025)</f>
        <v>3000</v>
      </c>
      <c r="N45" s="76" t="n">
        <f aca="false">H45*VLOOKUP($E45,Premissas!$A$52:$P$56,7,0)</f>
        <v>987.3674</v>
      </c>
      <c r="O45" s="76" t="n">
        <f aca="false">H45*VLOOKUP($E45,Premissas!$A$52:$P$56,8,0)</f>
        <v>1727.89295</v>
      </c>
      <c r="P45" s="76" t="n">
        <f aca="false">H45*VLOOKUP($E45,Premissas!$A$52:$P$56,9,0)</f>
        <v>987.3674</v>
      </c>
      <c r="Q45" s="76" t="n">
        <f aca="false">K45-L45-M45-N45-O45-P45</f>
        <v>2481.35285</v>
      </c>
    </row>
    <row r="46" customFormat="false" ht="15" hidden="false" customHeight="true" outlineLevel="0" collapsed="false">
      <c r="A46" s="18" t="n">
        <v>2025</v>
      </c>
      <c r="B46" s="18" t="n">
        <v>9</v>
      </c>
      <c r="C46" s="18" t="s">
        <v>156</v>
      </c>
      <c r="D46" s="74" t="n">
        <v>45901</v>
      </c>
      <c r="E46" s="18" t="s">
        <v>142</v>
      </c>
      <c r="F46" s="75" t="n">
        <v>68739.54</v>
      </c>
      <c r="G46" s="75" t="n">
        <v>23174.78</v>
      </c>
      <c r="H46" s="76" t="n">
        <f aca="false">F46-G46</f>
        <v>45564.76</v>
      </c>
      <c r="I46" s="77" t="n">
        <f aca="false">IF($A46=2025,VLOOKUP($E46,Premissas!$A$52:$P$56,2,0),IF($A46=2026,VLOOKUP($E46,Premissas!$A$52:$P$56,3,0),VLOOKUP($E46,Premissas!$A$52:$P$56,4,0)))</f>
        <v>0.38</v>
      </c>
      <c r="J46" s="76" t="n">
        <f aca="false">H46*(1-I46)</f>
        <v>28250.1512</v>
      </c>
      <c r="K46" s="76" t="n">
        <f aca="false">H46-J46</f>
        <v>17314.6088</v>
      </c>
      <c r="L46" s="78" t="n">
        <f aca="false">SUMIFS(Headcount_Folha!$I:$I,Headcount_Folha!$C:$C,$C46,Headcount_Folha!$D:$D,$E46)</f>
        <v>9576</v>
      </c>
      <c r="M46" s="76" t="n">
        <f aca="false">VLOOKUP($E46,Premissas!$A$52:$P$56,10,0)*(1+VLOOKUP($E46,Premissas!$A$52:$P$56,11,0))^($A46-2025)</f>
        <v>3000</v>
      </c>
      <c r="N46" s="76" t="n">
        <f aca="false">H46*VLOOKUP($E46,Premissas!$A$52:$P$56,7,0)</f>
        <v>911.2952</v>
      </c>
      <c r="O46" s="76" t="n">
        <f aca="false">H46*VLOOKUP($E46,Premissas!$A$52:$P$56,8,0)</f>
        <v>1594.7666</v>
      </c>
      <c r="P46" s="76" t="n">
        <f aca="false">H46*VLOOKUP($E46,Premissas!$A$52:$P$56,9,0)</f>
        <v>911.2952</v>
      </c>
      <c r="Q46" s="76" t="n">
        <f aca="false">K46-L46-M46-N46-O46-P46</f>
        <v>1321.2518</v>
      </c>
    </row>
    <row r="47" customFormat="false" ht="15" hidden="false" customHeight="true" outlineLevel="0" collapsed="false">
      <c r="A47" s="18" t="n">
        <v>2025</v>
      </c>
      <c r="B47" s="18" t="n">
        <v>10</v>
      </c>
      <c r="C47" s="18" t="s">
        <v>157</v>
      </c>
      <c r="D47" s="74" t="n">
        <v>45931</v>
      </c>
      <c r="E47" s="18" t="s">
        <v>142</v>
      </c>
      <c r="F47" s="75" t="n">
        <v>70042.77</v>
      </c>
      <c r="G47" s="75" t="n">
        <v>23235.35</v>
      </c>
      <c r="H47" s="76" t="n">
        <f aca="false">F47-G47</f>
        <v>46807.42</v>
      </c>
      <c r="I47" s="77" t="n">
        <f aca="false">IF($A47=2025,VLOOKUP($E47,Premissas!$A$52:$P$56,2,0),IF($A47=2026,VLOOKUP($E47,Premissas!$A$52:$P$56,3,0),VLOOKUP($E47,Premissas!$A$52:$P$56,4,0)))</f>
        <v>0.38</v>
      </c>
      <c r="J47" s="76" t="n">
        <f aca="false">H47*(1-I47)</f>
        <v>29020.6004</v>
      </c>
      <c r="K47" s="76" t="n">
        <f aca="false">H47-J47</f>
        <v>17786.8196</v>
      </c>
      <c r="L47" s="78" t="n">
        <f aca="false">SUMIFS(Headcount_Folha!$I:$I,Headcount_Folha!$C:$C,$C47,Headcount_Folha!$D:$D,$E47)</f>
        <v>9576</v>
      </c>
      <c r="M47" s="76" t="n">
        <f aca="false">VLOOKUP($E47,Premissas!$A$52:$P$56,10,0)*(1+VLOOKUP($E47,Premissas!$A$52:$P$56,11,0))^($A47-2025)</f>
        <v>3000</v>
      </c>
      <c r="N47" s="76" t="n">
        <f aca="false">H47*VLOOKUP($E47,Premissas!$A$52:$P$56,7,0)</f>
        <v>936.1484</v>
      </c>
      <c r="O47" s="76" t="n">
        <f aca="false">H47*VLOOKUP($E47,Premissas!$A$52:$P$56,8,0)</f>
        <v>1638.2597</v>
      </c>
      <c r="P47" s="76" t="n">
        <f aca="false">H47*VLOOKUP($E47,Premissas!$A$52:$P$56,9,0)</f>
        <v>936.1484</v>
      </c>
      <c r="Q47" s="76" t="n">
        <f aca="false">K47-L47-M47-N47-O47-P47</f>
        <v>1700.2631</v>
      </c>
    </row>
    <row r="48" customFormat="false" ht="15" hidden="false" customHeight="true" outlineLevel="0" collapsed="false">
      <c r="A48" s="18" t="n">
        <v>2025</v>
      </c>
      <c r="B48" s="18" t="n">
        <v>11</v>
      </c>
      <c r="C48" s="18" t="s">
        <v>158</v>
      </c>
      <c r="D48" s="74" t="n">
        <v>45962</v>
      </c>
      <c r="E48" s="18" t="s">
        <v>142</v>
      </c>
      <c r="F48" s="75" t="n">
        <v>90370.52</v>
      </c>
      <c r="G48" s="75" t="n">
        <v>31205.56</v>
      </c>
      <c r="H48" s="76" t="n">
        <f aca="false">F48-G48</f>
        <v>59164.96</v>
      </c>
      <c r="I48" s="77" t="n">
        <f aca="false">IF($A48=2025,VLOOKUP($E48,Premissas!$A$52:$P$56,2,0),IF($A48=2026,VLOOKUP($E48,Premissas!$A$52:$P$56,3,0),VLOOKUP($E48,Premissas!$A$52:$P$56,4,0)))</f>
        <v>0.38</v>
      </c>
      <c r="J48" s="76" t="n">
        <f aca="false">H48*(1-I48)</f>
        <v>36682.2752</v>
      </c>
      <c r="K48" s="76" t="n">
        <f aca="false">H48-J48</f>
        <v>22482.6848</v>
      </c>
      <c r="L48" s="78" t="n">
        <f aca="false">SUMIFS(Headcount_Folha!$I:$I,Headcount_Folha!$C:$C,$C48,Headcount_Folha!$D:$D,$E48)</f>
        <v>9576</v>
      </c>
      <c r="M48" s="76" t="n">
        <f aca="false">VLOOKUP($E48,Premissas!$A$52:$P$56,10,0)*(1+VLOOKUP($E48,Premissas!$A$52:$P$56,11,0))^($A48-2025)</f>
        <v>3000</v>
      </c>
      <c r="N48" s="76" t="n">
        <f aca="false">H48*VLOOKUP($E48,Premissas!$A$52:$P$56,7,0)</f>
        <v>1183.2992</v>
      </c>
      <c r="O48" s="76" t="n">
        <f aca="false">H48*VLOOKUP($E48,Premissas!$A$52:$P$56,8,0)</f>
        <v>2070.7736</v>
      </c>
      <c r="P48" s="76" t="n">
        <f aca="false">H48*VLOOKUP($E48,Premissas!$A$52:$P$56,9,0)</f>
        <v>1183.2992</v>
      </c>
      <c r="Q48" s="76" t="n">
        <f aca="false">K48-L48-M48-N48-O48-P48</f>
        <v>5469.3128</v>
      </c>
    </row>
    <row r="49" customFormat="false" ht="15" hidden="false" customHeight="true" outlineLevel="0" collapsed="false">
      <c r="A49" s="18" t="n">
        <v>2025</v>
      </c>
      <c r="B49" s="18" t="n">
        <v>12</v>
      </c>
      <c r="C49" s="18" t="s">
        <v>159</v>
      </c>
      <c r="D49" s="74" t="n">
        <v>45992</v>
      </c>
      <c r="E49" s="18" t="s">
        <v>142</v>
      </c>
      <c r="F49" s="75" t="n">
        <v>100662.29</v>
      </c>
      <c r="G49" s="75" t="n">
        <v>34439.23</v>
      </c>
      <c r="H49" s="76" t="n">
        <f aca="false">F49-G49</f>
        <v>66223.06</v>
      </c>
      <c r="I49" s="77" t="n">
        <f aca="false">IF($A49=2025,VLOOKUP($E49,Premissas!$A$52:$P$56,2,0),IF($A49=2026,VLOOKUP($E49,Premissas!$A$52:$P$56,3,0),VLOOKUP($E49,Premissas!$A$52:$P$56,4,0)))</f>
        <v>0.38</v>
      </c>
      <c r="J49" s="76" t="n">
        <f aca="false">H49*(1-I49)</f>
        <v>41058.2972</v>
      </c>
      <c r="K49" s="76" t="n">
        <f aca="false">H49-J49</f>
        <v>25164.7628</v>
      </c>
      <c r="L49" s="78" t="n">
        <f aca="false">SUMIFS(Headcount_Folha!$I:$I,Headcount_Folha!$C:$C,$C49,Headcount_Folha!$D:$D,$E49)</f>
        <v>9576</v>
      </c>
      <c r="M49" s="76" t="n">
        <f aca="false">VLOOKUP($E49,Premissas!$A$52:$P$56,10,0)*(1+VLOOKUP($E49,Premissas!$A$52:$P$56,11,0))^($A49-2025)</f>
        <v>3000</v>
      </c>
      <c r="N49" s="76" t="n">
        <f aca="false">H49*VLOOKUP($E49,Premissas!$A$52:$P$56,7,0)</f>
        <v>1324.4612</v>
      </c>
      <c r="O49" s="76" t="n">
        <f aca="false">H49*VLOOKUP($E49,Premissas!$A$52:$P$56,8,0)</f>
        <v>2317.8071</v>
      </c>
      <c r="P49" s="76" t="n">
        <f aca="false">H49*VLOOKUP($E49,Premissas!$A$52:$P$56,9,0)</f>
        <v>1324.4612</v>
      </c>
      <c r="Q49" s="76" t="n">
        <f aca="false">K49-L49-M49-N49-O49-P49</f>
        <v>7622.0333</v>
      </c>
    </row>
    <row r="50" customFormat="false" ht="15" hidden="false" customHeight="true" outlineLevel="0" collapsed="false">
      <c r="A50" s="18" t="n">
        <v>2026</v>
      </c>
      <c r="B50" s="18" t="n">
        <v>1</v>
      </c>
      <c r="C50" s="18" t="s">
        <v>160</v>
      </c>
      <c r="D50" s="74" t="n">
        <v>46023</v>
      </c>
      <c r="E50" s="18" t="s">
        <v>142</v>
      </c>
      <c r="F50" s="75" t="n">
        <v>62721.96</v>
      </c>
      <c r="G50" s="75" t="n">
        <v>20926.89</v>
      </c>
      <c r="H50" s="76" t="n">
        <f aca="false">F50-G50</f>
        <v>41795.07</v>
      </c>
      <c r="I50" s="77" t="n">
        <f aca="false">IF($A50=2025,VLOOKUP($E50,Premissas!$A$52:$P$56,2,0),IF($A50=2026,VLOOKUP($E50,Premissas!$A$52:$P$56,3,0),VLOOKUP($E50,Premissas!$A$52:$P$56,4,0)))</f>
        <v>0.34</v>
      </c>
      <c r="J50" s="76" t="n">
        <f aca="false">H50*(1-I50)</f>
        <v>27584.7462</v>
      </c>
      <c r="K50" s="76" t="n">
        <f aca="false">H50-J50</f>
        <v>14210.3238</v>
      </c>
      <c r="L50" s="78" t="n">
        <f aca="false">SUMIFS(Headcount_Folha!$I:$I,Headcount_Folha!$C:$C,$C50,Headcount_Folha!$D:$D,$E50)</f>
        <v>9576</v>
      </c>
      <c r="M50" s="76" t="n">
        <f aca="false">VLOOKUP($E50,Premissas!$A$52:$P$56,10,0)*(1+VLOOKUP($E50,Premissas!$A$52:$P$56,11,0))^($A50-2025)</f>
        <v>3135</v>
      </c>
      <c r="N50" s="76" t="n">
        <f aca="false">H50*VLOOKUP($E50,Premissas!$A$52:$P$56,7,0)</f>
        <v>835.9014</v>
      </c>
      <c r="O50" s="76" t="n">
        <f aca="false">H50*VLOOKUP($E50,Premissas!$A$52:$P$56,8,0)</f>
        <v>1462.82745</v>
      </c>
      <c r="P50" s="76" t="n">
        <f aca="false">H50*VLOOKUP($E50,Premissas!$A$52:$P$56,9,0)</f>
        <v>835.9014</v>
      </c>
      <c r="Q50" s="76" t="n">
        <f aca="false">K50-L50-M50-N50-O50-P50</f>
        <v>-1635.30645</v>
      </c>
    </row>
    <row r="51" customFormat="false" ht="15" hidden="false" customHeight="true" outlineLevel="0" collapsed="false">
      <c r="A51" s="18" t="n">
        <v>2026</v>
      </c>
      <c r="B51" s="18" t="n">
        <v>2</v>
      </c>
      <c r="C51" s="18" t="s">
        <v>161</v>
      </c>
      <c r="D51" s="74" t="n">
        <v>46054</v>
      </c>
      <c r="E51" s="18" t="s">
        <v>142</v>
      </c>
      <c r="F51" s="75" t="n">
        <v>48835.09</v>
      </c>
      <c r="G51" s="75" t="n">
        <v>16567</v>
      </c>
      <c r="H51" s="76" t="n">
        <f aca="false">F51-G51</f>
        <v>32268.09</v>
      </c>
      <c r="I51" s="77" t="n">
        <f aca="false">IF($A51=2025,VLOOKUP($E51,Premissas!$A$52:$P$56,2,0),IF($A51=2026,VLOOKUP($E51,Premissas!$A$52:$P$56,3,0),VLOOKUP($E51,Premissas!$A$52:$P$56,4,0)))</f>
        <v>0.34</v>
      </c>
      <c r="J51" s="76" t="n">
        <f aca="false">H51*(1-I51)</f>
        <v>21296.9394</v>
      </c>
      <c r="K51" s="76" t="n">
        <f aca="false">H51-J51</f>
        <v>10971.1506</v>
      </c>
      <c r="L51" s="78" t="n">
        <f aca="false">SUMIFS(Headcount_Folha!$I:$I,Headcount_Folha!$C:$C,$C51,Headcount_Folha!$D:$D,$E51)</f>
        <v>9576</v>
      </c>
      <c r="M51" s="76" t="n">
        <f aca="false">VLOOKUP($E51,Premissas!$A$52:$P$56,10,0)*(1+VLOOKUP($E51,Premissas!$A$52:$P$56,11,0))^($A51-2025)</f>
        <v>3135</v>
      </c>
      <c r="N51" s="76" t="n">
        <f aca="false">H51*VLOOKUP($E51,Premissas!$A$52:$P$56,7,0)</f>
        <v>645.3618</v>
      </c>
      <c r="O51" s="76" t="n">
        <f aca="false">H51*VLOOKUP($E51,Premissas!$A$52:$P$56,8,0)</f>
        <v>1129.38315</v>
      </c>
      <c r="P51" s="76" t="n">
        <f aca="false">H51*VLOOKUP($E51,Premissas!$A$52:$P$56,9,0)</f>
        <v>645.3618</v>
      </c>
      <c r="Q51" s="76" t="n">
        <f aca="false">K51-L51-M51-N51-O51-P51</f>
        <v>-4159.95615</v>
      </c>
    </row>
    <row r="52" customFormat="false" ht="15" hidden="false" customHeight="true" outlineLevel="0" collapsed="false">
      <c r="A52" s="18" t="n">
        <v>2026</v>
      </c>
      <c r="B52" s="18" t="n">
        <v>3</v>
      </c>
      <c r="C52" s="18" t="s">
        <v>162</v>
      </c>
      <c r="D52" s="74" t="n">
        <v>46082</v>
      </c>
      <c r="E52" s="18" t="s">
        <v>142</v>
      </c>
      <c r="F52" s="75" t="n">
        <v>81636.36</v>
      </c>
      <c r="G52" s="75" t="n">
        <v>27802.18</v>
      </c>
      <c r="H52" s="76" t="n">
        <f aca="false">F52-G52</f>
        <v>53834.18</v>
      </c>
      <c r="I52" s="77" t="n">
        <f aca="false">IF($A52=2025,VLOOKUP($E52,Premissas!$A$52:$P$56,2,0),IF($A52=2026,VLOOKUP($E52,Premissas!$A$52:$P$56,3,0),VLOOKUP($E52,Premissas!$A$52:$P$56,4,0)))</f>
        <v>0.34</v>
      </c>
      <c r="J52" s="76" t="n">
        <f aca="false">H52*(1-I52)</f>
        <v>35530.5588</v>
      </c>
      <c r="K52" s="76" t="n">
        <f aca="false">H52-J52</f>
        <v>18303.6212</v>
      </c>
      <c r="L52" s="78" t="n">
        <f aca="false">SUMIFS(Headcount_Folha!$I:$I,Headcount_Folha!$C:$C,$C52,Headcount_Folha!$D:$D,$E52)</f>
        <v>9576</v>
      </c>
      <c r="M52" s="76" t="n">
        <f aca="false">VLOOKUP($E52,Premissas!$A$52:$P$56,10,0)*(1+VLOOKUP($E52,Premissas!$A$52:$P$56,11,0))^($A52-2025)</f>
        <v>3135</v>
      </c>
      <c r="N52" s="76" t="n">
        <f aca="false">H52*VLOOKUP($E52,Premissas!$A$52:$P$56,7,0)</f>
        <v>1076.6836</v>
      </c>
      <c r="O52" s="76" t="n">
        <f aca="false">H52*VLOOKUP($E52,Premissas!$A$52:$P$56,8,0)</f>
        <v>1884.1963</v>
      </c>
      <c r="P52" s="76" t="n">
        <f aca="false">H52*VLOOKUP($E52,Premissas!$A$52:$P$56,9,0)</f>
        <v>1076.6836</v>
      </c>
      <c r="Q52" s="76" t="n">
        <f aca="false">K52-L52-M52-N52-O52-P52</f>
        <v>1555.0577</v>
      </c>
    </row>
    <row r="53" customFormat="false" ht="15" hidden="false" customHeight="true" outlineLevel="0" collapsed="false">
      <c r="A53" s="18" t="n">
        <v>2026</v>
      </c>
      <c r="B53" s="18" t="n">
        <v>4</v>
      </c>
      <c r="C53" s="18" t="s">
        <v>163</v>
      </c>
      <c r="D53" s="74" t="n">
        <v>46113</v>
      </c>
      <c r="E53" s="18" t="s">
        <v>142</v>
      </c>
      <c r="F53" s="75" t="n">
        <v>53990.04</v>
      </c>
      <c r="G53" s="75" t="n">
        <v>18615.3</v>
      </c>
      <c r="H53" s="76" t="n">
        <f aca="false">F53-G53</f>
        <v>35374.74</v>
      </c>
      <c r="I53" s="77" t="n">
        <f aca="false">IF($A53=2025,VLOOKUP($E53,Premissas!$A$52:$P$56,2,0),IF($A53=2026,VLOOKUP($E53,Premissas!$A$52:$P$56,3,0),VLOOKUP($E53,Premissas!$A$52:$P$56,4,0)))</f>
        <v>0.34</v>
      </c>
      <c r="J53" s="76" t="n">
        <f aca="false">H53*(1-I53)</f>
        <v>23347.3284</v>
      </c>
      <c r="K53" s="76" t="n">
        <f aca="false">H53-J53</f>
        <v>12027.4116</v>
      </c>
      <c r="L53" s="78" t="n">
        <f aca="false">SUMIFS(Headcount_Folha!$I:$I,Headcount_Folha!$C:$C,$C53,Headcount_Folha!$D:$D,$E53)</f>
        <v>9576</v>
      </c>
      <c r="M53" s="76" t="n">
        <f aca="false">VLOOKUP($E53,Premissas!$A$52:$P$56,10,0)*(1+VLOOKUP($E53,Premissas!$A$52:$P$56,11,0))^($A53-2025)</f>
        <v>3135</v>
      </c>
      <c r="N53" s="76" t="n">
        <f aca="false">H53*VLOOKUP($E53,Premissas!$A$52:$P$56,7,0)</f>
        <v>707.4948</v>
      </c>
      <c r="O53" s="76" t="n">
        <f aca="false">H53*VLOOKUP($E53,Premissas!$A$52:$P$56,8,0)</f>
        <v>1238.1159</v>
      </c>
      <c r="P53" s="76" t="n">
        <f aca="false">H53*VLOOKUP($E53,Premissas!$A$52:$P$56,9,0)</f>
        <v>707.4948</v>
      </c>
      <c r="Q53" s="76" t="n">
        <f aca="false">K53-L53-M53-N53-O53-P53</f>
        <v>-3336.6939</v>
      </c>
    </row>
    <row r="54" customFormat="false" ht="15" hidden="false" customHeight="true" outlineLevel="0" collapsed="false">
      <c r="A54" s="18" t="n">
        <v>2026</v>
      </c>
      <c r="B54" s="18" t="n">
        <v>5</v>
      </c>
      <c r="C54" s="18" t="s">
        <v>164</v>
      </c>
      <c r="D54" s="74" t="n">
        <v>46143</v>
      </c>
      <c r="E54" s="18" t="s">
        <v>142</v>
      </c>
      <c r="F54" s="75" t="n">
        <v>78563.58</v>
      </c>
      <c r="G54" s="75" t="n">
        <v>25804.3</v>
      </c>
      <c r="H54" s="76" t="n">
        <f aca="false">F54-G54</f>
        <v>52759.28</v>
      </c>
      <c r="I54" s="77" t="n">
        <f aca="false">IF($A54=2025,VLOOKUP($E54,Premissas!$A$52:$P$56,2,0),IF($A54=2026,VLOOKUP($E54,Premissas!$A$52:$P$56,3,0),VLOOKUP($E54,Premissas!$A$52:$P$56,4,0)))</f>
        <v>0.34</v>
      </c>
      <c r="J54" s="76" t="n">
        <f aca="false">H54*(1-I54)</f>
        <v>34821.1248</v>
      </c>
      <c r="K54" s="76" t="n">
        <f aca="false">H54-J54</f>
        <v>17938.1552</v>
      </c>
      <c r="L54" s="78" t="n">
        <f aca="false">SUMIFS(Headcount_Folha!$I:$I,Headcount_Folha!$C:$C,$C54,Headcount_Folha!$D:$D,$E54)</f>
        <v>9576</v>
      </c>
      <c r="M54" s="76" t="n">
        <f aca="false">VLOOKUP($E54,Premissas!$A$52:$P$56,10,0)*(1+VLOOKUP($E54,Premissas!$A$52:$P$56,11,0))^($A54-2025)</f>
        <v>3135</v>
      </c>
      <c r="N54" s="76" t="n">
        <f aca="false">H54*VLOOKUP($E54,Premissas!$A$52:$P$56,7,0)</f>
        <v>1055.1856</v>
      </c>
      <c r="O54" s="76" t="n">
        <f aca="false">H54*VLOOKUP($E54,Premissas!$A$52:$P$56,8,0)</f>
        <v>1846.5748</v>
      </c>
      <c r="P54" s="76" t="n">
        <f aca="false">H54*VLOOKUP($E54,Premissas!$A$52:$P$56,9,0)</f>
        <v>1055.1856</v>
      </c>
      <c r="Q54" s="76" t="n">
        <f aca="false">K54-L54-M54-N54-O54-P54</f>
        <v>1270.2092</v>
      </c>
    </row>
    <row r="55" customFormat="false" ht="15" hidden="false" customHeight="true" outlineLevel="0" collapsed="false">
      <c r="A55" s="18" t="n">
        <v>2026</v>
      </c>
      <c r="B55" s="18" t="n">
        <v>6</v>
      </c>
      <c r="C55" s="18" t="s">
        <v>165</v>
      </c>
      <c r="D55" s="74" t="n">
        <v>46174</v>
      </c>
      <c r="E55" s="18" t="s">
        <v>142</v>
      </c>
      <c r="F55" s="75" t="n">
        <v>74848.7</v>
      </c>
      <c r="G55" s="75" t="n">
        <v>24100.68</v>
      </c>
      <c r="H55" s="76" t="n">
        <f aca="false">F55-G55</f>
        <v>50748.02</v>
      </c>
      <c r="I55" s="77" t="n">
        <f aca="false">IF($A55=2025,VLOOKUP($E55,Premissas!$A$52:$P$56,2,0),IF($A55=2026,VLOOKUP($E55,Premissas!$A$52:$P$56,3,0),VLOOKUP($E55,Premissas!$A$52:$P$56,4,0)))</f>
        <v>0.34</v>
      </c>
      <c r="J55" s="76" t="n">
        <f aca="false">H55*(1-I55)</f>
        <v>33493.6932</v>
      </c>
      <c r="K55" s="76" t="n">
        <f aca="false">H55-J55</f>
        <v>17254.3268</v>
      </c>
      <c r="L55" s="78" t="n">
        <f aca="false">SUMIFS(Headcount_Folha!$I:$I,Headcount_Folha!$C:$C,$C55,Headcount_Folha!$D:$D,$E55)</f>
        <v>9576</v>
      </c>
      <c r="M55" s="76" t="n">
        <f aca="false">VLOOKUP($E55,Premissas!$A$52:$P$56,10,0)*(1+VLOOKUP($E55,Premissas!$A$52:$P$56,11,0))^($A55-2025)</f>
        <v>3135</v>
      </c>
      <c r="N55" s="76" t="n">
        <f aca="false">H55*VLOOKUP($E55,Premissas!$A$52:$P$56,7,0)</f>
        <v>1014.9604</v>
      </c>
      <c r="O55" s="76" t="n">
        <f aca="false">H55*VLOOKUP($E55,Premissas!$A$52:$P$56,8,0)</f>
        <v>1776.1807</v>
      </c>
      <c r="P55" s="76" t="n">
        <f aca="false">H55*VLOOKUP($E55,Premissas!$A$52:$P$56,9,0)</f>
        <v>1014.9604</v>
      </c>
      <c r="Q55" s="76" t="n">
        <f aca="false">K55-L55-M55-N55-O55-P55</f>
        <v>737.225300000001</v>
      </c>
    </row>
    <row r="56" customFormat="false" ht="15" hidden="false" customHeight="true" outlineLevel="0" collapsed="false">
      <c r="A56" s="18" t="n">
        <v>2026</v>
      </c>
      <c r="B56" s="18" t="n">
        <v>7</v>
      </c>
      <c r="C56" s="18" t="s">
        <v>166</v>
      </c>
      <c r="D56" s="74" t="n">
        <v>46204</v>
      </c>
      <c r="E56" s="18" t="s">
        <v>142</v>
      </c>
      <c r="F56" s="75" t="n">
        <v>85612.63</v>
      </c>
      <c r="G56" s="75" t="n">
        <v>29424.19</v>
      </c>
      <c r="H56" s="76" t="n">
        <f aca="false">F56-G56</f>
        <v>56188.44</v>
      </c>
      <c r="I56" s="77" t="n">
        <f aca="false">IF($A56=2025,VLOOKUP($E56,Premissas!$A$52:$P$56,2,0),IF($A56=2026,VLOOKUP($E56,Premissas!$A$52:$P$56,3,0),VLOOKUP($E56,Premissas!$A$52:$P$56,4,0)))</f>
        <v>0.34</v>
      </c>
      <c r="J56" s="76" t="n">
        <f aca="false">H56*(1-I56)</f>
        <v>37084.3704</v>
      </c>
      <c r="K56" s="76" t="n">
        <f aca="false">H56-J56</f>
        <v>19104.0696</v>
      </c>
      <c r="L56" s="78" t="n">
        <f aca="false">SUMIFS(Headcount_Folha!$I:$I,Headcount_Folha!$C:$C,$C56,Headcount_Folha!$D:$D,$E56)</f>
        <v>9576</v>
      </c>
      <c r="M56" s="76" t="n">
        <f aca="false">VLOOKUP($E56,Premissas!$A$52:$P$56,10,0)*(1+VLOOKUP($E56,Premissas!$A$52:$P$56,11,0))^($A56-2025)</f>
        <v>3135</v>
      </c>
      <c r="N56" s="76" t="n">
        <f aca="false">H56*VLOOKUP($E56,Premissas!$A$52:$P$56,7,0)</f>
        <v>1123.7688</v>
      </c>
      <c r="O56" s="76" t="n">
        <f aca="false">H56*VLOOKUP($E56,Premissas!$A$52:$P$56,8,0)</f>
        <v>1966.5954</v>
      </c>
      <c r="P56" s="76" t="n">
        <f aca="false">H56*VLOOKUP($E56,Premissas!$A$52:$P$56,9,0)</f>
        <v>1123.7688</v>
      </c>
      <c r="Q56" s="76" t="n">
        <f aca="false">K56-L56-M56-N56-O56-P56</f>
        <v>2178.9366</v>
      </c>
    </row>
    <row r="57" customFormat="false" ht="15" hidden="false" customHeight="true" outlineLevel="0" collapsed="false">
      <c r="A57" s="18" t="n">
        <v>2026</v>
      </c>
      <c r="B57" s="18" t="n">
        <v>8</v>
      </c>
      <c r="C57" s="18" t="s">
        <v>167</v>
      </c>
      <c r="D57" s="74" t="n">
        <v>46235</v>
      </c>
      <c r="E57" s="18" t="s">
        <v>142</v>
      </c>
      <c r="F57" s="75" t="n">
        <v>75233.36</v>
      </c>
      <c r="G57" s="75" t="n">
        <v>25592.38</v>
      </c>
      <c r="H57" s="76" t="n">
        <f aca="false">F57-G57</f>
        <v>49640.98</v>
      </c>
      <c r="I57" s="77" t="n">
        <f aca="false">IF($A57=2025,VLOOKUP($E57,Premissas!$A$52:$P$56,2,0),IF($A57=2026,VLOOKUP($E57,Premissas!$A$52:$P$56,3,0),VLOOKUP($E57,Premissas!$A$52:$P$56,4,0)))</f>
        <v>0.34</v>
      </c>
      <c r="J57" s="76" t="n">
        <f aca="false">H57*(1-I57)</f>
        <v>32763.0468</v>
      </c>
      <c r="K57" s="76" t="n">
        <f aca="false">H57-J57</f>
        <v>16877.9332</v>
      </c>
      <c r="L57" s="78" t="n">
        <f aca="false">SUMIFS(Headcount_Folha!$I:$I,Headcount_Folha!$C:$C,$C57,Headcount_Folha!$D:$D,$E57)</f>
        <v>9576</v>
      </c>
      <c r="M57" s="76" t="n">
        <f aca="false">VLOOKUP($E57,Premissas!$A$52:$P$56,10,0)*(1+VLOOKUP($E57,Premissas!$A$52:$P$56,11,0))^($A57-2025)</f>
        <v>3135</v>
      </c>
      <c r="N57" s="76" t="n">
        <f aca="false">H57*VLOOKUP($E57,Premissas!$A$52:$P$56,7,0)</f>
        <v>992.8196</v>
      </c>
      <c r="O57" s="76" t="n">
        <f aca="false">H57*VLOOKUP($E57,Premissas!$A$52:$P$56,8,0)</f>
        <v>1737.4343</v>
      </c>
      <c r="P57" s="76" t="n">
        <f aca="false">H57*VLOOKUP($E57,Premissas!$A$52:$P$56,9,0)</f>
        <v>992.8196</v>
      </c>
      <c r="Q57" s="76" t="n">
        <f aca="false">K57-L57-M57-N57-O57-P57</f>
        <v>443.859700000001</v>
      </c>
    </row>
    <row r="58" customFormat="false" ht="15" hidden="false" customHeight="true" outlineLevel="0" collapsed="false">
      <c r="A58" s="18" t="n">
        <v>2026</v>
      </c>
      <c r="B58" s="18" t="n">
        <v>9</v>
      </c>
      <c r="C58" s="18" t="s">
        <v>168</v>
      </c>
      <c r="D58" s="74" t="n">
        <v>46266</v>
      </c>
      <c r="E58" s="18" t="s">
        <v>142</v>
      </c>
      <c r="F58" s="75" t="n">
        <v>89865.35</v>
      </c>
      <c r="G58" s="75" t="n">
        <v>30459.73</v>
      </c>
      <c r="H58" s="76" t="n">
        <f aca="false">F58-G58</f>
        <v>59405.62</v>
      </c>
      <c r="I58" s="77" t="n">
        <f aca="false">IF($A58=2025,VLOOKUP($E58,Premissas!$A$52:$P$56,2,0),IF($A58=2026,VLOOKUP($E58,Premissas!$A$52:$P$56,3,0),VLOOKUP($E58,Premissas!$A$52:$P$56,4,0)))</f>
        <v>0.34</v>
      </c>
      <c r="J58" s="76" t="n">
        <f aca="false">H58*(1-I58)</f>
        <v>39207.7092</v>
      </c>
      <c r="K58" s="76" t="n">
        <f aca="false">H58-J58</f>
        <v>20197.9108</v>
      </c>
      <c r="L58" s="78" t="n">
        <f aca="false">SUMIFS(Headcount_Folha!$I:$I,Headcount_Folha!$C:$C,$C58,Headcount_Folha!$D:$D,$E58)</f>
        <v>9576</v>
      </c>
      <c r="M58" s="76" t="n">
        <f aca="false">VLOOKUP($E58,Premissas!$A$52:$P$56,10,0)*(1+VLOOKUP($E58,Premissas!$A$52:$P$56,11,0))^($A58-2025)</f>
        <v>3135</v>
      </c>
      <c r="N58" s="76" t="n">
        <f aca="false">H58*VLOOKUP($E58,Premissas!$A$52:$P$56,7,0)</f>
        <v>1188.1124</v>
      </c>
      <c r="O58" s="76" t="n">
        <f aca="false">H58*VLOOKUP($E58,Premissas!$A$52:$P$56,8,0)</f>
        <v>2079.1967</v>
      </c>
      <c r="P58" s="76" t="n">
        <f aca="false">H58*VLOOKUP($E58,Premissas!$A$52:$P$56,9,0)</f>
        <v>1188.1124</v>
      </c>
      <c r="Q58" s="76" t="n">
        <f aca="false">K58-L58-M58-N58-O58-P58</f>
        <v>3031.4893</v>
      </c>
    </row>
    <row r="59" customFormat="false" ht="15" hidden="false" customHeight="true" outlineLevel="0" collapsed="false">
      <c r="A59" s="18" t="n">
        <v>2026</v>
      </c>
      <c r="B59" s="18" t="n">
        <v>10</v>
      </c>
      <c r="C59" s="18" t="s">
        <v>169</v>
      </c>
      <c r="D59" s="74" t="n">
        <v>46296</v>
      </c>
      <c r="E59" s="18" t="s">
        <v>142</v>
      </c>
      <c r="F59" s="75" t="n">
        <v>57879.3</v>
      </c>
      <c r="G59" s="75" t="n">
        <v>19460.07</v>
      </c>
      <c r="H59" s="76" t="n">
        <f aca="false">F59-G59</f>
        <v>38419.23</v>
      </c>
      <c r="I59" s="77" t="n">
        <f aca="false">IF($A59=2025,VLOOKUP($E59,Premissas!$A$52:$P$56,2,0),IF($A59=2026,VLOOKUP($E59,Premissas!$A$52:$P$56,3,0),VLOOKUP($E59,Premissas!$A$52:$P$56,4,0)))</f>
        <v>0.34</v>
      </c>
      <c r="J59" s="76" t="n">
        <f aca="false">H59*(1-I59)</f>
        <v>25356.6918</v>
      </c>
      <c r="K59" s="76" t="n">
        <f aca="false">H59-J59</f>
        <v>13062.5382</v>
      </c>
      <c r="L59" s="78" t="n">
        <f aca="false">SUMIFS(Headcount_Folha!$I:$I,Headcount_Folha!$C:$C,$C59,Headcount_Folha!$D:$D,$E59)</f>
        <v>9576</v>
      </c>
      <c r="M59" s="76" t="n">
        <f aca="false">VLOOKUP($E59,Premissas!$A$52:$P$56,10,0)*(1+VLOOKUP($E59,Premissas!$A$52:$P$56,11,0))^($A59-2025)</f>
        <v>3135</v>
      </c>
      <c r="N59" s="76" t="n">
        <f aca="false">H59*VLOOKUP($E59,Premissas!$A$52:$P$56,7,0)</f>
        <v>768.3846</v>
      </c>
      <c r="O59" s="76" t="n">
        <f aca="false">H59*VLOOKUP($E59,Premissas!$A$52:$P$56,8,0)</f>
        <v>1344.67305</v>
      </c>
      <c r="P59" s="76" t="n">
        <f aca="false">H59*VLOOKUP($E59,Premissas!$A$52:$P$56,9,0)</f>
        <v>768.3846</v>
      </c>
      <c r="Q59" s="76" t="n">
        <f aca="false">K59-L59-M59-N59-O59-P59</f>
        <v>-2529.90405</v>
      </c>
    </row>
    <row r="60" customFormat="false" ht="15" hidden="false" customHeight="true" outlineLevel="0" collapsed="false">
      <c r="A60" s="18" t="n">
        <v>2026</v>
      </c>
      <c r="B60" s="18" t="n">
        <v>11</v>
      </c>
      <c r="C60" s="18" t="s">
        <v>170</v>
      </c>
      <c r="D60" s="74" t="n">
        <v>46327</v>
      </c>
      <c r="E60" s="18" t="s">
        <v>142</v>
      </c>
      <c r="F60" s="75" t="n">
        <v>91799.13</v>
      </c>
      <c r="G60" s="75" t="n">
        <v>30688.04</v>
      </c>
      <c r="H60" s="76" t="n">
        <f aca="false">F60-G60</f>
        <v>61111.09</v>
      </c>
      <c r="I60" s="77" t="n">
        <f aca="false">IF($A60=2025,VLOOKUP($E60,Premissas!$A$52:$P$56,2,0),IF($A60=2026,VLOOKUP($E60,Premissas!$A$52:$P$56,3,0),VLOOKUP($E60,Premissas!$A$52:$P$56,4,0)))</f>
        <v>0.34</v>
      </c>
      <c r="J60" s="76" t="n">
        <f aca="false">H60*(1-I60)</f>
        <v>40333.3194</v>
      </c>
      <c r="K60" s="76" t="n">
        <f aca="false">H60-J60</f>
        <v>20777.7706</v>
      </c>
      <c r="L60" s="78" t="n">
        <f aca="false">SUMIFS(Headcount_Folha!$I:$I,Headcount_Folha!$C:$C,$C60,Headcount_Folha!$D:$D,$E60)</f>
        <v>9576</v>
      </c>
      <c r="M60" s="76" t="n">
        <f aca="false">VLOOKUP($E60,Premissas!$A$52:$P$56,10,0)*(1+VLOOKUP($E60,Premissas!$A$52:$P$56,11,0))^($A60-2025)</f>
        <v>3135</v>
      </c>
      <c r="N60" s="76" t="n">
        <f aca="false">H60*VLOOKUP($E60,Premissas!$A$52:$P$56,7,0)</f>
        <v>1222.2218</v>
      </c>
      <c r="O60" s="76" t="n">
        <f aca="false">H60*VLOOKUP($E60,Premissas!$A$52:$P$56,8,0)</f>
        <v>2138.88815</v>
      </c>
      <c r="P60" s="76" t="n">
        <f aca="false">H60*VLOOKUP($E60,Premissas!$A$52:$P$56,9,0)</f>
        <v>1222.2218</v>
      </c>
      <c r="Q60" s="76" t="n">
        <f aca="false">K60-L60-M60-N60-O60-P60</f>
        <v>3483.43885</v>
      </c>
    </row>
    <row r="61" customFormat="false" ht="15" hidden="false" customHeight="true" outlineLevel="0" collapsed="false">
      <c r="A61" s="18" t="n">
        <v>2026</v>
      </c>
      <c r="B61" s="18" t="n">
        <v>12</v>
      </c>
      <c r="C61" s="18" t="s">
        <v>171</v>
      </c>
      <c r="D61" s="74" t="n">
        <v>46357</v>
      </c>
      <c r="E61" s="18" t="s">
        <v>142</v>
      </c>
      <c r="F61" s="75" t="n">
        <v>104153.83</v>
      </c>
      <c r="G61" s="75" t="n">
        <v>35215.17</v>
      </c>
      <c r="H61" s="76" t="n">
        <f aca="false">F61-G61</f>
        <v>68938.66</v>
      </c>
      <c r="I61" s="77" t="n">
        <f aca="false">IF($A61=2025,VLOOKUP($E61,Premissas!$A$52:$P$56,2,0),IF($A61=2026,VLOOKUP($E61,Premissas!$A$52:$P$56,3,0),VLOOKUP($E61,Premissas!$A$52:$P$56,4,0)))</f>
        <v>0.34</v>
      </c>
      <c r="J61" s="76" t="n">
        <f aca="false">H61*(1-I61)</f>
        <v>45499.5156</v>
      </c>
      <c r="K61" s="76" t="n">
        <f aca="false">H61-J61</f>
        <v>23439.1444</v>
      </c>
      <c r="L61" s="78" t="n">
        <f aca="false">SUMIFS(Headcount_Folha!$I:$I,Headcount_Folha!$C:$C,$C61,Headcount_Folha!$D:$D,$E61)</f>
        <v>9576</v>
      </c>
      <c r="M61" s="76" t="n">
        <f aca="false">VLOOKUP($E61,Premissas!$A$52:$P$56,10,0)*(1+VLOOKUP($E61,Premissas!$A$52:$P$56,11,0))^($A61-2025)</f>
        <v>3135</v>
      </c>
      <c r="N61" s="76" t="n">
        <f aca="false">H61*VLOOKUP($E61,Premissas!$A$52:$P$56,7,0)</f>
        <v>1378.7732</v>
      </c>
      <c r="O61" s="76" t="n">
        <f aca="false">H61*VLOOKUP($E61,Premissas!$A$52:$P$56,8,0)</f>
        <v>2412.8531</v>
      </c>
      <c r="P61" s="76" t="n">
        <f aca="false">H61*VLOOKUP($E61,Premissas!$A$52:$P$56,9,0)</f>
        <v>1378.7732</v>
      </c>
      <c r="Q61" s="76" t="n">
        <f aca="false">K61-L61-M61-N61-O61-P61</f>
        <v>5557.7449</v>
      </c>
    </row>
    <row r="62" customFormat="false" ht="15" hidden="false" customHeight="true" outlineLevel="0" collapsed="false">
      <c r="A62" s="18" t="n">
        <v>2027</v>
      </c>
      <c r="B62" s="18" t="n">
        <v>1</v>
      </c>
      <c r="C62" s="18" t="s">
        <v>172</v>
      </c>
      <c r="D62" s="74" t="n">
        <v>46388</v>
      </c>
      <c r="E62" s="18" t="s">
        <v>142</v>
      </c>
      <c r="F62" s="76" t="n">
        <f aca="false">F50*(1+VLOOKUP($E62,Premissas!$A$52:$P$56,6,0))</f>
        <v>65858.058</v>
      </c>
      <c r="G62" s="76" t="n">
        <f aca="false">F62*VLOOKUP($E62,Premissas!$A$52:$P$56,5,0)</f>
        <v>22661.7577578</v>
      </c>
      <c r="H62" s="76" t="n">
        <f aca="false">F62-G62</f>
        <v>43196.3002422</v>
      </c>
      <c r="I62" s="77" t="n">
        <f aca="false">IF($A62=2025,VLOOKUP($E62,Premissas!$A$52:$P$56,2,0),IF($A62=2026,VLOOKUP($E62,Premissas!$A$52:$P$56,3,0),VLOOKUP($E62,Premissas!$A$52:$P$56,4,0)))</f>
        <v>0.32</v>
      </c>
      <c r="J62" s="76" t="n">
        <f aca="false">H62*(1-I62)</f>
        <v>29373.484164696</v>
      </c>
      <c r="K62" s="76" t="n">
        <f aca="false">H62-J62</f>
        <v>13822.816077504</v>
      </c>
      <c r="L62" s="78" t="n">
        <f aca="false">SUMIFS(Headcount_Folha!$I:$I,Headcount_Folha!$C:$C,$C62,Headcount_Folha!$D:$D,$E62)</f>
        <v>12768</v>
      </c>
      <c r="M62" s="76" t="n">
        <f aca="false">VLOOKUP($E62,Premissas!$A$52:$P$56,10,0)*(1+VLOOKUP($E62,Premissas!$A$52:$P$56,11,0))^($A62-2025)</f>
        <v>3276.075</v>
      </c>
      <c r="N62" s="76" t="n">
        <f aca="false">H62*VLOOKUP($E62,Premissas!$A$52:$P$56,7,0)</f>
        <v>863.926004844</v>
      </c>
      <c r="O62" s="76" t="n">
        <f aca="false">H62*VLOOKUP($E62,Premissas!$A$52:$P$56,8,0)</f>
        <v>1511.870508477</v>
      </c>
      <c r="P62" s="76" t="n">
        <f aca="false">H62*VLOOKUP($E62,Premissas!$A$52:$P$56,9,0)</f>
        <v>863.926004844</v>
      </c>
      <c r="Q62" s="76" t="n">
        <f aca="false">K62-L62-M62-N62-O62-P62</f>
        <v>-5460.981440661</v>
      </c>
    </row>
    <row r="63" customFormat="false" ht="15" hidden="false" customHeight="true" outlineLevel="0" collapsed="false">
      <c r="A63" s="18" t="n">
        <v>2027</v>
      </c>
      <c r="B63" s="18" t="n">
        <v>2</v>
      </c>
      <c r="C63" s="18" t="s">
        <v>173</v>
      </c>
      <c r="D63" s="74" t="n">
        <v>46419</v>
      </c>
      <c r="E63" s="18" t="s">
        <v>142</v>
      </c>
      <c r="F63" s="76" t="n">
        <f aca="false">F51*(1+VLOOKUP($E63,Premissas!$A$52:$P$56,6,0))</f>
        <v>51276.8445</v>
      </c>
      <c r="G63" s="76" t="n">
        <f aca="false">F63*VLOOKUP($E63,Premissas!$A$52:$P$56,5,0)</f>
        <v>17644.36219245</v>
      </c>
      <c r="H63" s="76" t="n">
        <f aca="false">F63-G63</f>
        <v>33632.48230755</v>
      </c>
      <c r="I63" s="77" t="n">
        <f aca="false">IF($A63=2025,VLOOKUP($E63,Premissas!$A$52:$P$56,2,0),IF($A63=2026,VLOOKUP($E63,Premissas!$A$52:$P$56,3,0),VLOOKUP($E63,Premissas!$A$52:$P$56,4,0)))</f>
        <v>0.32</v>
      </c>
      <c r="J63" s="76" t="n">
        <f aca="false">H63*(1-I63)</f>
        <v>22870.087969134</v>
      </c>
      <c r="K63" s="76" t="n">
        <f aca="false">H63-J63</f>
        <v>10762.394338416</v>
      </c>
      <c r="L63" s="78" t="n">
        <f aca="false">SUMIFS(Headcount_Folha!$I:$I,Headcount_Folha!$C:$C,$C63,Headcount_Folha!$D:$D,$E63)</f>
        <v>12768</v>
      </c>
      <c r="M63" s="76" t="n">
        <f aca="false">VLOOKUP($E63,Premissas!$A$52:$P$56,10,0)*(1+VLOOKUP($E63,Premissas!$A$52:$P$56,11,0))^($A63-2025)</f>
        <v>3276.075</v>
      </c>
      <c r="N63" s="76" t="n">
        <f aca="false">H63*VLOOKUP($E63,Premissas!$A$52:$P$56,7,0)</f>
        <v>672.649646151</v>
      </c>
      <c r="O63" s="76" t="n">
        <f aca="false">H63*VLOOKUP($E63,Premissas!$A$52:$P$56,8,0)</f>
        <v>1177.13688076425</v>
      </c>
      <c r="P63" s="76" t="n">
        <f aca="false">H63*VLOOKUP($E63,Premissas!$A$52:$P$56,9,0)</f>
        <v>672.649646151</v>
      </c>
      <c r="Q63" s="76" t="n">
        <f aca="false">K63-L63-M63-N63-O63-P63</f>
        <v>-7804.11683465025</v>
      </c>
    </row>
    <row r="64" customFormat="false" ht="15" hidden="false" customHeight="true" outlineLevel="0" collapsed="false">
      <c r="A64" s="18" t="n">
        <v>2027</v>
      </c>
      <c r="B64" s="18" t="n">
        <v>3</v>
      </c>
      <c r="C64" s="18" t="s">
        <v>174</v>
      </c>
      <c r="D64" s="74" t="n">
        <v>46447</v>
      </c>
      <c r="E64" s="18" t="s">
        <v>142</v>
      </c>
      <c r="F64" s="76" t="n">
        <f aca="false">F52*(1+VLOOKUP($E64,Premissas!$A$52:$P$56,6,0))</f>
        <v>85718.178</v>
      </c>
      <c r="G64" s="76" t="n">
        <f aca="false">F64*VLOOKUP($E64,Premissas!$A$52:$P$56,5,0)</f>
        <v>29495.6250498</v>
      </c>
      <c r="H64" s="76" t="n">
        <f aca="false">F64-G64</f>
        <v>56222.5529502</v>
      </c>
      <c r="I64" s="77" t="n">
        <f aca="false">IF($A64=2025,VLOOKUP($E64,Premissas!$A$52:$P$56,2,0),IF($A64=2026,VLOOKUP($E64,Premissas!$A$52:$P$56,3,0),VLOOKUP($E64,Premissas!$A$52:$P$56,4,0)))</f>
        <v>0.32</v>
      </c>
      <c r="J64" s="76" t="n">
        <f aca="false">H64*(1-I64)</f>
        <v>38231.336006136</v>
      </c>
      <c r="K64" s="76" t="n">
        <f aca="false">H64-J64</f>
        <v>17991.216944064</v>
      </c>
      <c r="L64" s="78" t="n">
        <f aca="false">SUMIFS(Headcount_Folha!$I:$I,Headcount_Folha!$C:$C,$C64,Headcount_Folha!$D:$D,$E64)</f>
        <v>12768</v>
      </c>
      <c r="M64" s="76" t="n">
        <f aca="false">VLOOKUP($E64,Premissas!$A$52:$P$56,10,0)*(1+VLOOKUP($E64,Premissas!$A$52:$P$56,11,0))^($A64-2025)</f>
        <v>3276.075</v>
      </c>
      <c r="N64" s="76" t="n">
        <f aca="false">H64*VLOOKUP($E64,Premissas!$A$52:$P$56,7,0)</f>
        <v>1124.451059004</v>
      </c>
      <c r="O64" s="76" t="n">
        <f aca="false">H64*VLOOKUP($E64,Premissas!$A$52:$P$56,8,0)</f>
        <v>1967.789353257</v>
      </c>
      <c r="P64" s="76" t="n">
        <f aca="false">H64*VLOOKUP($E64,Premissas!$A$52:$P$56,9,0)</f>
        <v>1124.451059004</v>
      </c>
      <c r="Q64" s="76" t="n">
        <f aca="false">K64-L64-M64-N64-O64-P64</f>
        <v>-2269.549527201</v>
      </c>
    </row>
    <row r="65" customFormat="false" ht="15" hidden="false" customHeight="true" outlineLevel="0" collapsed="false">
      <c r="A65" s="18" t="n">
        <v>2027</v>
      </c>
      <c r="B65" s="18" t="n">
        <v>4</v>
      </c>
      <c r="C65" s="18" t="s">
        <v>175</v>
      </c>
      <c r="D65" s="74" t="n">
        <v>46478</v>
      </c>
      <c r="E65" s="18" t="s">
        <v>142</v>
      </c>
      <c r="F65" s="76" t="n">
        <f aca="false">F53*(1+VLOOKUP($E65,Premissas!$A$52:$P$56,6,0))</f>
        <v>56689.542</v>
      </c>
      <c r="G65" s="76" t="n">
        <f aca="false">F65*VLOOKUP($E65,Premissas!$A$52:$P$56,5,0)</f>
        <v>19506.8714022</v>
      </c>
      <c r="H65" s="76" t="n">
        <f aca="false">F65-G65</f>
        <v>37182.6705978</v>
      </c>
      <c r="I65" s="77" t="n">
        <f aca="false">IF($A65=2025,VLOOKUP($E65,Premissas!$A$52:$P$56,2,0),IF($A65=2026,VLOOKUP($E65,Premissas!$A$52:$P$56,3,0),VLOOKUP($E65,Premissas!$A$52:$P$56,4,0)))</f>
        <v>0.32</v>
      </c>
      <c r="J65" s="76" t="n">
        <f aca="false">H65*(1-I65)</f>
        <v>25284.216006504</v>
      </c>
      <c r="K65" s="76" t="n">
        <f aca="false">H65-J65</f>
        <v>11898.454591296</v>
      </c>
      <c r="L65" s="78" t="n">
        <f aca="false">SUMIFS(Headcount_Folha!$I:$I,Headcount_Folha!$C:$C,$C65,Headcount_Folha!$D:$D,$E65)</f>
        <v>12768</v>
      </c>
      <c r="M65" s="76" t="n">
        <f aca="false">VLOOKUP($E65,Premissas!$A$52:$P$56,10,0)*(1+VLOOKUP($E65,Premissas!$A$52:$P$56,11,0))^($A65-2025)</f>
        <v>3276.075</v>
      </c>
      <c r="N65" s="76" t="n">
        <f aca="false">H65*VLOOKUP($E65,Premissas!$A$52:$P$56,7,0)</f>
        <v>743.653411956</v>
      </c>
      <c r="O65" s="76" t="n">
        <f aca="false">H65*VLOOKUP($E65,Premissas!$A$52:$P$56,8,0)</f>
        <v>1301.393470923</v>
      </c>
      <c r="P65" s="76" t="n">
        <f aca="false">H65*VLOOKUP($E65,Premissas!$A$52:$P$56,9,0)</f>
        <v>743.653411956</v>
      </c>
      <c r="Q65" s="76" t="n">
        <f aca="false">K65-L65-M65-N65-O65-P65</f>
        <v>-6934.320703539</v>
      </c>
    </row>
    <row r="66" customFormat="false" ht="15" hidden="false" customHeight="true" outlineLevel="0" collapsed="false">
      <c r="A66" s="18" t="n">
        <v>2027</v>
      </c>
      <c r="B66" s="18" t="n">
        <v>5</v>
      </c>
      <c r="C66" s="18" t="s">
        <v>176</v>
      </c>
      <c r="D66" s="74" t="n">
        <v>46508</v>
      </c>
      <c r="E66" s="18" t="s">
        <v>142</v>
      </c>
      <c r="F66" s="76" t="n">
        <f aca="false">F54*(1+VLOOKUP($E66,Premissas!$A$52:$P$56,6,0))</f>
        <v>82491.759</v>
      </c>
      <c r="G66" s="76" t="n">
        <f aca="false">F66*VLOOKUP($E66,Premissas!$A$52:$P$56,5,0)</f>
        <v>28385.4142719</v>
      </c>
      <c r="H66" s="76" t="n">
        <f aca="false">F66-G66</f>
        <v>54106.3447281</v>
      </c>
      <c r="I66" s="77" t="n">
        <f aca="false">IF($A66=2025,VLOOKUP($E66,Premissas!$A$52:$P$56,2,0),IF($A66=2026,VLOOKUP($E66,Premissas!$A$52:$P$56,3,0),VLOOKUP($E66,Premissas!$A$52:$P$56,4,0)))</f>
        <v>0.32</v>
      </c>
      <c r="J66" s="76" t="n">
        <f aca="false">H66*(1-I66)</f>
        <v>36792.314415108</v>
      </c>
      <c r="K66" s="76" t="n">
        <f aca="false">H66-J66</f>
        <v>17314.030312992</v>
      </c>
      <c r="L66" s="78" t="n">
        <f aca="false">SUMIFS(Headcount_Folha!$I:$I,Headcount_Folha!$C:$C,$C66,Headcount_Folha!$D:$D,$E66)</f>
        <v>12768</v>
      </c>
      <c r="M66" s="76" t="n">
        <f aca="false">VLOOKUP($E66,Premissas!$A$52:$P$56,10,0)*(1+VLOOKUP($E66,Premissas!$A$52:$P$56,11,0))^($A66-2025)</f>
        <v>3276.075</v>
      </c>
      <c r="N66" s="76" t="n">
        <f aca="false">H66*VLOOKUP($E66,Premissas!$A$52:$P$56,7,0)</f>
        <v>1082.126894562</v>
      </c>
      <c r="O66" s="76" t="n">
        <f aca="false">H66*VLOOKUP($E66,Premissas!$A$52:$P$56,8,0)</f>
        <v>1893.7220654835</v>
      </c>
      <c r="P66" s="76" t="n">
        <f aca="false">H66*VLOOKUP($E66,Premissas!$A$52:$P$56,9,0)</f>
        <v>1082.126894562</v>
      </c>
      <c r="Q66" s="76" t="n">
        <f aca="false">K66-L66-M66-N66-O66-P66</f>
        <v>-2788.0205416155</v>
      </c>
    </row>
    <row r="67" customFormat="false" ht="15" hidden="false" customHeight="true" outlineLevel="0" collapsed="false">
      <c r="A67" s="18" t="n">
        <v>2027</v>
      </c>
      <c r="B67" s="18" t="n">
        <v>6</v>
      </c>
      <c r="C67" s="18" t="s">
        <v>177</v>
      </c>
      <c r="D67" s="74" t="n">
        <v>46539</v>
      </c>
      <c r="E67" s="18" t="s">
        <v>142</v>
      </c>
      <c r="F67" s="76" t="n">
        <f aca="false">F55*(1+VLOOKUP($E67,Premissas!$A$52:$P$56,6,0))</f>
        <v>78591.135</v>
      </c>
      <c r="G67" s="76" t="n">
        <f aca="false">F67*VLOOKUP($E67,Premissas!$A$52:$P$56,5,0)</f>
        <v>27043.2095535</v>
      </c>
      <c r="H67" s="76" t="n">
        <f aca="false">F67-G67</f>
        <v>51547.9254465</v>
      </c>
      <c r="I67" s="77" t="n">
        <f aca="false">IF($A67=2025,VLOOKUP($E67,Premissas!$A$52:$P$56,2,0),IF($A67=2026,VLOOKUP($E67,Premissas!$A$52:$P$56,3,0),VLOOKUP($E67,Premissas!$A$52:$P$56,4,0)))</f>
        <v>0.32</v>
      </c>
      <c r="J67" s="76" t="n">
        <f aca="false">H67*(1-I67)</f>
        <v>35052.58930362</v>
      </c>
      <c r="K67" s="76" t="n">
        <f aca="false">H67-J67</f>
        <v>16495.33614288</v>
      </c>
      <c r="L67" s="78" t="n">
        <f aca="false">SUMIFS(Headcount_Folha!$I:$I,Headcount_Folha!$C:$C,$C67,Headcount_Folha!$D:$D,$E67)</f>
        <v>12768</v>
      </c>
      <c r="M67" s="76" t="n">
        <f aca="false">VLOOKUP($E67,Premissas!$A$52:$P$56,10,0)*(1+VLOOKUP($E67,Premissas!$A$52:$P$56,11,0))^($A67-2025)</f>
        <v>3276.075</v>
      </c>
      <c r="N67" s="76" t="n">
        <f aca="false">H67*VLOOKUP($E67,Premissas!$A$52:$P$56,7,0)</f>
        <v>1030.95850893</v>
      </c>
      <c r="O67" s="76" t="n">
        <f aca="false">H67*VLOOKUP($E67,Premissas!$A$52:$P$56,8,0)</f>
        <v>1804.1773906275</v>
      </c>
      <c r="P67" s="76" t="n">
        <f aca="false">H67*VLOOKUP($E67,Premissas!$A$52:$P$56,9,0)</f>
        <v>1030.95850893</v>
      </c>
      <c r="Q67" s="76" t="n">
        <f aca="false">K67-L67-M67-N67-O67-P67</f>
        <v>-3414.8332656075</v>
      </c>
    </row>
    <row r="68" customFormat="false" ht="15" hidden="false" customHeight="true" outlineLevel="0" collapsed="false">
      <c r="A68" s="18" t="n">
        <v>2027</v>
      </c>
      <c r="B68" s="18" t="n">
        <v>7</v>
      </c>
      <c r="C68" s="18" t="s">
        <v>178</v>
      </c>
      <c r="D68" s="74" t="n">
        <v>46569</v>
      </c>
      <c r="E68" s="18" t="s">
        <v>142</v>
      </c>
      <c r="F68" s="76" t="n">
        <f aca="false">F56*(1+VLOOKUP($E68,Premissas!$A$52:$P$56,6,0))</f>
        <v>89893.2615</v>
      </c>
      <c r="G68" s="76" t="n">
        <f aca="false">F68*VLOOKUP($E68,Premissas!$A$52:$P$56,5,0)</f>
        <v>30932.27128215</v>
      </c>
      <c r="H68" s="76" t="n">
        <f aca="false">F68-G68</f>
        <v>58960.99021785</v>
      </c>
      <c r="I68" s="77" t="n">
        <f aca="false">IF($A68=2025,VLOOKUP($E68,Premissas!$A$52:$P$56,2,0),IF($A68=2026,VLOOKUP($E68,Premissas!$A$52:$P$56,3,0),VLOOKUP($E68,Premissas!$A$52:$P$56,4,0)))</f>
        <v>0.32</v>
      </c>
      <c r="J68" s="76" t="n">
        <f aca="false">H68*(1-I68)</f>
        <v>40093.473348138</v>
      </c>
      <c r="K68" s="76" t="n">
        <f aca="false">H68-J68</f>
        <v>18867.516869712</v>
      </c>
      <c r="L68" s="78" t="n">
        <f aca="false">SUMIFS(Headcount_Folha!$I:$I,Headcount_Folha!$C:$C,$C68,Headcount_Folha!$D:$D,$E68)</f>
        <v>12768</v>
      </c>
      <c r="M68" s="76" t="n">
        <f aca="false">VLOOKUP($E68,Premissas!$A$52:$P$56,10,0)*(1+VLOOKUP($E68,Premissas!$A$52:$P$56,11,0))^($A68-2025)</f>
        <v>3276.075</v>
      </c>
      <c r="N68" s="76" t="n">
        <f aca="false">H68*VLOOKUP($E68,Premissas!$A$52:$P$56,7,0)</f>
        <v>1179.219804357</v>
      </c>
      <c r="O68" s="76" t="n">
        <f aca="false">H68*VLOOKUP($E68,Premissas!$A$52:$P$56,8,0)</f>
        <v>2063.63465762475</v>
      </c>
      <c r="P68" s="76" t="n">
        <f aca="false">H68*VLOOKUP($E68,Premissas!$A$52:$P$56,9,0)</f>
        <v>1179.219804357</v>
      </c>
      <c r="Q68" s="76" t="n">
        <f aca="false">K68-L68-M68-N68-O68-P68</f>
        <v>-1598.63239662675</v>
      </c>
    </row>
    <row r="69" customFormat="false" ht="15" hidden="false" customHeight="true" outlineLevel="0" collapsed="false">
      <c r="A69" s="18" t="n">
        <v>2027</v>
      </c>
      <c r="B69" s="18" t="n">
        <v>8</v>
      </c>
      <c r="C69" s="18" t="s">
        <v>179</v>
      </c>
      <c r="D69" s="74" t="n">
        <v>46600</v>
      </c>
      <c r="E69" s="18" t="s">
        <v>142</v>
      </c>
      <c r="F69" s="76" t="n">
        <f aca="false">F57*(1+VLOOKUP($E69,Premissas!$A$52:$P$56,6,0))</f>
        <v>78995.028</v>
      </c>
      <c r="G69" s="76" t="n">
        <f aca="false">F69*VLOOKUP($E69,Premissas!$A$52:$P$56,5,0)</f>
        <v>27182.1891348</v>
      </c>
      <c r="H69" s="76" t="n">
        <f aca="false">F69-G69</f>
        <v>51812.8388652</v>
      </c>
      <c r="I69" s="77" t="n">
        <f aca="false">IF($A69=2025,VLOOKUP($E69,Premissas!$A$52:$P$56,2,0),IF($A69=2026,VLOOKUP($E69,Premissas!$A$52:$P$56,3,0),VLOOKUP($E69,Premissas!$A$52:$P$56,4,0)))</f>
        <v>0.32</v>
      </c>
      <c r="J69" s="76" t="n">
        <f aca="false">H69*(1-I69)</f>
        <v>35232.730428336</v>
      </c>
      <c r="K69" s="76" t="n">
        <f aca="false">H69-J69</f>
        <v>16580.108436864</v>
      </c>
      <c r="L69" s="78" t="n">
        <f aca="false">SUMIFS(Headcount_Folha!$I:$I,Headcount_Folha!$C:$C,$C69,Headcount_Folha!$D:$D,$E69)</f>
        <v>12768</v>
      </c>
      <c r="M69" s="76" t="n">
        <f aca="false">VLOOKUP($E69,Premissas!$A$52:$P$56,10,0)*(1+VLOOKUP($E69,Premissas!$A$52:$P$56,11,0))^($A69-2025)</f>
        <v>3276.075</v>
      </c>
      <c r="N69" s="76" t="n">
        <f aca="false">H69*VLOOKUP($E69,Premissas!$A$52:$P$56,7,0)</f>
        <v>1036.256777304</v>
      </c>
      <c r="O69" s="76" t="n">
        <f aca="false">H69*VLOOKUP($E69,Premissas!$A$52:$P$56,8,0)</f>
        <v>1813.449360282</v>
      </c>
      <c r="P69" s="76" t="n">
        <f aca="false">H69*VLOOKUP($E69,Premissas!$A$52:$P$56,9,0)</f>
        <v>1036.256777304</v>
      </c>
      <c r="Q69" s="76" t="n">
        <f aca="false">K69-L69-M69-N69-O69-P69</f>
        <v>-3349.929478026</v>
      </c>
    </row>
    <row r="70" customFormat="false" ht="15" hidden="false" customHeight="true" outlineLevel="0" collapsed="false">
      <c r="A70" s="18" t="n">
        <v>2027</v>
      </c>
      <c r="B70" s="18" t="n">
        <v>9</v>
      </c>
      <c r="C70" s="18" t="s">
        <v>180</v>
      </c>
      <c r="D70" s="74" t="n">
        <v>46631</v>
      </c>
      <c r="E70" s="18" t="s">
        <v>142</v>
      </c>
      <c r="F70" s="76" t="n">
        <f aca="false">F58*(1+VLOOKUP($E70,Premissas!$A$52:$P$56,6,0))</f>
        <v>94358.6175</v>
      </c>
      <c r="G70" s="76" t="n">
        <f aca="false">F70*VLOOKUP($E70,Premissas!$A$52:$P$56,5,0)</f>
        <v>32468.80028175</v>
      </c>
      <c r="H70" s="76" t="n">
        <f aca="false">F70-G70</f>
        <v>61889.81721825</v>
      </c>
      <c r="I70" s="77" t="n">
        <f aca="false">IF($A70=2025,VLOOKUP($E70,Premissas!$A$52:$P$56,2,0),IF($A70=2026,VLOOKUP($E70,Premissas!$A$52:$P$56,3,0),VLOOKUP($E70,Premissas!$A$52:$P$56,4,0)))</f>
        <v>0.32</v>
      </c>
      <c r="J70" s="76" t="n">
        <f aca="false">H70*(1-I70)</f>
        <v>42085.07570841</v>
      </c>
      <c r="K70" s="76" t="n">
        <f aca="false">H70-J70</f>
        <v>19804.74150984</v>
      </c>
      <c r="L70" s="78" t="n">
        <f aca="false">SUMIFS(Headcount_Folha!$I:$I,Headcount_Folha!$C:$C,$C70,Headcount_Folha!$D:$D,$E70)</f>
        <v>12768</v>
      </c>
      <c r="M70" s="76" t="n">
        <f aca="false">VLOOKUP($E70,Premissas!$A$52:$P$56,10,0)*(1+VLOOKUP($E70,Premissas!$A$52:$P$56,11,0))^($A70-2025)</f>
        <v>3276.075</v>
      </c>
      <c r="N70" s="76" t="n">
        <f aca="false">H70*VLOOKUP($E70,Premissas!$A$52:$P$56,7,0)</f>
        <v>1237.796344365</v>
      </c>
      <c r="O70" s="76" t="n">
        <f aca="false">H70*VLOOKUP($E70,Premissas!$A$52:$P$56,8,0)</f>
        <v>2166.14360263875</v>
      </c>
      <c r="P70" s="76" t="n">
        <f aca="false">H70*VLOOKUP($E70,Premissas!$A$52:$P$56,9,0)</f>
        <v>1237.796344365</v>
      </c>
      <c r="Q70" s="76" t="n">
        <f aca="false">K70-L70-M70-N70-O70-P70</f>
        <v>-881.06978152875</v>
      </c>
    </row>
    <row r="71" customFormat="false" ht="15" hidden="false" customHeight="true" outlineLevel="0" collapsed="false">
      <c r="A71" s="18" t="n">
        <v>2027</v>
      </c>
      <c r="B71" s="18" t="n">
        <v>10</v>
      </c>
      <c r="C71" s="18" t="s">
        <v>181</v>
      </c>
      <c r="D71" s="74" t="n">
        <v>46661</v>
      </c>
      <c r="E71" s="18" t="s">
        <v>142</v>
      </c>
      <c r="F71" s="76" t="n">
        <f aca="false">F59*(1+VLOOKUP($E71,Premissas!$A$52:$P$56,6,0))</f>
        <v>60773.265</v>
      </c>
      <c r="G71" s="76" t="n">
        <f aca="false">F71*VLOOKUP($E71,Premissas!$A$52:$P$56,5,0)</f>
        <v>20912.0804865</v>
      </c>
      <c r="H71" s="76" t="n">
        <f aca="false">F71-G71</f>
        <v>39861.1845135</v>
      </c>
      <c r="I71" s="77" t="n">
        <f aca="false">IF($A71=2025,VLOOKUP($E71,Premissas!$A$52:$P$56,2,0),IF($A71=2026,VLOOKUP($E71,Premissas!$A$52:$P$56,3,0),VLOOKUP($E71,Premissas!$A$52:$P$56,4,0)))</f>
        <v>0.32</v>
      </c>
      <c r="J71" s="76" t="n">
        <f aca="false">H71*(1-I71)</f>
        <v>27105.60546918</v>
      </c>
      <c r="K71" s="76" t="n">
        <f aca="false">H71-J71</f>
        <v>12755.57904432</v>
      </c>
      <c r="L71" s="78" t="n">
        <f aca="false">SUMIFS(Headcount_Folha!$I:$I,Headcount_Folha!$C:$C,$C71,Headcount_Folha!$D:$D,$E71)</f>
        <v>12768</v>
      </c>
      <c r="M71" s="76" t="n">
        <f aca="false">VLOOKUP($E71,Premissas!$A$52:$P$56,10,0)*(1+VLOOKUP($E71,Premissas!$A$52:$P$56,11,0))^($A71-2025)</f>
        <v>3276.075</v>
      </c>
      <c r="N71" s="76" t="n">
        <f aca="false">H71*VLOOKUP($E71,Premissas!$A$52:$P$56,7,0)</f>
        <v>797.22369027</v>
      </c>
      <c r="O71" s="76" t="n">
        <f aca="false">H71*VLOOKUP($E71,Premissas!$A$52:$P$56,8,0)</f>
        <v>1395.1414579725</v>
      </c>
      <c r="P71" s="76" t="n">
        <f aca="false">H71*VLOOKUP($E71,Premissas!$A$52:$P$56,9,0)</f>
        <v>797.22369027</v>
      </c>
      <c r="Q71" s="76" t="n">
        <f aca="false">K71-L71-M71-N71-O71-P71</f>
        <v>-6278.0847941925</v>
      </c>
    </row>
    <row r="72" customFormat="false" ht="15" hidden="false" customHeight="true" outlineLevel="0" collapsed="false">
      <c r="A72" s="18" t="n">
        <v>2027</v>
      </c>
      <c r="B72" s="18" t="n">
        <v>11</v>
      </c>
      <c r="C72" s="18" t="s">
        <v>182</v>
      </c>
      <c r="D72" s="74" t="n">
        <v>46692</v>
      </c>
      <c r="E72" s="18" t="s">
        <v>142</v>
      </c>
      <c r="F72" s="76" t="n">
        <f aca="false">F60*(1+VLOOKUP($E72,Premissas!$A$52:$P$56,6,0))</f>
        <v>96389.0865</v>
      </c>
      <c r="G72" s="76" t="n">
        <f aca="false">F72*VLOOKUP($E72,Premissas!$A$52:$P$56,5,0)</f>
        <v>33167.48466465</v>
      </c>
      <c r="H72" s="76" t="n">
        <f aca="false">F72-G72</f>
        <v>63221.60183535</v>
      </c>
      <c r="I72" s="77" t="n">
        <f aca="false">IF($A72=2025,VLOOKUP($E72,Premissas!$A$52:$P$56,2,0),IF($A72=2026,VLOOKUP($E72,Premissas!$A$52:$P$56,3,0),VLOOKUP($E72,Premissas!$A$52:$P$56,4,0)))</f>
        <v>0.32</v>
      </c>
      <c r="J72" s="76" t="n">
        <f aca="false">H72*(1-I72)</f>
        <v>42990.689248038</v>
      </c>
      <c r="K72" s="76" t="n">
        <f aca="false">H72-J72</f>
        <v>20230.912587312</v>
      </c>
      <c r="L72" s="78" t="n">
        <f aca="false">SUMIFS(Headcount_Folha!$I:$I,Headcount_Folha!$C:$C,$C72,Headcount_Folha!$D:$D,$E72)</f>
        <v>12768</v>
      </c>
      <c r="M72" s="76" t="n">
        <f aca="false">VLOOKUP($E72,Premissas!$A$52:$P$56,10,0)*(1+VLOOKUP($E72,Premissas!$A$52:$P$56,11,0))^($A72-2025)</f>
        <v>3276.075</v>
      </c>
      <c r="N72" s="76" t="n">
        <f aca="false">H72*VLOOKUP($E72,Premissas!$A$52:$P$56,7,0)</f>
        <v>1264.432036707</v>
      </c>
      <c r="O72" s="76" t="n">
        <f aca="false">H72*VLOOKUP($E72,Premissas!$A$52:$P$56,8,0)</f>
        <v>2212.75606423725</v>
      </c>
      <c r="P72" s="76" t="n">
        <f aca="false">H72*VLOOKUP($E72,Premissas!$A$52:$P$56,9,0)</f>
        <v>1264.432036707</v>
      </c>
      <c r="Q72" s="76" t="n">
        <f aca="false">K72-L72-M72-N72-O72-P72</f>
        <v>-554.782550339245</v>
      </c>
    </row>
    <row r="73" customFormat="false" ht="15" hidden="false" customHeight="true" outlineLevel="0" collapsed="false">
      <c r="A73" s="18" t="n">
        <v>2027</v>
      </c>
      <c r="B73" s="18" t="n">
        <v>12</v>
      </c>
      <c r="C73" s="18" t="s">
        <v>183</v>
      </c>
      <c r="D73" s="74" t="n">
        <v>46722</v>
      </c>
      <c r="E73" s="18" t="s">
        <v>142</v>
      </c>
      <c r="F73" s="76" t="n">
        <f aca="false">F61*(1+VLOOKUP($E73,Premissas!$A$52:$P$56,6,0))</f>
        <v>109361.5215</v>
      </c>
      <c r="G73" s="76" t="n">
        <f aca="false">F73*VLOOKUP($E73,Premissas!$A$52:$P$56,5,0)</f>
        <v>37631.29954815</v>
      </c>
      <c r="H73" s="76" t="n">
        <f aca="false">F73-G73</f>
        <v>71730.22195185</v>
      </c>
      <c r="I73" s="77" t="n">
        <f aca="false">IF($A73=2025,VLOOKUP($E73,Premissas!$A$52:$P$56,2,0),IF($A73=2026,VLOOKUP($E73,Premissas!$A$52:$P$56,3,0),VLOOKUP($E73,Premissas!$A$52:$P$56,4,0)))</f>
        <v>0.32</v>
      </c>
      <c r="J73" s="76" t="n">
        <f aca="false">H73*(1-I73)</f>
        <v>48776.550927258</v>
      </c>
      <c r="K73" s="76" t="n">
        <f aca="false">H73-J73</f>
        <v>22953.671024592</v>
      </c>
      <c r="L73" s="78" t="n">
        <f aca="false">SUMIFS(Headcount_Folha!$I:$I,Headcount_Folha!$C:$C,$C73,Headcount_Folha!$D:$D,$E73)</f>
        <v>12768</v>
      </c>
      <c r="M73" s="76" t="n">
        <f aca="false">VLOOKUP($E73,Premissas!$A$52:$P$56,10,0)*(1+VLOOKUP($E73,Premissas!$A$52:$P$56,11,0))^($A73-2025)</f>
        <v>3276.075</v>
      </c>
      <c r="N73" s="76" t="n">
        <f aca="false">H73*VLOOKUP($E73,Premissas!$A$52:$P$56,7,0)</f>
        <v>1434.604439037</v>
      </c>
      <c r="O73" s="76" t="n">
        <f aca="false">H73*VLOOKUP($E73,Premissas!$A$52:$P$56,8,0)</f>
        <v>2510.55776831475</v>
      </c>
      <c r="P73" s="76" t="n">
        <f aca="false">H73*VLOOKUP($E73,Premissas!$A$52:$P$56,9,0)</f>
        <v>1434.604439037</v>
      </c>
      <c r="Q73" s="76" t="n">
        <f aca="false">K73-L73-M73-N73-O73-P73</f>
        <v>1529.82937820325</v>
      </c>
    </row>
    <row r="74" customFormat="false" ht="15" hidden="false" customHeight="true" outlineLevel="0" collapsed="false">
      <c r="A74" s="18" t="n">
        <v>2025</v>
      </c>
      <c r="B74" s="18" t="n">
        <v>1</v>
      </c>
      <c r="C74" s="18" t="s">
        <v>148</v>
      </c>
      <c r="D74" s="74" t="n">
        <v>45658</v>
      </c>
      <c r="E74" s="18" t="s">
        <v>143</v>
      </c>
      <c r="F74" s="75" t="n">
        <v>29815.71</v>
      </c>
      <c r="G74" s="75" t="n">
        <v>13014.17</v>
      </c>
      <c r="H74" s="76" t="n">
        <f aca="false">F74-G74</f>
        <v>16801.54</v>
      </c>
      <c r="I74" s="77" t="n">
        <f aca="false">IF($A74=2025,VLOOKUP($E74,Premissas!$A$52:$P$56,2,0),IF($A74=2026,VLOOKUP($E74,Premissas!$A$52:$P$56,3,0),VLOOKUP($E74,Premissas!$A$52:$P$56,4,0)))</f>
        <v>0.42</v>
      </c>
      <c r="J74" s="76" t="n">
        <f aca="false">H74*(1-I74)</f>
        <v>9744.8932</v>
      </c>
      <c r="K74" s="76" t="n">
        <f aca="false">H74-J74</f>
        <v>7056.6468</v>
      </c>
      <c r="L74" s="78" t="n">
        <f aca="false">SUMIFS(Headcount_Folha!$I:$I,Headcount_Folha!$C:$C,$C74,Headcount_Folha!$D:$D,$E74)</f>
        <v>3360</v>
      </c>
      <c r="M74" s="76" t="n">
        <f aca="false">VLOOKUP($E74,Premissas!$A$52:$P$56,10,0)*(1+VLOOKUP($E74,Premissas!$A$52:$P$56,11,0))^($A74-2025)</f>
        <v>1000</v>
      </c>
      <c r="N74" s="76" t="n">
        <f aca="false">H74*VLOOKUP($E74,Premissas!$A$52:$P$56,7,0)</f>
        <v>420.0385</v>
      </c>
      <c r="O74" s="76" t="n">
        <f aca="false">H74*VLOOKUP($E74,Premissas!$A$52:$P$56,8,0)</f>
        <v>336.0308</v>
      </c>
      <c r="P74" s="76" t="n">
        <f aca="false">H74*VLOOKUP($E74,Premissas!$A$52:$P$56,9,0)</f>
        <v>420.0385</v>
      </c>
      <c r="Q74" s="76" t="n">
        <f aca="false">K74-L74-M74-N74-O74-P74</f>
        <v>1520.539</v>
      </c>
    </row>
    <row r="75" customFormat="false" ht="15" hidden="false" customHeight="true" outlineLevel="0" collapsed="false">
      <c r="A75" s="18" t="n">
        <v>2025</v>
      </c>
      <c r="B75" s="18" t="n">
        <v>2</v>
      </c>
      <c r="C75" s="18" t="s">
        <v>149</v>
      </c>
      <c r="D75" s="74" t="n">
        <v>45689</v>
      </c>
      <c r="E75" s="18" t="s">
        <v>143</v>
      </c>
      <c r="F75" s="75" t="n">
        <v>5390.37</v>
      </c>
      <c r="G75" s="75" t="n">
        <v>2009.84</v>
      </c>
      <c r="H75" s="76" t="n">
        <f aca="false">F75-G75</f>
        <v>3380.53</v>
      </c>
      <c r="I75" s="77" t="n">
        <f aca="false">IF($A75=2025,VLOOKUP($E75,Premissas!$A$52:$P$56,2,0),IF($A75=2026,VLOOKUP($E75,Premissas!$A$52:$P$56,3,0),VLOOKUP($E75,Premissas!$A$52:$P$56,4,0)))</f>
        <v>0.42</v>
      </c>
      <c r="J75" s="76" t="n">
        <f aca="false">H75*(1-I75)</f>
        <v>1960.7074</v>
      </c>
      <c r="K75" s="76" t="n">
        <f aca="false">H75-J75</f>
        <v>1419.8226</v>
      </c>
      <c r="L75" s="78" t="n">
        <f aca="false">SUMIFS(Headcount_Folha!$I:$I,Headcount_Folha!$C:$C,$C75,Headcount_Folha!$D:$D,$E75)</f>
        <v>3360</v>
      </c>
      <c r="M75" s="76" t="n">
        <f aca="false">VLOOKUP($E75,Premissas!$A$52:$P$56,10,0)*(1+VLOOKUP($E75,Premissas!$A$52:$P$56,11,0))^($A75-2025)</f>
        <v>1000</v>
      </c>
      <c r="N75" s="76" t="n">
        <f aca="false">H75*VLOOKUP($E75,Premissas!$A$52:$P$56,7,0)</f>
        <v>84.51325</v>
      </c>
      <c r="O75" s="76" t="n">
        <f aca="false">H75*VLOOKUP($E75,Premissas!$A$52:$P$56,8,0)</f>
        <v>67.6106</v>
      </c>
      <c r="P75" s="76" t="n">
        <f aca="false">H75*VLOOKUP($E75,Premissas!$A$52:$P$56,9,0)</f>
        <v>84.51325</v>
      </c>
      <c r="Q75" s="76" t="n">
        <f aca="false">K75-L75-M75-N75-O75-P75</f>
        <v>-3176.8145</v>
      </c>
    </row>
    <row r="76" customFormat="false" ht="15" hidden="false" customHeight="true" outlineLevel="0" collapsed="false">
      <c r="A76" s="18" t="n">
        <v>2025</v>
      </c>
      <c r="B76" s="18" t="n">
        <v>3</v>
      </c>
      <c r="C76" s="18" t="s">
        <v>150</v>
      </c>
      <c r="D76" s="74" t="n">
        <v>45717</v>
      </c>
      <c r="E76" s="18" t="s">
        <v>143</v>
      </c>
      <c r="F76" s="75" t="n">
        <v>9085.57</v>
      </c>
      <c r="G76" s="75" t="n">
        <v>3714.9</v>
      </c>
      <c r="H76" s="76" t="n">
        <f aca="false">F76-G76</f>
        <v>5370.67</v>
      </c>
      <c r="I76" s="77" t="n">
        <f aca="false">IF($A76=2025,VLOOKUP($E76,Premissas!$A$52:$P$56,2,0),IF($A76=2026,VLOOKUP($E76,Premissas!$A$52:$P$56,3,0),VLOOKUP($E76,Premissas!$A$52:$P$56,4,0)))</f>
        <v>0.42</v>
      </c>
      <c r="J76" s="76" t="n">
        <f aca="false">H76*(1-I76)</f>
        <v>3114.9886</v>
      </c>
      <c r="K76" s="76" t="n">
        <f aca="false">H76-J76</f>
        <v>2255.6814</v>
      </c>
      <c r="L76" s="78" t="n">
        <f aca="false">SUMIFS(Headcount_Folha!$I:$I,Headcount_Folha!$C:$C,$C76,Headcount_Folha!$D:$D,$E76)</f>
        <v>3360</v>
      </c>
      <c r="M76" s="76" t="n">
        <f aca="false">VLOOKUP($E76,Premissas!$A$52:$P$56,10,0)*(1+VLOOKUP($E76,Premissas!$A$52:$P$56,11,0))^($A76-2025)</f>
        <v>1000</v>
      </c>
      <c r="N76" s="76" t="n">
        <f aca="false">H76*VLOOKUP($E76,Premissas!$A$52:$P$56,7,0)</f>
        <v>134.26675</v>
      </c>
      <c r="O76" s="76" t="n">
        <f aca="false">H76*VLOOKUP($E76,Premissas!$A$52:$P$56,8,0)</f>
        <v>107.4134</v>
      </c>
      <c r="P76" s="76" t="n">
        <f aca="false">H76*VLOOKUP($E76,Premissas!$A$52:$P$56,9,0)</f>
        <v>134.26675</v>
      </c>
      <c r="Q76" s="76" t="n">
        <f aca="false">K76-L76-M76-N76-O76-P76</f>
        <v>-2480.2655</v>
      </c>
    </row>
    <row r="77" customFormat="false" ht="15" hidden="false" customHeight="true" outlineLevel="0" collapsed="false">
      <c r="A77" s="18" t="n">
        <v>2025</v>
      </c>
      <c r="B77" s="18" t="n">
        <v>4</v>
      </c>
      <c r="C77" s="18" t="s">
        <v>151</v>
      </c>
      <c r="D77" s="74" t="n">
        <v>45748</v>
      </c>
      <c r="E77" s="18" t="s">
        <v>143</v>
      </c>
      <c r="F77" s="75" t="n">
        <v>8866.3</v>
      </c>
      <c r="G77" s="75" t="n">
        <v>3636.28</v>
      </c>
      <c r="H77" s="76" t="n">
        <f aca="false">F77-G77</f>
        <v>5230.02</v>
      </c>
      <c r="I77" s="77" t="n">
        <f aca="false">IF($A77=2025,VLOOKUP($E77,Premissas!$A$52:$P$56,2,0),IF($A77=2026,VLOOKUP($E77,Premissas!$A$52:$P$56,3,0),VLOOKUP($E77,Premissas!$A$52:$P$56,4,0)))</f>
        <v>0.42</v>
      </c>
      <c r="J77" s="76" t="n">
        <f aca="false">H77*(1-I77)</f>
        <v>3033.4116</v>
      </c>
      <c r="K77" s="76" t="n">
        <f aca="false">H77-J77</f>
        <v>2196.6084</v>
      </c>
      <c r="L77" s="78" t="n">
        <f aca="false">SUMIFS(Headcount_Folha!$I:$I,Headcount_Folha!$C:$C,$C77,Headcount_Folha!$D:$D,$E77)</f>
        <v>3360</v>
      </c>
      <c r="M77" s="76" t="n">
        <f aca="false">VLOOKUP($E77,Premissas!$A$52:$P$56,10,0)*(1+VLOOKUP($E77,Premissas!$A$52:$P$56,11,0))^($A77-2025)</f>
        <v>1000</v>
      </c>
      <c r="N77" s="76" t="n">
        <f aca="false">H77*VLOOKUP($E77,Premissas!$A$52:$P$56,7,0)</f>
        <v>130.7505</v>
      </c>
      <c r="O77" s="76" t="n">
        <f aca="false">H77*VLOOKUP($E77,Premissas!$A$52:$P$56,8,0)</f>
        <v>104.6004</v>
      </c>
      <c r="P77" s="76" t="n">
        <f aca="false">H77*VLOOKUP($E77,Premissas!$A$52:$P$56,9,0)</f>
        <v>130.7505</v>
      </c>
      <c r="Q77" s="76" t="n">
        <f aca="false">K77-L77-M77-N77-O77-P77</f>
        <v>-2529.493</v>
      </c>
    </row>
    <row r="78" customFormat="false" ht="15" hidden="false" customHeight="true" outlineLevel="0" collapsed="false">
      <c r="A78" s="18" t="n">
        <v>2025</v>
      </c>
      <c r="B78" s="18" t="n">
        <v>5</v>
      </c>
      <c r="C78" s="18" t="s">
        <v>152</v>
      </c>
      <c r="D78" s="74" t="n">
        <v>45778</v>
      </c>
      <c r="E78" s="18" t="s">
        <v>143</v>
      </c>
      <c r="F78" s="75" t="n">
        <v>7839.01</v>
      </c>
      <c r="G78" s="75" t="n">
        <v>2648.58</v>
      </c>
      <c r="H78" s="76" t="n">
        <f aca="false">F78-G78</f>
        <v>5190.43</v>
      </c>
      <c r="I78" s="77" t="n">
        <f aca="false">IF($A78=2025,VLOOKUP($E78,Premissas!$A$52:$P$56,2,0),IF($A78=2026,VLOOKUP($E78,Premissas!$A$52:$P$56,3,0),VLOOKUP($E78,Premissas!$A$52:$P$56,4,0)))</f>
        <v>0.42</v>
      </c>
      <c r="J78" s="76" t="n">
        <f aca="false">H78*(1-I78)</f>
        <v>3010.4494</v>
      </c>
      <c r="K78" s="76" t="n">
        <f aca="false">H78-J78</f>
        <v>2179.9806</v>
      </c>
      <c r="L78" s="78" t="n">
        <f aca="false">SUMIFS(Headcount_Folha!$I:$I,Headcount_Folha!$C:$C,$C78,Headcount_Folha!$D:$D,$E78)</f>
        <v>3360</v>
      </c>
      <c r="M78" s="76" t="n">
        <f aca="false">VLOOKUP($E78,Premissas!$A$52:$P$56,10,0)*(1+VLOOKUP($E78,Premissas!$A$52:$P$56,11,0))^($A78-2025)</f>
        <v>1000</v>
      </c>
      <c r="N78" s="76" t="n">
        <f aca="false">H78*VLOOKUP($E78,Premissas!$A$52:$P$56,7,0)</f>
        <v>129.76075</v>
      </c>
      <c r="O78" s="76" t="n">
        <f aca="false">H78*VLOOKUP($E78,Premissas!$A$52:$P$56,8,0)</f>
        <v>103.8086</v>
      </c>
      <c r="P78" s="76" t="n">
        <f aca="false">H78*VLOOKUP($E78,Premissas!$A$52:$P$56,9,0)</f>
        <v>129.76075</v>
      </c>
      <c r="Q78" s="76" t="n">
        <f aca="false">K78-L78-M78-N78-O78-P78</f>
        <v>-2543.3495</v>
      </c>
    </row>
    <row r="79" customFormat="false" ht="15" hidden="false" customHeight="true" outlineLevel="0" collapsed="false">
      <c r="A79" s="18" t="n">
        <v>2025</v>
      </c>
      <c r="B79" s="18" t="n">
        <v>6</v>
      </c>
      <c r="C79" s="18" t="s">
        <v>153</v>
      </c>
      <c r="D79" s="74" t="n">
        <v>45809</v>
      </c>
      <c r="E79" s="18" t="s">
        <v>143</v>
      </c>
      <c r="F79" s="75" t="n">
        <v>6734.89</v>
      </c>
      <c r="G79" s="75" t="n">
        <v>2484.52</v>
      </c>
      <c r="H79" s="76" t="n">
        <f aca="false">F79-G79</f>
        <v>4250.37</v>
      </c>
      <c r="I79" s="77" t="n">
        <f aca="false">IF($A79=2025,VLOOKUP($E79,Premissas!$A$52:$P$56,2,0),IF($A79=2026,VLOOKUP($E79,Premissas!$A$52:$P$56,3,0),VLOOKUP($E79,Premissas!$A$52:$P$56,4,0)))</f>
        <v>0.42</v>
      </c>
      <c r="J79" s="76" t="n">
        <f aca="false">H79*(1-I79)</f>
        <v>2465.2146</v>
      </c>
      <c r="K79" s="76" t="n">
        <f aca="false">H79-J79</f>
        <v>1785.1554</v>
      </c>
      <c r="L79" s="78" t="n">
        <f aca="false">SUMIFS(Headcount_Folha!$I:$I,Headcount_Folha!$C:$C,$C79,Headcount_Folha!$D:$D,$E79)</f>
        <v>3360</v>
      </c>
      <c r="M79" s="76" t="n">
        <f aca="false">VLOOKUP($E79,Premissas!$A$52:$P$56,10,0)*(1+VLOOKUP($E79,Premissas!$A$52:$P$56,11,0))^($A79-2025)</f>
        <v>1000</v>
      </c>
      <c r="N79" s="76" t="n">
        <f aca="false">H79*VLOOKUP($E79,Premissas!$A$52:$P$56,7,0)</f>
        <v>106.25925</v>
      </c>
      <c r="O79" s="76" t="n">
        <f aca="false">H79*VLOOKUP($E79,Premissas!$A$52:$P$56,8,0)</f>
        <v>85.0074</v>
      </c>
      <c r="P79" s="76" t="n">
        <f aca="false">H79*VLOOKUP($E79,Premissas!$A$52:$P$56,9,0)</f>
        <v>106.25925</v>
      </c>
      <c r="Q79" s="76" t="n">
        <f aca="false">K79-L79-M79-N79-O79-P79</f>
        <v>-2872.3705</v>
      </c>
    </row>
    <row r="80" customFormat="false" ht="15" hidden="false" customHeight="true" outlineLevel="0" collapsed="false">
      <c r="A80" s="18" t="n">
        <v>2025</v>
      </c>
      <c r="B80" s="18" t="n">
        <v>7</v>
      </c>
      <c r="C80" s="18" t="s">
        <v>154</v>
      </c>
      <c r="D80" s="74" t="n">
        <v>45839</v>
      </c>
      <c r="E80" s="18" t="s">
        <v>143</v>
      </c>
      <c r="F80" s="75" t="n">
        <v>5488.76</v>
      </c>
      <c r="G80" s="75" t="n">
        <v>1974.87</v>
      </c>
      <c r="H80" s="76" t="n">
        <f aca="false">F80-G80</f>
        <v>3513.89</v>
      </c>
      <c r="I80" s="77" t="n">
        <f aca="false">IF($A80=2025,VLOOKUP($E80,Premissas!$A$52:$P$56,2,0),IF($A80=2026,VLOOKUP($E80,Premissas!$A$52:$P$56,3,0),VLOOKUP($E80,Premissas!$A$52:$P$56,4,0)))</f>
        <v>0.42</v>
      </c>
      <c r="J80" s="76" t="n">
        <f aca="false">H80*(1-I80)</f>
        <v>2038.0562</v>
      </c>
      <c r="K80" s="76" t="n">
        <f aca="false">H80-J80</f>
        <v>1475.8338</v>
      </c>
      <c r="L80" s="78" t="n">
        <f aca="false">SUMIFS(Headcount_Folha!$I:$I,Headcount_Folha!$C:$C,$C80,Headcount_Folha!$D:$D,$E80)</f>
        <v>3360</v>
      </c>
      <c r="M80" s="76" t="n">
        <f aca="false">VLOOKUP($E80,Premissas!$A$52:$P$56,10,0)*(1+VLOOKUP($E80,Premissas!$A$52:$P$56,11,0))^($A80-2025)</f>
        <v>1000</v>
      </c>
      <c r="N80" s="76" t="n">
        <f aca="false">H80*VLOOKUP($E80,Premissas!$A$52:$P$56,7,0)</f>
        <v>87.84725</v>
      </c>
      <c r="O80" s="76" t="n">
        <f aca="false">H80*VLOOKUP($E80,Premissas!$A$52:$P$56,8,0)</f>
        <v>70.2778</v>
      </c>
      <c r="P80" s="76" t="n">
        <f aca="false">H80*VLOOKUP($E80,Premissas!$A$52:$P$56,9,0)</f>
        <v>87.84725</v>
      </c>
      <c r="Q80" s="76" t="n">
        <f aca="false">K80-L80-M80-N80-O80-P80</f>
        <v>-3130.1385</v>
      </c>
    </row>
    <row r="81" customFormat="false" ht="15" hidden="false" customHeight="true" outlineLevel="0" collapsed="false">
      <c r="A81" s="18" t="n">
        <v>2025</v>
      </c>
      <c r="B81" s="18" t="n">
        <v>8</v>
      </c>
      <c r="C81" s="18" t="s">
        <v>155</v>
      </c>
      <c r="D81" s="74" t="n">
        <v>45870</v>
      </c>
      <c r="E81" s="18" t="s">
        <v>143</v>
      </c>
      <c r="F81" s="75" t="n">
        <v>5873.91</v>
      </c>
      <c r="G81" s="75" t="n">
        <v>2176.14</v>
      </c>
      <c r="H81" s="76" t="n">
        <f aca="false">F81-G81</f>
        <v>3697.77</v>
      </c>
      <c r="I81" s="77" t="n">
        <f aca="false">IF($A81=2025,VLOOKUP($E81,Premissas!$A$52:$P$56,2,0),IF($A81=2026,VLOOKUP($E81,Premissas!$A$52:$P$56,3,0),VLOOKUP($E81,Premissas!$A$52:$P$56,4,0)))</f>
        <v>0.42</v>
      </c>
      <c r="J81" s="76" t="n">
        <f aca="false">H81*(1-I81)</f>
        <v>2144.7066</v>
      </c>
      <c r="K81" s="76" t="n">
        <f aca="false">H81-J81</f>
        <v>1553.0634</v>
      </c>
      <c r="L81" s="78" t="n">
        <f aca="false">SUMIFS(Headcount_Folha!$I:$I,Headcount_Folha!$C:$C,$C81,Headcount_Folha!$D:$D,$E81)</f>
        <v>3360</v>
      </c>
      <c r="M81" s="76" t="n">
        <f aca="false">VLOOKUP($E81,Premissas!$A$52:$P$56,10,0)*(1+VLOOKUP($E81,Premissas!$A$52:$P$56,11,0))^($A81-2025)</f>
        <v>1000</v>
      </c>
      <c r="N81" s="76" t="n">
        <f aca="false">H81*VLOOKUP($E81,Premissas!$A$52:$P$56,7,0)</f>
        <v>92.44425</v>
      </c>
      <c r="O81" s="76" t="n">
        <f aca="false">H81*VLOOKUP($E81,Premissas!$A$52:$P$56,8,0)</f>
        <v>73.9554</v>
      </c>
      <c r="P81" s="76" t="n">
        <f aca="false">H81*VLOOKUP($E81,Premissas!$A$52:$P$56,9,0)</f>
        <v>92.44425</v>
      </c>
      <c r="Q81" s="76" t="n">
        <f aca="false">K81-L81-M81-N81-O81-P81</f>
        <v>-3065.7805</v>
      </c>
    </row>
    <row r="82" customFormat="false" ht="15" hidden="false" customHeight="true" outlineLevel="0" collapsed="false">
      <c r="A82" s="18" t="n">
        <v>2025</v>
      </c>
      <c r="B82" s="18" t="n">
        <v>9</v>
      </c>
      <c r="C82" s="18" t="s">
        <v>156</v>
      </c>
      <c r="D82" s="74" t="n">
        <v>45901</v>
      </c>
      <c r="E82" s="18" t="s">
        <v>143</v>
      </c>
      <c r="F82" s="75" t="n">
        <v>25549.5</v>
      </c>
      <c r="G82" s="75" t="n">
        <v>12054.81</v>
      </c>
      <c r="H82" s="76" t="n">
        <f aca="false">F82-G82</f>
        <v>13494.69</v>
      </c>
      <c r="I82" s="77" t="n">
        <f aca="false">IF($A82=2025,VLOOKUP($E82,Premissas!$A$52:$P$56,2,0),IF($A82=2026,VLOOKUP($E82,Premissas!$A$52:$P$56,3,0),VLOOKUP($E82,Premissas!$A$52:$P$56,4,0)))</f>
        <v>0.42</v>
      </c>
      <c r="J82" s="76" t="n">
        <f aca="false">H82*(1-I82)</f>
        <v>7826.9202</v>
      </c>
      <c r="K82" s="76" t="n">
        <f aca="false">H82-J82</f>
        <v>5667.7698</v>
      </c>
      <c r="L82" s="78" t="n">
        <f aca="false">SUMIFS(Headcount_Folha!$I:$I,Headcount_Folha!$C:$C,$C82,Headcount_Folha!$D:$D,$E82)</f>
        <v>3360</v>
      </c>
      <c r="M82" s="76" t="n">
        <f aca="false">VLOOKUP($E82,Premissas!$A$52:$P$56,10,0)*(1+VLOOKUP($E82,Premissas!$A$52:$P$56,11,0))^($A82-2025)</f>
        <v>1000</v>
      </c>
      <c r="N82" s="76" t="n">
        <f aca="false">H82*VLOOKUP($E82,Premissas!$A$52:$P$56,7,0)</f>
        <v>337.36725</v>
      </c>
      <c r="O82" s="76" t="n">
        <f aca="false">H82*VLOOKUP($E82,Premissas!$A$52:$P$56,8,0)</f>
        <v>269.8938</v>
      </c>
      <c r="P82" s="76" t="n">
        <f aca="false">H82*VLOOKUP($E82,Premissas!$A$52:$P$56,9,0)</f>
        <v>337.36725</v>
      </c>
      <c r="Q82" s="76" t="n">
        <f aca="false">K82-L82-M82-N82-O82-P82</f>
        <v>363.141499999999</v>
      </c>
    </row>
    <row r="83" customFormat="false" ht="15" hidden="false" customHeight="true" outlineLevel="0" collapsed="false">
      <c r="A83" s="18" t="n">
        <v>2025</v>
      </c>
      <c r="B83" s="18" t="n">
        <v>10</v>
      </c>
      <c r="C83" s="18" t="s">
        <v>157</v>
      </c>
      <c r="D83" s="74" t="n">
        <v>45931</v>
      </c>
      <c r="E83" s="18" t="s">
        <v>143</v>
      </c>
      <c r="F83" s="75" t="n">
        <v>6739.63</v>
      </c>
      <c r="G83" s="75" t="n">
        <v>2705.44</v>
      </c>
      <c r="H83" s="76" t="n">
        <f aca="false">F83-G83</f>
        <v>4034.19</v>
      </c>
      <c r="I83" s="77" t="n">
        <f aca="false">IF($A83=2025,VLOOKUP($E83,Premissas!$A$52:$P$56,2,0),IF($A83=2026,VLOOKUP($E83,Premissas!$A$52:$P$56,3,0),VLOOKUP($E83,Premissas!$A$52:$P$56,4,0)))</f>
        <v>0.42</v>
      </c>
      <c r="J83" s="76" t="n">
        <f aca="false">H83*(1-I83)</f>
        <v>2339.8302</v>
      </c>
      <c r="K83" s="76" t="n">
        <f aca="false">H83-J83</f>
        <v>1694.3598</v>
      </c>
      <c r="L83" s="78" t="n">
        <f aca="false">SUMIFS(Headcount_Folha!$I:$I,Headcount_Folha!$C:$C,$C83,Headcount_Folha!$D:$D,$E83)</f>
        <v>3360</v>
      </c>
      <c r="M83" s="76" t="n">
        <f aca="false">VLOOKUP($E83,Premissas!$A$52:$P$56,10,0)*(1+VLOOKUP($E83,Premissas!$A$52:$P$56,11,0))^($A83-2025)</f>
        <v>1000</v>
      </c>
      <c r="N83" s="76" t="n">
        <f aca="false">H83*VLOOKUP($E83,Premissas!$A$52:$P$56,7,0)</f>
        <v>100.85475</v>
      </c>
      <c r="O83" s="76" t="n">
        <f aca="false">H83*VLOOKUP($E83,Premissas!$A$52:$P$56,8,0)</f>
        <v>80.6838</v>
      </c>
      <c r="P83" s="76" t="n">
        <f aca="false">H83*VLOOKUP($E83,Premissas!$A$52:$P$56,9,0)</f>
        <v>100.85475</v>
      </c>
      <c r="Q83" s="76" t="n">
        <f aca="false">K83-L83-M83-N83-O83-P83</f>
        <v>-2948.0335</v>
      </c>
    </row>
    <row r="84" customFormat="false" ht="15" hidden="false" customHeight="true" outlineLevel="0" collapsed="false">
      <c r="A84" s="18" t="n">
        <v>2025</v>
      </c>
      <c r="B84" s="18" t="n">
        <v>11</v>
      </c>
      <c r="C84" s="18" t="s">
        <v>158</v>
      </c>
      <c r="D84" s="74" t="n">
        <v>45962</v>
      </c>
      <c r="E84" s="18" t="s">
        <v>143</v>
      </c>
      <c r="F84" s="75" t="n">
        <v>5857.92</v>
      </c>
      <c r="G84" s="75" t="n">
        <v>2494.18</v>
      </c>
      <c r="H84" s="76" t="n">
        <f aca="false">F84-G84</f>
        <v>3363.74</v>
      </c>
      <c r="I84" s="77" t="n">
        <f aca="false">IF($A84=2025,VLOOKUP($E84,Premissas!$A$52:$P$56,2,0),IF($A84=2026,VLOOKUP($E84,Premissas!$A$52:$P$56,3,0),VLOOKUP($E84,Premissas!$A$52:$P$56,4,0)))</f>
        <v>0.42</v>
      </c>
      <c r="J84" s="76" t="n">
        <f aca="false">H84*(1-I84)</f>
        <v>1950.9692</v>
      </c>
      <c r="K84" s="76" t="n">
        <f aca="false">H84-J84</f>
        <v>1412.7708</v>
      </c>
      <c r="L84" s="78" t="n">
        <f aca="false">SUMIFS(Headcount_Folha!$I:$I,Headcount_Folha!$C:$C,$C84,Headcount_Folha!$D:$D,$E84)</f>
        <v>3360</v>
      </c>
      <c r="M84" s="76" t="n">
        <f aca="false">VLOOKUP($E84,Premissas!$A$52:$P$56,10,0)*(1+VLOOKUP($E84,Premissas!$A$52:$P$56,11,0))^($A84-2025)</f>
        <v>1000</v>
      </c>
      <c r="N84" s="76" t="n">
        <f aca="false">H84*VLOOKUP($E84,Premissas!$A$52:$P$56,7,0)</f>
        <v>84.0935</v>
      </c>
      <c r="O84" s="76" t="n">
        <f aca="false">H84*VLOOKUP($E84,Premissas!$A$52:$P$56,8,0)</f>
        <v>67.2748</v>
      </c>
      <c r="P84" s="76" t="n">
        <f aca="false">H84*VLOOKUP($E84,Premissas!$A$52:$P$56,9,0)</f>
        <v>84.0935</v>
      </c>
      <c r="Q84" s="76" t="n">
        <f aca="false">K84-L84-M84-N84-O84-P84</f>
        <v>-3182.691</v>
      </c>
    </row>
    <row r="85" customFormat="false" ht="15" hidden="false" customHeight="true" outlineLevel="0" collapsed="false">
      <c r="A85" s="18" t="n">
        <v>2025</v>
      </c>
      <c r="B85" s="18" t="n">
        <v>12</v>
      </c>
      <c r="C85" s="18" t="s">
        <v>159</v>
      </c>
      <c r="D85" s="74" t="n">
        <v>45992</v>
      </c>
      <c r="E85" s="18" t="s">
        <v>143</v>
      </c>
      <c r="F85" s="75" t="n">
        <v>17367.67</v>
      </c>
      <c r="G85" s="75" t="n">
        <v>7824.35</v>
      </c>
      <c r="H85" s="76" t="n">
        <f aca="false">F85-G85</f>
        <v>9543.32</v>
      </c>
      <c r="I85" s="77" t="n">
        <f aca="false">IF($A85=2025,VLOOKUP($E85,Premissas!$A$52:$P$56,2,0),IF($A85=2026,VLOOKUP($E85,Premissas!$A$52:$P$56,3,0),VLOOKUP($E85,Premissas!$A$52:$P$56,4,0)))</f>
        <v>0.42</v>
      </c>
      <c r="J85" s="76" t="n">
        <f aca="false">H85*(1-I85)</f>
        <v>5535.1256</v>
      </c>
      <c r="K85" s="76" t="n">
        <f aca="false">H85-J85</f>
        <v>4008.1944</v>
      </c>
      <c r="L85" s="78" t="n">
        <f aca="false">SUMIFS(Headcount_Folha!$I:$I,Headcount_Folha!$C:$C,$C85,Headcount_Folha!$D:$D,$E85)</f>
        <v>3360</v>
      </c>
      <c r="M85" s="76" t="n">
        <f aca="false">VLOOKUP($E85,Premissas!$A$52:$P$56,10,0)*(1+VLOOKUP($E85,Premissas!$A$52:$P$56,11,0))^($A85-2025)</f>
        <v>1000</v>
      </c>
      <c r="N85" s="76" t="n">
        <f aca="false">H85*VLOOKUP($E85,Premissas!$A$52:$P$56,7,0)</f>
        <v>238.583</v>
      </c>
      <c r="O85" s="76" t="n">
        <f aca="false">H85*VLOOKUP($E85,Premissas!$A$52:$P$56,8,0)</f>
        <v>190.8664</v>
      </c>
      <c r="P85" s="76" t="n">
        <f aca="false">H85*VLOOKUP($E85,Premissas!$A$52:$P$56,9,0)</f>
        <v>238.583</v>
      </c>
      <c r="Q85" s="76" t="n">
        <f aca="false">K85-L85-M85-N85-O85-P85</f>
        <v>-1019.838</v>
      </c>
    </row>
    <row r="86" customFormat="false" ht="15" hidden="false" customHeight="true" outlineLevel="0" collapsed="false">
      <c r="A86" s="18" t="n">
        <v>2026</v>
      </c>
      <c r="B86" s="18" t="n">
        <v>1</v>
      </c>
      <c r="C86" s="18" t="s">
        <v>160</v>
      </c>
      <c r="D86" s="74" t="n">
        <v>46023</v>
      </c>
      <c r="E86" s="18" t="s">
        <v>143</v>
      </c>
      <c r="F86" s="75" t="n">
        <v>26417.09</v>
      </c>
      <c r="G86" s="75" t="n">
        <v>12497.2</v>
      </c>
      <c r="H86" s="76" t="n">
        <f aca="false">F86-G86</f>
        <v>13919.89</v>
      </c>
      <c r="I86" s="77" t="n">
        <f aca="false">IF($A86=2025,VLOOKUP($E86,Premissas!$A$52:$P$56,2,0),IF($A86=2026,VLOOKUP($E86,Premissas!$A$52:$P$56,3,0),VLOOKUP($E86,Premissas!$A$52:$P$56,4,0)))</f>
        <v>0.42</v>
      </c>
      <c r="J86" s="76" t="n">
        <f aca="false">H86*(1-I86)</f>
        <v>8073.5362</v>
      </c>
      <c r="K86" s="76" t="n">
        <f aca="false">H86-J86</f>
        <v>5846.3538</v>
      </c>
      <c r="L86" s="78" t="n">
        <f aca="false">SUMIFS(Headcount_Folha!$I:$I,Headcount_Folha!$C:$C,$C86,Headcount_Folha!$D:$D,$E86)</f>
        <v>3360</v>
      </c>
      <c r="M86" s="76" t="n">
        <f aca="false">VLOOKUP($E86,Premissas!$A$52:$P$56,10,0)*(1+VLOOKUP($E86,Premissas!$A$52:$P$56,11,0))^($A86-2025)</f>
        <v>1045</v>
      </c>
      <c r="N86" s="76" t="n">
        <f aca="false">H86*VLOOKUP($E86,Premissas!$A$52:$P$56,7,0)</f>
        <v>347.99725</v>
      </c>
      <c r="O86" s="76" t="n">
        <f aca="false">H86*VLOOKUP($E86,Premissas!$A$52:$P$56,8,0)</f>
        <v>278.3978</v>
      </c>
      <c r="P86" s="76" t="n">
        <f aca="false">H86*VLOOKUP($E86,Premissas!$A$52:$P$56,9,0)</f>
        <v>347.99725</v>
      </c>
      <c r="Q86" s="76" t="n">
        <f aca="false">K86-L86-M86-N86-O86-P86</f>
        <v>466.961499999999</v>
      </c>
    </row>
    <row r="87" customFormat="false" ht="15" hidden="false" customHeight="true" outlineLevel="0" collapsed="false">
      <c r="A87" s="18" t="n">
        <v>2026</v>
      </c>
      <c r="B87" s="18" t="n">
        <v>2</v>
      </c>
      <c r="C87" s="18" t="s">
        <v>161</v>
      </c>
      <c r="D87" s="74" t="n">
        <v>46054</v>
      </c>
      <c r="E87" s="18" t="s">
        <v>143</v>
      </c>
      <c r="F87" s="75" t="n">
        <v>3803.1</v>
      </c>
      <c r="G87" s="75" t="n">
        <v>1609.64</v>
      </c>
      <c r="H87" s="76" t="n">
        <f aca="false">F87-G87</f>
        <v>2193.46</v>
      </c>
      <c r="I87" s="77" t="n">
        <f aca="false">IF($A87=2025,VLOOKUP($E87,Premissas!$A$52:$P$56,2,0),IF($A87=2026,VLOOKUP($E87,Premissas!$A$52:$P$56,3,0),VLOOKUP($E87,Premissas!$A$52:$P$56,4,0)))</f>
        <v>0.42</v>
      </c>
      <c r="J87" s="76" t="n">
        <f aca="false">H87*(1-I87)</f>
        <v>1272.2068</v>
      </c>
      <c r="K87" s="76" t="n">
        <f aca="false">H87-J87</f>
        <v>921.2532</v>
      </c>
      <c r="L87" s="78" t="n">
        <f aca="false">SUMIFS(Headcount_Folha!$I:$I,Headcount_Folha!$C:$C,$C87,Headcount_Folha!$D:$D,$E87)</f>
        <v>3360</v>
      </c>
      <c r="M87" s="76" t="n">
        <f aca="false">VLOOKUP($E87,Premissas!$A$52:$P$56,10,0)*(1+VLOOKUP($E87,Premissas!$A$52:$P$56,11,0))^($A87-2025)</f>
        <v>1045</v>
      </c>
      <c r="N87" s="76" t="n">
        <f aca="false">H87*VLOOKUP($E87,Premissas!$A$52:$P$56,7,0)</f>
        <v>54.8365</v>
      </c>
      <c r="O87" s="76" t="n">
        <f aca="false">H87*VLOOKUP($E87,Premissas!$A$52:$P$56,8,0)</f>
        <v>43.8692</v>
      </c>
      <c r="P87" s="76" t="n">
        <f aca="false">H87*VLOOKUP($E87,Premissas!$A$52:$P$56,9,0)</f>
        <v>54.8365</v>
      </c>
      <c r="Q87" s="76" t="n">
        <f aca="false">K87-L87-M87-N87-O87-P87</f>
        <v>-3637.289</v>
      </c>
    </row>
    <row r="88" customFormat="false" ht="15" hidden="false" customHeight="true" outlineLevel="0" collapsed="false">
      <c r="A88" s="18" t="n">
        <v>2026</v>
      </c>
      <c r="B88" s="18" t="n">
        <v>3</v>
      </c>
      <c r="C88" s="18" t="s">
        <v>162</v>
      </c>
      <c r="D88" s="74" t="n">
        <v>46082</v>
      </c>
      <c r="E88" s="18" t="s">
        <v>143</v>
      </c>
      <c r="F88" s="75" t="n">
        <v>6811.96</v>
      </c>
      <c r="G88" s="75" t="n">
        <v>2644.22</v>
      </c>
      <c r="H88" s="76" t="n">
        <f aca="false">F88-G88</f>
        <v>4167.74</v>
      </c>
      <c r="I88" s="77" t="n">
        <f aca="false">IF($A88=2025,VLOOKUP($E88,Premissas!$A$52:$P$56,2,0),IF($A88=2026,VLOOKUP($E88,Premissas!$A$52:$P$56,3,0),VLOOKUP($E88,Premissas!$A$52:$P$56,4,0)))</f>
        <v>0.42</v>
      </c>
      <c r="J88" s="76" t="n">
        <f aca="false">H88*(1-I88)</f>
        <v>2417.2892</v>
      </c>
      <c r="K88" s="76" t="n">
        <f aca="false">H88-J88</f>
        <v>1750.4508</v>
      </c>
      <c r="L88" s="78" t="n">
        <f aca="false">SUMIFS(Headcount_Folha!$I:$I,Headcount_Folha!$C:$C,$C88,Headcount_Folha!$D:$D,$E88)</f>
        <v>3360</v>
      </c>
      <c r="M88" s="76" t="n">
        <f aca="false">VLOOKUP($E88,Premissas!$A$52:$P$56,10,0)*(1+VLOOKUP($E88,Premissas!$A$52:$P$56,11,0))^($A88-2025)</f>
        <v>1045</v>
      </c>
      <c r="N88" s="76" t="n">
        <f aca="false">H88*VLOOKUP($E88,Premissas!$A$52:$P$56,7,0)</f>
        <v>104.1935</v>
      </c>
      <c r="O88" s="76" t="n">
        <f aca="false">H88*VLOOKUP($E88,Premissas!$A$52:$P$56,8,0)</f>
        <v>83.3548</v>
      </c>
      <c r="P88" s="76" t="n">
        <f aca="false">H88*VLOOKUP($E88,Premissas!$A$52:$P$56,9,0)</f>
        <v>104.1935</v>
      </c>
      <c r="Q88" s="76" t="n">
        <f aca="false">K88-L88-M88-N88-O88-P88</f>
        <v>-2946.291</v>
      </c>
    </row>
    <row r="89" customFormat="false" ht="15" hidden="false" customHeight="true" outlineLevel="0" collapsed="false">
      <c r="A89" s="18" t="n">
        <v>2026</v>
      </c>
      <c r="B89" s="18" t="n">
        <v>4</v>
      </c>
      <c r="C89" s="18" t="s">
        <v>163</v>
      </c>
      <c r="D89" s="74" t="n">
        <v>46113</v>
      </c>
      <c r="E89" s="18" t="s">
        <v>143</v>
      </c>
      <c r="F89" s="75" t="n">
        <v>6568.32</v>
      </c>
      <c r="G89" s="75" t="n">
        <v>2675.92</v>
      </c>
      <c r="H89" s="76" t="n">
        <f aca="false">F89-G89</f>
        <v>3892.4</v>
      </c>
      <c r="I89" s="77" t="n">
        <f aca="false">IF($A89=2025,VLOOKUP($E89,Premissas!$A$52:$P$56,2,0),IF($A89=2026,VLOOKUP($E89,Premissas!$A$52:$P$56,3,0),VLOOKUP($E89,Premissas!$A$52:$P$56,4,0)))</f>
        <v>0.42</v>
      </c>
      <c r="J89" s="76" t="n">
        <f aca="false">H89*(1-I89)</f>
        <v>2257.592</v>
      </c>
      <c r="K89" s="76" t="n">
        <f aca="false">H89-J89</f>
        <v>1634.808</v>
      </c>
      <c r="L89" s="78" t="n">
        <f aca="false">SUMIFS(Headcount_Folha!$I:$I,Headcount_Folha!$C:$C,$C89,Headcount_Folha!$D:$D,$E89)</f>
        <v>3360</v>
      </c>
      <c r="M89" s="76" t="n">
        <f aca="false">VLOOKUP($E89,Premissas!$A$52:$P$56,10,0)*(1+VLOOKUP($E89,Premissas!$A$52:$P$56,11,0))^($A89-2025)</f>
        <v>1045</v>
      </c>
      <c r="N89" s="76" t="n">
        <f aca="false">H89*VLOOKUP($E89,Premissas!$A$52:$P$56,7,0)</f>
        <v>97.31</v>
      </c>
      <c r="O89" s="76" t="n">
        <f aca="false">H89*VLOOKUP($E89,Premissas!$A$52:$P$56,8,0)</f>
        <v>77.848</v>
      </c>
      <c r="P89" s="76" t="n">
        <f aca="false">H89*VLOOKUP($E89,Premissas!$A$52:$P$56,9,0)</f>
        <v>97.31</v>
      </c>
      <c r="Q89" s="76" t="n">
        <f aca="false">K89-L89-M89-N89-O89-P89</f>
        <v>-3042.66</v>
      </c>
    </row>
    <row r="90" customFormat="false" ht="15" hidden="false" customHeight="true" outlineLevel="0" collapsed="false">
      <c r="A90" s="18" t="n">
        <v>2026</v>
      </c>
      <c r="B90" s="18" t="n">
        <v>5</v>
      </c>
      <c r="C90" s="18" t="s">
        <v>164</v>
      </c>
      <c r="D90" s="74" t="n">
        <v>46143</v>
      </c>
      <c r="E90" s="18" t="s">
        <v>143</v>
      </c>
      <c r="F90" s="75" t="n">
        <v>36974.05</v>
      </c>
      <c r="G90" s="75" t="n">
        <v>13239.72</v>
      </c>
      <c r="H90" s="76" t="n">
        <f aca="false">F90-G90</f>
        <v>23734.33</v>
      </c>
      <c r="I90" s="77" t="n">
        <f aca="false">IF($A90=2025,VLOOKUP($E90,Premissas!$A$52:$P$56,2,0),IF($A90=2026,VLOOKUP($E90,Premissas!$A$52:$P$56,3,0),VLOOKUP($E90,Premissas!$A$52:$P$56,4,0)))</f>
        <v>0.42</v>
      </c>
      <c r="J90" s="76" t="n">
        <f aca="false">H90*(1-I90)</f>
        <v>13765.9114</v>
      </c>
      <c r="K90" s="76" t="n">
        <f aca="false">H90-J90</f>
        <v>9968.4186</v>
      </c>
      <c r="L90" s="78" t="n">
        <f aca="false">SUMIFS(Headcount_Folha!$I:$I,Headcount_Folha!$C:$C,$C90,Headcount_Folha!$D:$D,$E90)</f>
        <v>3360</v>
      </c>
      <c r="M90" s="76" t="n">
        <f aca="false">VLOOKUP($E90,Premissas!$A$52:$P$56,10,0)*(1+VLOOKUP($E90,Premissas!$A$52:$P$56,11,0))^($A90-2025)</f>
        <v>1045</v>
      </c>
      <c r="N90" s="76" t="n">
        <f aca="false">H90*VLOOKUP($E90,Premissas!$A$52:$P$56,7,0)</f>
        <v>593.35825</v>
      </c>
      <c r="O90" s="76" t="n">
        <f aca="false">H90*VLOOKUP($E90,Premissas!$A$52:$P$56,8,0)</f>
        <v>474.6866</v>
      </c>
      <c r="P90" s="76" t="n">
        <f aca="false">H90*VLOOKUP($E90,Premissas!$A$52:$P$56,9,0)</f>
        <v>593.35825</v>
      </c>
      <c r="Q90" s="76" t="n">
        <f aca="false">K90-L90-M90-N90-O90-P90</f>
        <v>3902.0155</v>
      </c>
    </row>
    <row r="91" customFormat="false" ht="15" hidden="false" customHeight="true" outlineLevel="0" collapsed="false">
      <c r="A91" s="18" t="n">
        <v>2026</v>
      </c>
      <c r="B91" s="18" t="n">
        <v>6</v>
      </c>
      <c r="C91" s="18" t="s">
        <v>165</v>
      </c>
      <c r="D91" s="74" t="n">
        <v>46174</v>
      </c>
      <c r="E91" s="18" t="s">
        <v>143</v>
      </c>
      <c r="F91" s="75" t="n">
        <v>27272.76</v>
      </c>
      <c r="G91" s="75" t="n">
        <v>7559.88</v>
      </c>
      <c r="H91" s="76" t="n">
        <f aca="false">F91-G91</f>
        <v>19712.88</v>
      </c>
      <c r="I91" s="77" t="n">
        <f aca="false">IF($A91=2025,VLOOKUP($E91,Premissas!$A$52:$P$56,2,0),IF($A91=2026,VLOOKUP($E91,Premissas!$A$52:$P$56,3,0),VLOOKUP($E91,Premissas!$A$52:$P$56,4,0)))</f>
        <v>0.42</v>
      </c>
      <c r="J91" s="76" t="n">
        <f aca="false">H91*(1-I91)</f>
        <v>11433.4704</v>
      </c>
      <c r="K91" s="76" t="n">
        <f aca="false">H91-J91</f>
        <v>8279.4096</v>
      </c>
      <c r="L91" s="78" t="n">
        <f aca="false">SUMIFS(Headcount_Folha!$I:$I,Headcount_Folha!$C:$C,$C91,Headcount_Folha!$D:$D,$E91)</f>
        <v>3360</v>
      </c>
      <c r="M91" s="76" t="n">
        <f aca="false">VLOOKUP($E91,Premissas!$A$52:$P$56,10,0)*(1+VLOOKUP($E91,Premissas!$A$52:$P$56,11,0))^($A91-2025)</f>
        <v>1045</v>
      </c>
      <c r="N91" s="76" t="n">
        <f aca="false">H91*VLOOKUP($E91,Premissas!$A$52:$P$56,7,0)</f>
        <v>492.822</v>
      </c>
      <c r="O91" s="76" t="n">
        <f aca="false">H91*VLOOKUP($E91,Premissas!$A$52:$P$56,8,0)</f>
        <v>394.2576</v>
      </c>
      <c r="P91" s="76" t="n">
        <f aca="false">H91*VLOOKUP($E91,Premissas!$A$52:$P$56,9,0)</f>
        <v>492.822</v>
      </c>
      <c r="Q91" s="76" t="n">
        <f aca="false">K91-L91-M91-N91-O91-P91</f>
        <v>2494.508</v>
      </c>
    </row>
    <row r="92" customFormat="false" ht="15" hidden="false" customHeight="true" outlineLevel="0" collapsed="false">
      <c r="A92" s="18" t="n">
        <v>2026</v>
      </c>
      <c r="B92" s="18" t="n">
        <v>7</v>
      </c>
      <c r="C92" s="18" t="s">
        <v>166</v>
      </c>
      <c r="D92" s="74" t="n">
        <v>46204</v>
      </c>
      <c r="E92" s="18" t="s">
        <v>143</v>
      </c>
      <c r="F92" s="75" t="n">
        <v>11375.94</v>
      </c>
      <c r="G92" s="75" t="n">
        <v>4663.92</v>
      </c>
      <c r="H92" s="76" t="n">
        <f aca="false">F92-G92</f>
        <v>6712.02</v>
      </c>
      <c r="I92" s="77" t="n">
        <f aca="false">IF($A92=2025,VLOOKUP($E92,Premissas!$A$52:$P$56,2,0),IF($A92=2026,VLOOKUP($E92,Premissas!$A$52:$P$56,3,0),VLOOKUP($E92,Premissas!$A$52:$P$56,4,0)))</f>
        <v>0.42</v>
      </c>
      <c r="J92" s="76" t="n">
        <f aca="false">H92*(1-I92)</f>
        <v>3892.9716</v>
      </c>
      <c r="K92" s="76" t="n">
        <f aca="false">H92-J92</f>
        <v>2819.0484</v>
      </c>
      <c r="L92" s="78" t="n">
        <f aca="false">SUMIFS(Headcount_Folha!$I:$I,Headcount_Folha!$C:$C,$C92,Headcount_Folha!$D:$D,$E92)</f>
        <v>3360</v>
      </c>
      <c r="M92" s="76" t="n">
        <f aca="false">VLOOKUP($E92,Premissas!$A$52:$P$56,10,0)*(1+VLOOKUP($E92,Premissas!$A$52:$P$56,11,0))^($A92-2025)</f>
        <v>1045</v>
      </c>
      <c r="N92" s="76" t="n">
        <f aca="false">H92*VLOOKUP($E92,Premissas!$A$52:$P$56,7,0)</f>
        <v>167.8005</v>
      </c>
      <c r="O92" s="76" t="n">
        <f aca="false">H92*VLOOKUP($E92,Premissas!$A$52:$P$56,8,0)</f>
        <v>134.2404</v>
      </c>
      <c r="P92" s="76" t="n">
        <f aca="false">H92*VLOOKUP($E92,Premissas!$A$52:$P$56,9,0)</f>
        <v>167.8005</v>
      </c>
      <c r="Q92" s="76" t="n">
        <f aca="false">K92-L92-M92-N92-O92-P92</f>
        <v>-2055.793</v>
      </c>
    </row>
    <row r="93" customFormat="false" ht="15" hidden="false" customHeight="true" outlineLevel="0" collapsed="false">
      <c r="A93" s="18" t="n">
        <v>2026</v>
      </c>
      <c r="B93" s="18" t="n">
        <v>8</v>
      </c>
      <c r="C93" s="18" t="s">
        <v>167</v>
      </c>
      <c r="D93" s="74" t="n">
        <v>46235</v>
      </c>
      <c r="E93" s="18" t="s">
        <v>143</v>
      </c>
      <c r="F93" s="75" t="n">
        <v>18046.49</v>
      </c>
      <c r="G93" s="75" t="n">
        <v>8060.86</v>
      </c>
      <c r="H93" s="76" t="n">
        <f aca="false">F93-G93</f>
        <v>9985.63</v>
      </c>
      <c r="I93" s="77" t="n">
        <f aca="false">IF($A93=2025,VLOOKUP($E93,Premissas!$A$52:$P$56,2,0),IF($A93=2026,VLOOKUP($E93,Premissas!$A$52:$P$56,3,0),VLOOKUP($E93,Premissas!$A$52:$P$56,4,0)))</f>
        <v>0.42</v>
      </c>
      <c r="J93" s="76" t="n">
        <f aca="false">H93*(1-I93)</f>
        <v>5791.6654</v>
      </c>
      <c r="K93" s="76" t="n">
        <f aca="false">H93-J93</f>
        <v>4193.9646</v>
      </c>
      <c r="L93" s="78" t="n">
        <f aca="false">SUMIFS(Headcount_Folha!$I:$I,Headcount_Folha!$C:$C,$C93,Headcount_Folha!$D:$D,$E93)</f>
        <v>3360</v>
      </c>
      <c r="M93" s="76" t="n">
        <f aca="false">VLOOKUP($E93,Premissas!$A$52:$P$56,10,0)*(1+VLOOKUP($E93,Premissas!$A$52:$P$56,11,0))^($A93-2025)</f>
        <v>1045</v>
      </c>
      <c r="N93" s="76" t="n">
        <f aca="false">H93*VLOOKUP($E93,Premissas!$A$52:$P$56,7,0)</f>
        <v>249.64075</v>
      </c>
      <c r="O93" s="76" t="n">
        <f aca="false">H93*VLOOKUP($E93,Premissas!$A$52:$P$56,8,0)</f>
        <v>199.7126</v>
      </c>
      <c r="P93" s="76" t="n">
        <f aca="false">H93*VLOOKUP($E93,Premissas!$A$52:$P$56,9,0)</f>
        <v>249.64075</v>
      </c>
      <c r="Q93" s="76" t="n">
        <f aca="false">K93-L93-M93-N93-O93-P93</f>
        <v>-910.029500000001</v>
      </c>
    </row>
    <row r="94" customFormat="false" ht="15" hidden="false" customHeight="true" outlineLevel="0" collapsed="false">
      <c r="A94" s="18" t="n">
        <v>2026</v>
      </c>
      <c r="B94" s="18" t="n">
        <v>9</v>
      </c>
      <c r="C94" s="18" t="s">
        <v>168</v>
      </c>
      <c r="D94" s="74" t="n">
        <v>46266</v>
      </c>
      <c r="E94" s="18" t="s">
        <v>143</v>
      </c>
      <c r="F94" s="75" t="n">
        <v>15093.82</v>
      </c>
      <c r="G94" s="75" t="n">
        <v>6887.43</v>
      </c>
      <c r="H94" s="76" t="n">
        <f aca="false">F94-G94</f>
        <v>8206.39</v>
      </c>
      <c r="I94" s="77" t="n">
        <f aca="false">IF($A94=2025,VLOOKUP($E94,Premissas!$A$52:$P$56,2,0),IF($A94=2026,VLOOKUP($E94,Premissas!$A$52:$P$56,3,0),VLOOKUP($E94,Premissas!$A$52:$P$56,4,0)))</f>
        <v>0.42</v>
      </c>
      <c r="J94" s="76" t="n">
        <f aca="false">H94*(1-I94)</f>
        <v>4759.7062</v>
      </c>
      <c r="K94" s="76" t="n">
        <f aca="false">H94-J94</f>
        <v>3446.6838</v>
      </c>
      <c r="L94" s="78" t="n">
        <f aca="false">SUMIFS(Headcount_Folha!$I:$I,Headcount_Folha!$C:$C,$C94,Headcount_Folha!$D:$D,$E94)</f>
        <v>3360</v>
      </c>
      <c r="M94" s="76" t="n">
        <f aca="false">VLOOKUP($E94,Premissas!$A$52:$P$56,10,0)*(1+VLOOKUP($E94,Premissas!$A$52:$P$56,11,0))^($A94-2025)</f>
        <v>1045</v>
      </c>
      <c r="N94" s="76" t="n">
        <f aca="false">H94*VLOOKUP($E94,Premissas!$A$52:$P$56,7,0)</f>
        <v>205.15975</v>
      </c>
      <c r="O94" s="76" t="n">
        <f aca="false">H94*VLOOKUP($E94,Premissas!$A$52:$P$56,8,0)</f>
        <v>164.1278</v>
      </c>
      <c r="P94" s="76" t="n">
        <f aca="false">H94*VLOOKUP($E94,Premissas!$A$52:$P$56,9,0)</f>
        <v>205.15975</v>
      </c>
      <c r="Q94" s="76" t="n">
        <f aca="false">K94-L94-M94-N94-O94-P94</f>
        <v>-1532.7635</v>
      </c>
    </row>
    <row r="95" customFormat="false" ht="15" hidden="false" customHeight="true" outlineLevel="0" collapsed="false">
      <c r="A95" s="18" t="n">
        <v>2026</v>
      </c>
      <c r="B95" s="18" t="n">
        <v>10</v>
      </c>
      <c r="C95" s="18" t="s">
        <v>169</v>
      </c>
      <c r="D95" s="74" t="n">
        <v>46296</v>
      </c>
      <c r="E95" s="18" t="s">
        <v>143</v>
      </c>
      <c r="F95" s="75" t="n">
        <v>18243.85</v>
      </c>
      <c r="G95" s="75" t="n">
        <v>4577.79</v>
      </c>
      <c r="H95" s="76" t="n">
        <f aca="false">F95-G95</f>
        <v>13666.06</v>
      </c>
      <c r="I95" s="77" t="n">
        <f aca="false">IF($A95=2025,VLOOKUP($E95,Premissas!$A$52:$P$56,2,0),IF($A95=2026,VLOOKUP($E95,Premissas!$A$52:$P$56,3,0),VLOOKUP($E95,Premissas!$A$52:$P$56,4,0)))</f>
        <v>0.42</v>
      </c>
      <c r="J95" s="76" t="n">
        <f aca="false">H95*(1-I95)</f>
        <v>7926.3148</v>
      </c>
      <c r="K95" s="76" t="n">
        <f aca="false">H95-J95</f>
        <v>5739.7452</v>
      </c>
      <c r="L95" s="78" t="n">
        <f aca="false">SUMIFS(Headcount_Folha!$I:$I,Headcount_Folha!$C:$C,$C95,Headcount_Folha!$D:$D,$E95)</f>
        <v>3360</v>
      </c>
      <c r="M95" s="76" t="n">
        <f aca="false">VLOOKUP($E95,Premissas!$A$52:$P$56,10,0)*(1+VLOOKUP($E95,Premissas!$A$52:$P$56,11,0))^($A95-2025)</f>
        <v>1045</v>
      </c>
      <c r="N95" s="76" t="n">
        <f aca="false">H95*VLOOKUP($E95,Premissas!$A$52:$P$56,7,0)</f>
        <v>341.6515</v>
      </c>
      <c r="O95" s="76" t="n">
        <f aca="false">H95*VLOOKUP($E95,Premissas!$A$52:$P$56,8,0)</f>
        <v>273.3212</v>
      </c>
      <c r="P95" s="76" t="n">
        <f aca="false">H95*VLOOKUP($E95,Premissas!$A$52:$P$56,9,0)</f>
        <v>341.6515</v>
      </c>
      <c r="Q95" s="76" t="n">
        <f aca="false">K95-L95-M95-N95-O95-P95</f>
        <v>378.120999999998</v>
      </c>
    </row>
    <row r="96" customFormat="false" ht="15" hidden="false" customHeight="true" outlineLevel="0" collapsed="false">
      <c r="A96" s="18" t="n">
        <v>2026</v>
      </c>
      <c r="B96" s="18" t="n">
        <v>11</v>
      </c>
      <c r="C96" s="18" t="s">
        <v>170</v>
      </c>
      <c r="D96" s="74" t="n">
        <v>46327</v>
      </c>
      <c r="E96" s="18" t="s">
        <v>143</v>
      </c>
      <c r="F96" s="75" t="n">
        <v>15925.89</v>
      </c>
      <c r="G96" s="75" t="n">
        <v>3705.45</v>
      </c>
      <c r="H96" s="76" t="n">
        <f aca="false">F96-G96</f>
        <v>12220.44</v>
      </c>
      <c r="I96" s="77" t="n">
        <f aca="false">IF($A96=2025,VLOOKUP($E96,Premissas!$A$52:$P$56,2,0),IF($A96=2026,VLOOKUP($E96,Premissas!$A$52:$P$56,3,0),VLOOKUP($E96,Premissas!$A$52:$P$56,4,0)))</f>
        <v>0.42</v>
      </c>
      <c r="J96" s="76" t="n">
        <f aca="false">H96*(1-I96)</f>
        <v>7087.8552</v>
      </c>
      <c r="K96" s="76" t="n">
        <f aca="false">H96-J96</f>
        <v>5132.5848</v>
      </c>
      <c r="L96" s="78" t="n">
        <f aca="false">SUMIFS(Headcount_Folha!$I:$I,Headcount_Folha!$C:$C,$C96,Headcount_Folha!$D:$D,$E96)</f>
        <v>3360</v>
      </c>
      <c r="M96" s="76" t="n">
        <f aca="false">VLOOKUP($E96,Premissas!$A$52:$P$56,10,0)*(1+VLOOKUP($E96,Premissas!$A$52:$P$56,11,0))^($A96-2025)</f>
        <v>1045</v>
      </c>
      <c r="N96" s="76" t="n">
        <f aca="false">H96*VLOOKUP($E96,Premissas!$A$52:$P$56,7,0)</f>
        <v>305.511</v>
      </c>
      <c r="O96" s="76" t="n">
        <f aca="false">H96*VLOOKUP($E96,Premissas!$A$52:$P$56,8,0)</f>
        <v>244.4088</v>
      </c>
      <c r="P96" s="76" t="n">
        <f aca="false">H96*VLOOKUP($E96,Premissas!$A$52:$P$56,9,0)</f>
        <v>305.511</v>
      </c>
      <c r="Q96" s="76" t="n">
        <f aca="false">K96-L96-M96-N96-O96-P96</f>
        <v>-127.846000000002</v>
      </c>
    </row>
    <row r="97" customFormat="false" ht="15" hidden="false" customHeight="true" outlineLevel="0" collapsed="false">
      <c r="A97" s="18" t="n">
        <v>2026</v>
      </c>
      <c r="B97" s="18" t="n">
        <v>12</v>
      </c>
      <c r="C97" s="18" t="s">
        <v>171</v>
      </c>
      <c r="D97" s="74" t="n">
        <v>46357</v>
      </c>
      <c r="E97" s="18" t="s">
        <v>143</v>
      </c>
      <c r="F97" s="75" t="n">
        <v>10594.57</v>
      </c>
      <c r="G97" s="75" t="n">
        <v>3894.75</v>
      </c>
      <c r="H97" s="76" t="n">
        <f aca="false">F97-G97</f>
        <v>6699.82</v>
      </c>
      <c r="I97" s="77" t="n">
        <f aca="false">IF($A97=2025,VLOOKUP($E97,Premissas!$A$52:$P$56,2,0),IF($A97=2026,VLOOKUP($E97,Premissas!$A$52:$P$56,3,0),VLOOKUP($E97,Premissas!$A$52:$P$56,4,0)))</f>
        <v>0.42</v>
      </c>
      <c r="J97" s="76" t="n">
        <f aca="false">H97*(1-I97)</f>
        <v>3885.8956</v>
      </c>
      <c r="K97" s="76" t="n">
        <f aca="false">H97-J97</f>
        <v>2813.9244</v>
      </c>
      <c r="L97" s="78" t="n">
        <f aca="false">SUMIFS(Headcount_Folha!$I:$I,Headcount_Folha!$C:$C,$C97,Headcount_Folha!$D:$D,$E97)</f>
        <v>3360</v>
      </c>
      <c r="M97" s="76" t="n">
        <f aca="false">VLOOKUP($E97,Premissas!$A$52:$P$56,10,0)*(1+VLOOKUP($E97,Premissas!$A$52:$P$56,11,0))^($A97-2025)</f>
        <v>1045</v>
      </c>
      <c r="N97" s="76" t="n">
        <f aca="false">H97*VLOOKUP($E97,Premissas!$A$52:$P$56,7,0)</f>
        <v>167.4955</v>
      </c>
      <c r="O97" s="76" t="n">
        <f aca="false">H97*VLOOKUP($E97,Premissas!$A$52:$P$56,8,0)</f>
        <v>133.9964</v>
      </c>
      <c r="P97" s="76" t="n">
        <f aca="false">H97*VLOOKUP($E97,Premissas!$A$52:$P$56,9,0)</f>
        <v>167.4955</v>
      </c>
      <c r="Q97" s="76" t="n">
        <f aca="false">K97-L97-M97-N97-O97-P97</f>
        <v>-2060.063</v>
      </c>
    </row>
    <row r="98" customFormat="false" ht="15" hidden="false" customHeight="true" outlineLevel="0" collapsed="false">
      <c r="A98" s="18" t="n">
        <v>2027</v>
      </c>
      <c r="B98" s="18" t="n">
        <v>1</v>
      </c>
      <c r="C98" s="18" t="s">
        <v>172</v>
      </c>
      <c r="D98" s="74" t="n">
        <v>46388</v>
      </c>
      <c r="E98" s="18" t="s">
        <v>143</v>
      </c>
      <c r="F98" s="76" t="n">
        <f aca="false">F86*(1+VLOOKUP($E98,Premissas!$A$52:$P$56,6,0))</f>
        <v>29058.799</v>
      </c>
      <c r="G98" s="76" t="n">
        <f aca="false">F98*VLOOKUP($E98,Premissas!$A$52:$P$56,5,0)</f>
        <v>11452.0726859</v>
      </c>
      <c r="H98" s="76" t="n">
        <f aca="false">F98-G98</f>
        <v>17606.7263141</v>
      </c>
      <c r="I98" s="77" t="n">
        <f aca="false">IF($A98=2025,VLOOKUP($E98,Premissas!$A$52:$P$56,2,0),IF($A98=2026,VLOOKUP($E98,Premissas!$A$52:$P$56,3,0),VLOOKUP($E98,Premissas!$A$52:$P$56,4,0)))</f>
        <v>0.42</v>
      </c>
      <c r="J98" s="76" t="n">
        <f aca="false">H98*(1-I98)</f>
        <v>10211.901262178</v>
      </c>
      <c r="K98" s="76" t="n">
        <f aca="false">H98-J98</f>
        <v>7394.825051922</v>
      </c>
      <c r="L98" s="78" t="n">
        <f aca="false">SUMIFS(Headcount_Folha!$I:$I,Headcount_Folha!$C:$C,$C98,Headcount_Folha!$D:$D,$E98)</f>
        <v>3360</v>
      </c>
      <c r="M98" s="76" t="n">
        <f aca="false">VLOOKUP($E98,Premissas!$A$52:$P$56,10,0)*(1+VLOOKUP($E98,Premissas!$A$52:$P$56,11,0))^($A98-2025)</f>
        <v>1092.025</v>
      </c>
      <c r="N98" s="76" t="n">
        <f aca="false">H98*VLOOKUP($E98,Premissas!$A$52:$P$56,7,0)</f>
        <v>440.1681578525</v>
      </c>
      <c r="O98" s="76" t="n">
        <f aca="false">H98*VLOOKUP($E98,Premissas!$A$52:$P$56,8,0)</f>
        <v>352.134526282</v>
      </c>
      <c r="P98" s="76" t="n">
        <f aca="false">H98*VLOOKUP($E98,Premissas!$A$52:$P$56,9,0)</f>
        <v>440.1681578525</v>
      </c>
      <c r="Q98" s="76" t="n">
        <f aca="false">K98-L98-M98-N98-O98-P98</f>
        <v>1710.329209935</v>
      </c>
    </row>
    <row r="99" customFormat="false" ht="15" hidden="false" customHeight="true" outlineLevel="0" collapsed="false">
      <c r="A99" s="18" t="n">
        <v>2027</v>
      </c>
      <c r="B99" s="18" t="n">
        <v>2</v>
      </c>
      <c r="C99" s="18" t="s">
        <v>173</v>
      </c>
      <c r="D99" s="74" t="n">
        <v>46419</v>
      </c>
      <c r="E99" s="18" t="s">
        <v>143</v>
      </c>
      <c r="F99" s="76" t="n">
        <f aca="false">F87*(1+VLOOKUP($E99,Premissas!$A$52:$P$56,6,0))</f>
        <v>4183.41</v>
      </c>
      <c r="G99" s="76" t="n">
        <f aca="false">F99*VLOOKUP($E99,Premissas!$A$52:$P$56,5,0)</f>
        <v>1648.681881</v>
      </c>
      <c r="H99" s="76" t="n">
        <f aca="false">F99-G99</f>
        <v>2534.728119</v>
      </c>
      <c r="I99" s="77" t="n">
        <f aca="false">IF($A99=2025,VLOOKUP($E99,Premissas!$A$52:$P$56,2,0),IF($A99=2026,VLOOKUP($E99,Premissas!$A$52:$P$56,3,0),VLOOKUP($E99,Premissas!$A$52:$P$56,4,0)))</f>
        <v>0.42</v>
      </c>
      <c r="J99" s="76" t="n">
        <f aca="false">H99*(1-I99)</f>
        <v>1470.14230902</v>
      </c>
      <c r="K99" s="76" t="n">
        <f aca="false">H99-J99</f>
        <v>1064.58580998</v>
      </c>
      <c r="L99" s="78" t="n">
        <f aca="false">SUMIFS(Headcount_Folha!$I:$I,Headcount_Folha!$C:$C,$C99,Headcount_Folha!$D:$D,$E99)</f>
        <v>3360</v>
      </c>
      <c r="M99" s="76" t="n">
        <f aca="false">VLOOKUP($E99,Premissas!$A$52:$P$56,10,0)*(1+VLOOKUP($E99,Premissas!$A$52:$P$56,11,0))^($A99-2025)</f>
        <v>1092.025</v>
      </c>
      <c r="N99" s="76" t="n">
        <f aca="false">H99*VLOOKUP($E99,Premissas!$A$52:$P$56,7,0)</f>
        <v>63.368202975</v>
      </c>
      <c r="O99" s="76" t="n">
        <f aca="false">H99*VLOOKUP($E99,Premissas!$A$52:$P$56,8,0)</f>
        <v>50.69456238</v>
      </c>
      <c r="P99" s="76" t="n">
        <f aca="false">H99*VLOOKUP($E99,Premissas!$A$52:$P$56,9,0)</f>
        <v>63.368202975</v>
      </c>
      <c r="Q99" s="76" t="n">
        <f aca="false">K99-L99-M99-N99-O99-P99</f>
        <v>-3564.87015835</v>
      </c>
    </row>
    <row r="100" customFormat="false" ht="15" hidden="false" customHeight="true" outlineLevel="0" collapsed="false">
      <c r="A100" s="18" t="n">
        <v>2027</v>
      </c>
      <c r="B100" s="18" t="n">
        <v>3</v>
      </c>
      <c r="C100" s="18" t="s">
        <v>174</v>
      </c>
      <c r="D100" s="74" t="n">
        <v>46447</v>
      </c>
      <c r="E100" s="18" t="s">
        <v>143</v>
      </c>
      <c r="F100" s="76" t="n">
        <f aca="false">F88*(1+VLOOKUP($E100,Premissas!$A$52:$P$56,6,0))</f>
        <v>7493.156</v>
      </c>
      <c r="G100" s="76" t="n">
        <f aca="false">F100*VLOOKUP($E100,Premissas!$A$52:$P$56,5,0)</f>
        <v>2953.0527796</v>
      </c>
      <c r="H100" s="76" t="n">
        <f aca="false">F100-G100</f>
        <v>4540.1032204</v>
      </c>
      <c r="I100" s="77" t="n">
        <f aca="false">IF($A100=2025,VLOOKUP($E100,Premissas!$A$52:$P$56,2,0),IF($A100=2026,VLOOKUP($E100,Premissas!$A$52:$P$56,3,0),VLOOKUP($E100,Premissas!$A$52:$P$56,4,0)))</f>
        <v>0.42</v>
      </c>
      <c r="J100" s="76" t="n">
        <f aca="false">H100*(1-I100)</f>
        <v>2633.259867832</v>
      </c>
      <c r="K100" s="76" t="n">
        <f aca="false">H100-J100</f>
        <v>1906.843352568</v>
      </c>
      <c r="L100" s="78" t="n">
        <f aca="false">SUMIFS(Headcount_Folha!$I:$I,Headcount_Folha!$C:$C,$C100,Headcount_Folha!$D:$D,$E100)</f>
        <v>3360</v>
      </c>
      <c r="M100" s="76" t="n">
        <f aca="false">VLOOKUP($E100,Premissas!$A$52:$P$56,10,0)*(1+VLOOKUP($E100,Premissas!$A$52:$P$56,11,0))^($A100-2025)</f>
        <v>1092.025</v>
      </c>
      <c r="N100" s="76" t="n">
        <f aca="false">H100*VLOOKUP($E100,Premissas!$A$52:$P$56,7,0)</f>
        <v>113.50258051</v>
      </c>
      <c r="O100" s="76" t="n">
        <f aca="false">H100*VLOOKUP($E100,Premissas!$A$52:$P$56,8,0)</f>
        <v>90.802064408</v>
      </c>
      <c r="P100" s="76" t="n">
        <f aca="false">H100*VLOOKUP($E100,Premissas!$A$52:$P$56,9,0)</f>
        <v>113.50258051</v>
      </c>
      <c r="Q100" s="76" t="n">
        <f aca="false">K100-L100-M100-N100-O100-P100</f>
        <v>-2862.98887286</v>
      </c>
    </row>
    <row r="101" customFormat="false" ht="15" hidden="false" customHeight="true" outlineLevel="0" collapsed="false">
      <c r="A101" s="18" t="n">
        <v>2027</v>
      </c>
      <c r="B101" s="18" t="n">
        <v>4</v>
      </c>
      <c r="C101" s="18" t="s">
        <v>175</v>
      </c>
      <c r="D101" s="74" t="n">
        <v>46478</v>
      </c>
      <c r="E101" s="18" t="s">
        <v>143</v>
      </c>
      <c r="F101" s="76" t="n">
        <f aca="false">F89*(1+VLOOKUP($E101,Premissas!$A$52:$P$56,6,0))</f>
        <v>7225.152</v>
      </c>
      <c r="G101" s="76" t="n">
        <f aca="false">F101*VLOOKUP($E101,Premissas!$A$52:$P$56,5,0)</f>
        <v>2847.4324032</v>
      </c>
      <c r="H101" s="76" t="n">
        <f aca="false">F101-G101</f>
        <v>4377.7195968</v>
      </c>
      <c r="I101" s="77" t="n">
        <f aca="false">IF($A101=2025,VLOOKUP($E101,Premissas!$A$52:$P$56,2,0),IF($A101=2026,VLOOKUP($E101,Premissas!$A$52:$P$56,3,0),VLOOKUP($E101,Premissas!$A$52:$P$56,4,0)))</f>
        <v>0.42</v>
      </c>
      <c r="J101" s="76" t="n">
        <f aca="false">H101*(1-I101)</f>
        <v>2539.077366144</v>
      </c>
      <c r="K101" s="76" t="n">
        <f aca="false">H101-J101</f>
        <v>1838.642230656</v>
      </c>
      <c r="L101" s="78" t="n">
        <f aca="false">SUMIFS(Headcount_Folha!$I:$I,Headcount_Folha!$C:$C,$C101,Headcount_Folha!$D:$D,$E101)</f>
        <v>3360</v>
      </c>
      <c r="M101" s="76" t="n">
        <f aca="false">VLOOKUP($E101,Premissas!$A$52:$P$56,10,0)*(1+VLOOKUP($E101,Premissas!$A$52:$P$56,11,0))^($A101-2025)</f>
        <v>1092.025</v>
      </c>
      <c r="N101" s="76" t="n">
        <f aca="false">H101*VLOOKUP($E101,Premissas!$A$52:$P$56,7,0)</f>
        <v>109.44298992</v>
      </c>
      <c r="O101" s="76" t="n">
        <f aca="false">H101*VLOOKUP($E101,Premissas!$A$52:$P$56,8,0)</f>
        <v>87.554391936</v>
      </c>
      <c r="P101" s="76" t="n">
        <f aca="false">H101*VLOOKUP($E101,Premissas!$A$52:$P$56,9,0)</f>
        <v>109.44298992</v>
      </c>
      <c r="Q101" s="76" t="n">
        <f aca="false">K101-L101-M101-N101-O101-P101</f>
        <v>-2919.82314112</v>
      </c>
    </row>
    <row r="102" customFormat="false" ht="15" hidden="false" customHeight="true" outlineLevel="0" collapsed="false">
      <c r="A102" s="18" t="n">
        <v>2027</v>
      </c>
      <c r="B102" s="18" t="n">
        <v>5</v>
      </c>
      <c r="C102" s="18" t="s">
        <v>176</v>
      </c>
      <c r="D102" s="74" t="n">
        <v>46508</v>
      </c>
      <c r="E102" s="18" t="s">
        <v>143</v>
      </c>
      <c r="F102" s="76" t="n">
        <f aca="false">F90*(1+VLOOKUP($E102,Premissas!$A$52:$P$56,6,0))</f>
        <v>40671.455</v>
      </c>
      <c r="G102" s="76" t="n">
        <f aca="false">F102*VLOOKUP($E102,Premissas!$A$52:$P$56,5,0)</f>
        <v>16028.6204155</v>
      </c>
      <c r="H102" s="76" t="n">
        <f aca="false">F102-G102</f>
        <v>24642.8345845</v>
      </c>
      <c r="I102" s="77" t="n">
        <f aca="false">IF($A102=2025,VLOOKUP($E102,Premissas!$A$52:$P$56,2,0),IF($A102=2026,VLOOKUP($E102,Premissas!$A$52:$P$56,3,0),VLOOKUP($E102,Premissas!$A$52:$P$56,4,0)))</f>
        <v>0.42</v>
      </c>
      <c r="J102" s="76" t="n">
        <f aca="false">H102*(1-I102)</f>
        <v>14292.84405901</v>
      </c>
      <c r="K102" s="76" t="n">
        <f aca="false">H102-J102</f>
        <v>10349.99052549</v>
      </c>
      <c r="L102" s="78" t="n">
        <f aca="false">SUMIFS(Headcount_Folha!$I:$I,Headcount_Folha!$C:$C,$C102,Headcount_Folha!$D:$D,$E102)</f>
        <v>3360</v>
      </c>
      <c r="M102" s="76" t="n">
        <f aca="false">VLOOKUP($E102,Premissas!$A$52:$P$56,10,0)*(1+VLOOKUP($E102,Premissas!$A$52:$P$56,11,0))^($A102-2025)</f>
        <v>1092.025</v>
      </c>
      <c r="N102" s="76" t="n">
        <f aca="false">H102*VLOOKUP($E102,Premissas!$A$52:$P$56,7,0)</f>
        <v>616.0708646125</v>
      </c>
      <c r="O102" s="76" t="n">
        <f aca="false">H102*VLOOKUP($E102,Premissas!$A$52:$P$56,8,0)</f>
        <v>492.85669169</v>
      </c>
      <c r="P102" s="76" t="n">
        <f aca="false">H102*VLOOKUP($E102,Premissas!$A$52:$P$56,9,0)</f>
        <v>616.0708646125</v>
      </c>
      <c r="Q102" s="76" t="n">
        <f aca="false">K102-L102-M102-N102-O102-P102</f>
        <v>4172.967104575</v>
      </c>
    </row>
    <row r="103" customFormat="false" ht="15" hidden="false" customHeight="true" outlineLevel="0" collapsed="false">
      <c r="A103" s="18" t="n">
        <v>2027</v>
      </c>
      <c r="B103" s="18" t="n">
        <v>6</v>
      </c>
      <c r="C103" s="18" t="s">
        <v>177</v>
      </c>
      <c r="D103" s="74" t="n">
        <v>46539</v>
      </c>
      <c r="E103" s="18" t="s">
        <v>143</v>
      </c>
      <c r="F103" s="76" t="n">
        <f aca="false">F91*(1+VLOOKUP($E103,Premissas!$A$52:$P$56,6,0))</f>
        <v>30000.036</v>
      </c>
      <c r="G103" s="76" t="n">
        <f aca="false">F103*VLOOKUP($E103,Premissas!$A$52:$P$56,5,0)</f>
        <v>11823.0141876</v>
      </c>
      <c r="H103" s="76" t="n">
        <f aca="false">F103-G103</f>
        <v>18177.0218124</v>
      </c>
      <c r="I103" s="77" t="n">
        <f aca="false">IF($A103=2025,VLOOKUP($E103,Premissas!$A$52:$P$56,2,0),IF($A103=2026,VLOOKUP($E103,Premissas!$A$52:$P$56,3,0),VLOOKUP($E103,Premissas!$A$52:$P$56,4,0)))</f>
        <v>0.42</v>
      </c>
      <c r="J103" s="76" t="n">
        <f aca="false">H103*(1-I103)</f>
        <v>10542.672651192</v>
      </c>
      <c r="K103" s="76" t="n">
        <f aca="false">H103-J103</f>
        <v>7634.349161208</v>
      </c>
      <c r="L103" s="78" t="n">
        <f aca="false">SUMIFS(Headcount_Folha!$I:$I,Headcount_Folha!$C:$C,$C103,Headcount_Folha!$D:$D,$E103)</f>
        <v>3360</v>
      </c>
      <c r="M103" s="76" t="n">
        <f aca="false">VLOOKUP($E103,Premissas!$A$52:$P$56,10,0)*(1+VLOOKUP($E103,Premissas!$A$52:$P$56,11,0))^($A103-2025)</f>
        <v>1092.025</v>
      </c>
      <c r="N103" s="76" t="n">
        <f aca="false">H103*VLOOKUP($E103,Premissas!$A$52:$P$56,7,0)</f>
        <v>454.42554531</v>
      </c>
      <c r="O103" s="76" t="n">
        <f aca="false">H103*VLOOKUP($E103,Premissas!$A$52:$P$56,8,0)</f>
        <v>363.540436248</v>
      </c>
      <c r="P103" s="76" t="n">
        <f aca="false">H103*VLOOKUP($E103,Premissas!$A$52:$P$56,9,0)</f>
        <v>454.42554531</v>
      </c>
      <c r="Q103" s="76" t="n">
        <f aca="false">K103-L103-M103-N103-O103-P103</f>
        <v>1909.93263434</v>
      </c>
    </row>
    <row r="104" customFormat="false" ht="15" hidden="false" customHeight="true" outlineLevel="0" collapsed="false">
      <c r="A104" s="18" t="n">
        <v>2027</v>
      </c>
      <c r="B104" s="18" t="n">
        <v>7</v>
      </c>
      <c r="C104" s="18" t="s">
        <v>178</v>
      </c>
      <c r="D104" s="74" t="n">
        <v>46569</v>
      </c>
      <c r="E104" s="18" t="s">
        <v>143</v>
      </c>
      <c r="F104" s="76" t="n">
        <f aca="false">F92*(1+VLOOKUP($E104,Premissas!$A$52:$P$56,6,0))</f>
        <v>12513.534</v>
      </c>
      <c r="G104" s="76" t="n">
        <f aca="false">F104*VLOOKUP($E104,Premissas!$A$52:$P$56,5,0)</f>
        <v>4931.5837494</v>
      </c>
      <c r="H104" s="76" t="n">
        <f aca="false">F104-G104</f>
        <v>7581.9502506</v>
      </c>
      <c r="I104" s="77" t="n">
        <f aca="false">IF($A104=2025,VLOOKUP($E104,Premissas!$A$52:$P$56,2,0),IF($A104=2026,VLOOKUP($E104,Premissas!$A$52:$P$56,3,0),VLOOKUP($E104,Premissas!$A$52:$P$56,4,0)))</f>
        <v>0.42</v>
      </c>
      <c r="J104" s="76" t="n">
        <f aca="false">H104*(1-I104)</f>
        <v>4397.531145348</v>
      </c>
      <c r="K104" s="76" t="n">
        <f aca="false">H104-J104</f>
        <v>3184.419105252</v>
      </c>
      <c r="L104" s="78" t="n">
        <f aca="false">SUMIFS(Headcount_Folha!$I:$I,Headcount_Folha!$C:$C,$C104,Headcount_Folha!$D:$D,$E104)</f>
        <v>3360</v>
      </c>
      <c r="M104" s="76" t="n">
        <f aca="false">VLOOKUP($E104,Premissas!$A$52:$P$56,10,0)*(1+VLOOKUP($E104,Premissas!$A$52:$P$56,11,0))^($A104-2025)</f>
        <v>1092.025</v>
      </c>
      <c r="N104" s="76" t="n">
        <f aca="false">H104*VLOOKUP($E104,Premissas!$A$52:$P$56,7,0)</f>
        <v>189.548756265</v>
      </c>
      <c r="O104" s="76" t="n">
        <f aca="false">H104*VLOOKUP($E104,Premissas!$A$52:$P$56,8,0)</f>
        <v>151.639005012</v>
      </c>
      <c r="P104" s="76" t="n">
        <f aca="false">H104*VLOOKUP($E104,Premissas!$A$52:$P$56,9,0)</f>
        <v>189.548756265</v>
      </c>
      <c r="Q104" s="76" t="n">
        <f aca="false">K104-L104-M104-N104-O104-P104</f>
        <v>-1798.34241229</v>
      </c>
    </row>
    <row r="105" customFormat="false" ht="15" hidden="false" customHeight="true" outlineLevel="0" collapsed="false">
      <c r="A105" s="18" t="n">
        <v>2027</v>
      </c>
      <c r="B105" s="18" t="n">
        <v>8</v>
      </c>
      <c r="C105" s="18" t="s">
        <v>179</v>
      </c>
      <c r="D105" s="74" t="n">
        <v>46600</v>
      </c>
      <c r="E105" s="18" t="s">
        <v>143</v>
      </c>
      <c r="F105" s="76" t="n">
        <f aca="false">F93*(1+VLOOKUP($E105,Premissas!$A$52:$P$56,6,0))</f>
        <v>19851.139</v>
      </c>
      <c r="G105" s="76" t="n">
        <f aca="false">F105*VLOOKUP($E105,Premissas!$A$52:$P$56,5,0)</f>
        <v>7823.3338799</v>
      </c>
      <c r="H105" s="76" t="n">
        <f aca="false">F105-G105</f>
        <v>12027.8051201</v>
      </c>
      <c r="I105" s="77" t="n">
        <f aca="false">IF($A105=2025,VLOOKUP($E105,Premissas!$A$52:$P$56,2,0),IF($A105=2026,VLOOKUP($E105,Premissas!$A$52:$P$56,3,0),VLOOKUP($E105,Premissas!$A$52:$P$56,4,0)))</f>
        <v>0.42</v>
      </c>
      <c r="J105" s="76" t="n">
        <f aca="false">H105*(1-I105)</f>
        <v>6976.126969658</v>
      </c>
      <c r="K105" s="76" t="n">
        <f aca="false">H105-J105</f>
        <v>5051.678150442</v>
      </c>
      <c r="L105" s="78" t="n">
        <f aca="false">SUMIFS(Headcount_Folha!$I:$I,Headcount_Folha!$C:$C,$C105,Headcount_Folha!$D:$D,$E105)</f>
        <v>3360</v>
      </c>
      <c r="M105" s="76" t="n">
        <f aca="false">VLOOKUP($E105,Premissas!$A$52:$P$56,10,0)*(1+VLOOKUP($E105,Premissas!$A$52:$P$56,11,0))^($A105-2025)</f>
        <v>1092.025</v>
      </c>
      <c r="N105" s="76" t="n">
        <f aca="false">H105*VLOOKUP($E105,Premissas!$A$52:$P$56,7,0)</f>
        <v>300.6951280025</v>
      </c>
      <c r="O105" s="76" t="n">
        <f aca="false">H105*VLOOKUP($E105,Premissas!$A$52:$P$56,8,0)</f>
        <v>240.556102402</v>
      </c>
      <c r="P105" s="76" t="n">
        <f aca="false">H105*VLOOKUP($E105,Premissas!$A$52:$P$56,9,0)</f>
        <v>300.6951280025</v>
      </c>
      <c r="Q105" s="76" t="n">
        <f aca="false">K105-L105-M105-N105-O105-P105</f>
        <v>-242.293207965001</v>
      </c>
    </row>
    <row r="106" customFormat="false" ht="15" hidden="false" customHeight="true" outlineLevel="0" collapsed="false">
      <c r="A106" s="18" t="n">
        <v>2027</v>
      </c>
      <c r="B106" s="18" t="n">
        <v>9</v>
      </c>
      <c r="C106" s="18" t="s">
        <v>180</v>
      </c>
      <c r="D106" s="74" t="n">
        <v>46631</v>
      </c>
      <c r="E106" s="18" t="s">
        <v>143</v>
      </c>
      <c r="F106" s="76" t="n">
        <f aca="false">F94*(1+VLOOKUP($E106,Premissas!$A$52:$P$56,6,0))</f>
        <v>16603.202</v>
      </c>
      <c r="G106" s="76" t="n">
        <f aca="false">F106*VLOOKUP($E106,Premissas!$A$52:$P$56,5,0)</f>
        <v>6543.3219082</v>
      </c>
      <c r="H106" s="76" t="n">
        <f aca="false">F106-G106</f>
        <v>10059.8800918</v>
      </c>
      <c r="I106" s="77" t="n">
        <f aca="false">IF($A106=2025,VLOOKUP($E106,Premissas!$A$52:$P$56,2,0),IF($A106=2026,VLOOKUP($E106,Premissas!$A$52:$P$56,3,0),VLOOKUP($E106,Premissas!$A$52:$P$56,4,0)))</f>
        <v>0.42</v>
      </c>
      <c r="J106" s="76" t="n">
        <f aca="false">H106*(1-I106)</f>
        <v>5834.730453244</v>
      </c>
      <c r="K106" s="76" t="n">
        <f aca="false">H106-J106</f>
        <v>4225.149638556</v>
      </c>
      <c r="L106" s="78" t="n">
        <f aca="false">SUMIFS(Headcount_Folha!$I:$I,Headcount_Folha!$C:$C,$C106,Headcount_Folha!$D:$D,$E106)</f>
        <v>3360</v>
      </c>
      <c r="M106" s="76" t="n">
        <f aca="false">VLOOKUP($E106,Premissas!$A$52:$P$56,10,0)*(1+VLOOKUP($E106,Premissas!$A$52:$P$56,11,0))^($A106-2025)</f>
        <v>1092.025</v>
      </c>
      <c r="N106" s="76" t="n">
        <f aca="false">H106*VLOOKUP($E106,Premissas!$A$52:$P$56,7,0)</f>
        <v>251.497002295</v>
      </c>
      <c r="O106" s="76" t="n">
        <f aca="false">H106*VLOOKUP($E106,Premissas!$A$52:$P$56,8,0)</f>
        <v>201.197601836</v>
      </c>
      <c r="P106" s="76" t="n">
        <f aca="false">H106*VLOOKUP($E106,Premissas!$A$52:$P$56,9,0)</f>
        <v>251.497002295</v>
      </c>
      <c r="Q106" s="76" t="n">
        <f aca="false">K106-L106-M106-N106-O106-P106</f>
        <v>-931.06696787</v>
      </c>
    </row>
    <row r="107" customFormat="false" ht="15" hidden="false" customHeight="true" outlineLevel="0" collapsed="false">
      <c r="A107" s="18" t="n">
        <v>2027</v>
      </c>
      <c r="B107" s="18" t="n">
        <v>10</v>
      </c>
      <c r="C107" s="18" t="s">
        <v>181</v>
      </c>
      <c r="D107" s="74" t="n">
        <v>46661</v>
      </c>
      <c r="E107" s="18" t="s">
        <v>143</v>
      </c>
      <c r="F107" s="76" t="n">
        <f aca="false">F95*(1+VLOOKUP($E107,Premissas!$A$52:$P$56,6,0))</f>
        <v>20068.235</v>
      </c>
      <c r="G107" s="76" t="n">
        <f aca="false">F107*VLOOKUP($E107,Premissas!$A$52:$P$56,5,0)</f>
        <v>7908.8914135</v>
      </c>
      <c r="H107" s="76" t="n">
        <f aca="false">F107-G107</f>
        <v>12159.3435865</v>
      </c>
      <c r="I107" s="77" t="n">
        <f aca="false">IF($A107=2025,VLOOKUP($E107,Premissas!$A$52:$P$56,2,0),IF($A107=2026,VLOOKUP($E107,Premissas!$A$52:$P$56,3,0),VLOOKUP($E107,Premissas!$A$52:$P$56,4,0)))</f>
        <v>0.42</v>
      </c>
      <c r="J107" s="76" t="n">
        <f aca="false">H107*(1-I107)</f>
        <v>7052.41928017</v>
      </c>
      <c r="K107" s="76" t="n">
        <f aca="false">H107-J107</f>
        <v>5106.92430633</v>
      </c>
      <c r="L107" s="78" t="n">
        <f aca="false">SUMIFS(Headcount_Folha!$I:$I,Headcount_Folha!$C:$C,$C107,Headcount_Folha!$D:$D,$E107)</f>
        <v>3360</v>
      </c>
      <c r="M107" s="76" t="n">
        <f aca="false">VLOOKUP($E107,Premissas!$A$52:$P$56,10,0)*(1+VLOOKUP($E107,Premissas!$A$52:$P$56,11,0))^($A107-2025)</f>
        <v>1092.025</v>
      </c>
      <c r="N107" s="76" t="n">
        <f aca="false">H107*VLOOKUP($E107,Premissas!$A$52:$P$56,7,0)</f>
        <v>303.9835896625</v>
      </c>
      <c r="O107" s="76" t="n">
        <f aca="false">H107*VLOOKUP($E107,Premissas!$A$52:$P$56,8,0)</f>
        <v>243.18687173</v>
      </c>
      <c r="P107" s="76" t="n">
        <f aca="false">H107*VLOOKUP($E107,Premissas!$A$52:$P$56,9,0)</f>
        <v>303.9835896625</v>
      </c>
      <c r="Q107" s="76" t="n">
        <f aca="false">K107-L107-M107-N107-O107-P107</f>
        <v>-196.254744725001</v>
      </c>
    </row>
    <row r="108" customFormat="false" ht="15" hidden="false" customHeight="true" outlineLevel="0" collapsed="false">
      <c r="A108" s="18" t="n">
        <v>2027</v>
      </c>
      <c r="B108" s="18" t="n">
        <v>11</v>
      </c>
      <c r="C108" s="18" t="s">
        <v>182</v>
      </c>
      <c r="D108" s="74" t="n">
        <v>46692</v>
      </c>
      <c r="E108" s="18" t="s">
        <v>143</v>
      </c>
      <c r="F108" s="76" t="n">
        <f aca="false">F96*(1+VLOOKUP($E108,Premissas!$A$52:$P$56,6,0))</f>
        <v>17518.479</v>
      </c>
      <c r="G108" s="76" t="n">
        <f aca="false">F108*VLOOKUP($E108,Premissas!$A$52:$P$56,5,0)</f>
        <v>6904.0325739</v>
      </c>
      <c r="H108" s="76" t="n">
        <f aca="false">F108-G108</f>
        <v>10614.4464261</v>
      </c>
      <c r="I108" s="77" t="n">
        <f aca="false">IF($A108=2025,VLOOKUP($E108,Premissas!$A$52:$P$56,2,0),IF($A108=2026,VLOOKUP($E108,Premissas!$A$52:$P$56,3,0),VLOOKUP($E108,Premissas!$A$52:$P$56,4,0)))</f>
        <v>0.42</v>
      </c>
      <c r="J108" s="76" t="n">
        <f aca="false">H108*(1-I108)</f>
        <v>6156.378927138</v>
      </c>
      <c r="K108" s="76" t="n">
        <f aca="false">H108-J108</f>
        <v>4458.067498962</v>
      </c>
      <c r="L108" s="78" t="n">
        <f aca="false">SUMIFS(Headcount_Folha!$I:$I,Headcount_Folha!$C:$C,$C108,Headcount_Folha!$D:$D,$E108)</f>
        <v>3360</v>
      </c>
      <c r="M108" s="76" t="n">
        <f aca="false">VLOOKUP($E108,Premissas!$A$52:$P$56,10,0)*(1+VLOOKUP($E108,Premissas!$A$52:$P$56,11,0))^($A108-2025)</f>
        <v>1092.025</v>
      </c>
      <c r="N108" s="76" t="n">
        <f aca="false">H108*VLOOKUP($E108,Premissas!$A$52:$P$56,7,0)</f>
        <v>265.3611606525</v>
      </c>
      <c r="O108" s="76" t="n">
        <f aca="false">H108*VLOOKUP($E108,Premissas!$A$52:$P$56,8,0)</f>
        <v>212.288928522</v>
      </c>
      <c r="P108" s="76" t="n">
        <f aca="false">H108*VLOOKUP($E108,Premissas!$A$52:$P$56,9,0)</f>
        <v>265.3611606525</v>
      </c>
      <c r="Q108" s="76" t="n">
        <f aca="false">K108-L108-M108-N108-O108-P108</f>
        <v>-736.968750865001</v>
      </c>
    </row>
    <row r="109" customFormat="false" ht="15" hidden="false" customHeight="true" outlineLevel="0" collapsed="false">
      <c r="A109" s="18" t="n">
        <v>2027</v>
      </c>
      <c r="B109" s="18" t="n">
        <v>12</v>
      </c>
      <c r="C109" s="18" t="s">
        <v>183</v>
      </c>
      <c r="D109" s="74" t="n">
        <v>46722</v>
      </c>
      <c r="E109" s="18" t="s">
        <v>143</v>
      </c>
      <c r="F109" s="76" t="n">
        <f aca="false">F97*(1+VLOOKUP($E109,Premissas!$A$52:$P$56,6,0))</f>
        <v>11654.027</v>
      </c>
      <c r="G109" s="76" t="n">
        <f aca="false">F109*VLOOKUP($E109,Premissas!$A$52:$P$56,5,0)</f>
        <v>4592.8520407</v>
      </c>
      <c r="H109" s="76" t="n">
        <f aca="false">F109-G109</f>
        <v>7061.1749593</v>
      </c>
      <c r="I109" s="77" t="n">
        <f aca="false">IF($A109=2025,VLOOKUP($E109,Premissas!$A$52:$P$56,2,0),IF($A109=2026,VLOOKUP($E109,Premissas!$A$52:$P$56,3,0),VLOOKUP($E109,Premissas!$A$52:$P$56,4,0)))</f>
        <v>0.42</v>
      </c>
      <c r="J109" s="76" t="n">
        <f aca="false">H109*(1-I109)</f>
        <v>4095.481476394</v>
      </c>
      <c r="K109" s="76" t="n">
        <f aca="false">H109-J109</f>
        <v>2965.693482906</v>
      </c>
      <c r="L109" s="78" t="n">
        <f aca="false">SUMIFS(Headcount_Folha!$I:$I,Headcount_Folha!$C:$C,$C109,Headcount_Folha!$D:$D,$E109)</f>
        <v>3360</v>
      </c>
      <c r="M109" s="76" t="n">
        <f aca="false">VLOOKUP($E109,Premissas!$A$52:$P$56,10,0)*(1+VLOOKUP($E109,Premissas!$A$52:$P$56,11,0))^($A109-2025)</f>
        <v>1092.025</v>
      </c>
      <c r="N109" s="76" t="n">
        <f aca="false">H109*VLOOKUP($E109,Premissas!$A$52:$P$56,7,0)</f>
        <v>176.5293739825</v>
      </c>
      <c r="O109" s="76" t="n">
        <f aca="false">H109*VLOOKUP($E109,Premissas!$A$52:$P$56,8,0)</f>
        <v>141.223499186</v>
      </c>
      <c r="P109" s="76" t="n">
        <f aca="false">H109*VLOOKUP($E109,Premissas!$A$52:$P$56,9,0)</f>
        <v>176.5293739825</v>
      </c>
      <c r="Q109" s="76" t="n">
        <f aca="false">K109-L109-M109-N109-O109-P109</f>
        <v>-1980.613764245</v>
      </c>
    </row>
    <row r="110" customFormat="false" ht="15" hidden="false" customHeight="true" outlineLevel="0" collapsed="false">
      <c r="A110" s="18" t="n">
        <v>2025</v>
      </c>
      <c r="B110" s="18" t="n">
        <v>1</v>
      </c>
      <c r="C110" s="18" t="s">
        <v>148</v>
      </c>
      <c r="D110" s="74" t="n">
        <v>45658</v>
      </c>
      <c r="E110" s="18" t="s">
        <v>144</v>
      </c>
      <c r="F110" s="75" t="n">
        <v>40823.81</v>
      </c>
      <c r="G110" s="75" t="n">
        <v>9717.7</v>
      </c>
      <c r="H110" s="76" t="n">
        <f aca="false">F110-G110</f>
        <v>31106.11</v>
      </c>
      <c r="I110" s="77" t="n">
        <f aca="false">IF($A110=2025,VLOOKUP($E110,Premissas!$A$52:$P$56,2,0),IF($A110=2026,VLOOKUP($E110,Premissas!$A$52:$P$56,3,0),VLOOKUP($E110,Premissas!$A$52:$P$56,4,0)))</f>
        <v>0.46</v>
      </c>
      <c r="J110" s="76" t="n">
        <f aca="false">H110*(1-I110)</f>
        <v>16797.2994</v>
      </c>
      <c r="K110" s="76" t="n">
        <f aca="false">H110-J110</f>
        <v>14308.8106</v>
      </c>
      <c r="L110" s="78" t="n">
        <f aca="false">SUMIFS(Headcount_Folha!$I:$I,Headcount_Folha!$C:$C,$C110,Headcount_Folha!$D:$D,$E110)</f>
        <v>8736</v>
      </c>
      <c r="M110" s="76" t="n">
        <f aca="false">VLOOKUP($E110,Premissas!$A$52:$P$56,10,0)*(1+VLOOKUP($E110,Premissas!$A$52:$P$56,11,0))^($A110-2025)</f>
        <v>2500</v>
      </c>
      <c r="N110" s="76" t="n">
        <f aca="false">H110*VLOOKUP($E110,Premissas!$A$52:$P$56,7,0)</f>
        <v>622.1222</v>
      </c>
      <c r="O110" s="76" t="n">
        <f aca="false">H110*VLOOKUP($E110,Premissas!$A$52:$P$56,8,0)</f>
        <v>466.59165</v>
      </c>
      <c r="P110" s="76" t="n">
        <f aca="false">H110*VLOOKUP($E110,Premissas!$A$52:$P$56,9,0)</f>
        <v>622.1222</v>
      </c>
      <c r="Q110" s="76" t="n">
        <f aca="false">K110-L110-M110-N110-O110-P110</f>
        <v>1361.97455</v>
      </c>
    </row>
    <row r="111" customFormat="false" ht="15" hidden="false" customHeight="true" outlineLevel="0" collapsed="false">
      <c r="A111" s="18" t="n">
        <v>2025</v>
      </c>
      <c r="B111" s="18" t="n">
        <v>2</v>
      </c>
      <c r="C111" s="18" t="s">
        <v>149</v>
      </c>
      <c r="D111" s="74" t="n">
        <v>45689</v>
      </c>
      <c r="E111" s="18" t="s">
        <v>144</v>
      </c>
      <c r="F111" s="75" t="n">
        <v>45562.11</v>
      </c>
      <c r="G111" s="75" t="n">
        <v>11653.96</v>
      </c>
      <c r="H111" s="76" t="n">
        <f aca="false">F111-G111</f>
        <v>33908.15</v>
      </c>
      <c r="I111" s="77" t="n">
        <f aca="false">IF($A111=2025,VLOOKUP($E111,Premissas!$A$52:$P$56,2,0),IF($A111=2026,VLOOKUP($E111,Premissas!$A$52:$P$56,3,0),VLOOKUP($E111,Premissas!$A$52:$P$56,4,0)))</f>
        <v>0.46</v>
      </c>
      <c r="J111" s="76" t="n">
        <f aca="false">H111*(1-I111)</f>
        <v>18310.401</v>
      </c>
      <c r="K111" s="76" t="n">
        <f aca="false">H111-J111</f>
        <v>15597.749</v>
      </c>
      <c r="L111" s="78" t="n">
        <f aca="false">SUMIFS(Headcount_Folha!$I:$I,Headcount_Folha!$C:$C,$C111,Headcount_Folha!$D:$D,$E111)</f>
        <v>8736</v>
      </c>
      <c r="M111" s="76" t="n">
        <f aca="false">VLOOKUP($E111,Premissas!$A$52:$P$56,10,0)*(1+VLOOKUP($E111,Premissas!$A$52:$P$56,11,0))^($A111-2025)</f>
        <v>2500</v>
      </c>
      <c r="N111" s="76" t="n">
        <f aca="false">H111*VLOOKUP($E111,Premissas!$A$52:$P$56,7,0)</f>
        <v>678.163</v>
      </c>
      <c r="O111" s="76" t="n">
        <f aca="false">H111*VLOOKUP($E111,Premissas!$A$52:$P$56,8,0)</f>
        <v>508.62225</v>
      </c>
      <c r="P111" s="76" t="n">
        <f aca="false">H111*VLOOKUP($E111,Premissas!$A$52:$P$56,9,0)</f>
        <v>678.163</v>
      </c>
      <c r="Q111" s="76" t="n">
        <f aca="false">K111-L111-M111-N111-O111-P111</f>
        <v>2496.80075</v>
      </c>
    </row>
    <row r="112" customFormat="false" ht="15" hidden="false" customHeight="true" outlineLevel="0" collapsed="false">
      <c r="A112" s="18" t="n">
        <v>2025</v>
      </c>
      <c r="B112" s="18" t="n">
        <v>3</v>
      </c>
      <c r="C112" s="18" t="s">
        <v>150</v>
      </c>
      <c r="D112" s="74" t="n">
        <v>45717</v>
      </c>
      <c r="E112" s="18" t="s">
        <v>144</v>
      </c>
      <c r="F112" s="75" t="n">
        <v>47851.82</v>
      </c>
      <c r="G112" s="75" t="n">
        <v>11889.73</v>
      </c>
      <c r="H112" s="76" t="n">
        <f aca="false">F112-G112</f>
        <v>35962.09</v>
      </c>
      <c r="I112" s="77" t="n">
        <f aca="false">IF($A112=2025,VLOOKUP($E112,Premissas!$A$52:$P$56,2,0),IF($A112=2026,VLOOKUP($E112,Premissas!$A$52:$P$56,3,0),VLOOKUP($E112,Premissas!$A$52:$P$56,4,0)))</f>
        <v>0.46</v>
      </c>
      <c r="J112" s="76" t="n">
        <f aca="false">H112*(1-I112)</f>
        <v>19419.5286</v>
      </c>
      <c r="K112" s="76" t="n">
        <f aca="false">H112-J112</f>
        <v>16542.5614</v>
      </c>
      <c r="L112" s="78" t="n">
        <f aca="false">SUMIFS(Headcount_Folha!$I:$I,Headcount_Folha!$C:$C,$C112,Headcount_Folha!$D:$D,$E112)</f>
        <v>8736</v>
      </c>
      <c r="M112" s="76" t="n">
        <f aca="false">VLOOKUP($E112,Premissas!$A$52:$P$56,10,0)*(1+VLOOKUP($E112,Premissas!$A$52:$P$56,11,0))^($A112-2025)</f>
        <v>2500</v>
      </c>
      <c r="N112" s="76" t="n">
        <f aca="false">H112*VLOOKUP($E112,Premissas!$A$52:$P$56,7,0)</f>
        <v>719.2418</v>
      </c>
      <c r="O112" s="76" t="n">
        <f aca="false">H112*VLOOKUP($E112,Premissas!$A$52:$P$56,8,0)</f>
        <v>539.43135</v>
      </c>
      <c r="P112" s="76" t="n">
        <f aca="false">H112*VLOOKUP($E112,Premissas!$A$52:$P$56,9,0)</f>
        <v>719.2418</v>
      </c>
      <c r="Q112" s="76" t="n">
        <f aca="false">K112-L112-M112-N112-O112-P112</f>
        <v>3328.64645</v>
      </c>
    </row>
    <row r="113" customFormat="false" ht="15" hidden="false" customHeight="true" outlineLevel="0" collapsed="false">
      <c r="A113" s="18" t="n">
        <v>2025</v>
      </c>
      <c r="B113" s="18" t="n">
        <v>4</v>
      </c>
      <c r="C113" s="18" t="s">
        <v>151</v>
      </c>
      <c r="D113" s="74" t="n">
        <v>45748</v>
      </c>
      <c r="E113" s="18" t="s">
        <v>144</v>
      </c>
      <c r="F113" s="75" t="n">
        <v>54855.37</v>
      </c>
      <c r="G113" s="75" t="n">
        <v>12874.81</v>
      </c>
      <c r="H113" s="76" t="n">
        <f aca="false">F113-G113</f>
        <v>41980.56</v>
      </c>
      <c r="I113" s="77" t="n">
        <f aca="false">IF($A113=2025,VLOOKUP($E113,Premissas!$A$52:$P$56,2,0),IF($A113=2026,VLOOKUP($E113,Premissas!$A$52:$P$56,3,0),VLOOKUP($E113,Premissas!$A$52:$P$56,4,0)))</f>
        <v>0.46</v>
      </c>
      <c r="J113" s="76" t="n">
        <f aca="false">H113*(1-I113)</f>
        <v>22669.5024</v>
      </c>
      <c r="K113" s="76" t="n">
        <f aca="false">H113-J113</f>
        <v>19311.0576</v>
      </c>
      <c r="L113" s="78" t="n">
        <f aca="false">SUMIFS(Headcount_Folha!$I:$I,Headcount_Folha!$C:$C,$C113,Headcount_Folha!$D:$D,$E113)</f>
        <v>8736</v>
      </c>
      <c r="M113" s="76" t="n">
        <f aca="false">VLOOKUP($E113,Premissas!$A$52:$P$56,10,0)*(1+VLOOKUP($E113,Premissas!$A$52:$P$56,11,0))^($A113-2025)</f>
        <v>2500</v>
      </c>
      <c r="N113" s="76" t="n">
        <f aca="false">H113*VLOOKUP($E113,Premissas!$A$52:$P$56,7,0)</f>
        <v>839.6112</v>
      </c>
      <c r="O113" s="76" t="n">
        <f aca="false">H113*VLOOKUP($E113,Premissas!$A$52:$P$56,8,0)</f>
        <v>629.7084</v>
      </c>
      <c r="P113" s="76" t="n">
        <f aca="false">H113*VLOOKUP($E113,Premissas!$A$52:$P$56,9,0)</f>
        <v>839.6112</v>
      </c>
      <c r="Q113" s="76" t="n">
        <f aca="false">K113-L113-M113-N113-O113-P113</f>
        <v>5766.1268</v>
      </c>
    </row>
    <row r="114" customFormat="false" ht="15" hidden="false" customHeight="true" outlineLevel="0" collapsed="false">
      <c r="A114" s="18" t="n">
        <v>2025</v>
      </c>
      <c r="B114" s="18" t="n">
        <v>5</v>
      </c>
      <c r="C114" s="18" t="s">
        <v>152</v>
      </c>
      <c r="D114" s="74" t="n">
        <v>45778</v>
      </c>
      <c r="E114" s="18" t="s">
        <v>144</v>
      </c>
      <c r="F114" s="75" t="n">
        <v>48120.44</v>
      </c>
      <c r="G114" s="75" t="n">
        <v>11491.01</v>
      </c>
      <c r="H114" s="76" t="n">
        <f aca="false">F114-G114</f>
        <v>36629.43</v>
      </c>
      <c r="I114" s="77" t="n">
        <f aca="false">IF($A114=2025,VLOOKUP($E114,Premissas!$A$52:$P$56,2,0),IF($A114=2026,VLOOKUP($E114,Premissas!$A$52:$P$56,3,0),VLOOKUP($E114,Premissas!$A$52:$P$56,4,0)))</f>
        <v>0.46</v>
      </c>
      <c r="J114" s="76" t="n">
        <f aca="false">H114*(1-I114)</f>
        <v>19779.8922</v>
      </c>
      <c r="K114" s="76" t="n">
        <f aca="false">H114-J114</f>
        <v>16849.5378</v>
      </c>
      <c r="L114" s="78" t="n">
        <f aca="false">SUMIFS(Headcount_Folha!$I:$I,Headcount_Folha!$C:$C,$C114,Headcount_Folha!$D:$D,$E114)</f>
        <v>8736</v>
      </c>
      <c r="M114" s="76" t="n">
        <f aca="false">VLOOKUP($E114,Premissas!$A$52:$P$56,10,0)*(1+VLOOKUP($E114,Premissas!$A$52:$P$56,11,0))^($A114-2025)</f>
        <v>2500</v>
      </c>
      <c r="N114" s="76" t="n">
        <f aca="false">H114*VLOOKUP($E114,Premissas!$A$52:$P$56,7,0)</f>
        <v>732.5886</v>
      </c>
      <c r="O114" s="76" t="n">
        <f aca="false">H114*VLOOKUP($E114,Premissas!$A$52:$P$56,8,0)</f>
        <v>549.44145</v>
      </c>
      <c r="P114" s="76" t="n">
        <f aca="false">H114*VLOOKUP($E114,Premissas!$A$52:$P$56,9,0)</f>
        <v>732.5886</v>
      </c>
      <c r="Q114" s="76" t="n">
        <f aca="false">K114-L114-M114-N114-O114-P114</f>
        <v>3598.91915</v>
      </c>
    </row>
    <row r="115" customFormat="false" ht="15" hidden="false" customHeight="true" outlineLevel="0" collapsed="false">
      <c r="A115" s="18" t="n">
        <v>2025</v>
      </c>
      <c r="B115" s="18" t="n">
        <v>6</v>
      </c>
      <c r="C115" s="18" t="s">
        <v>153</v>
      </c>
      <c r="D115" s="74" t="n">
        <v>45809</v>
      </c>
      <c r="E115" s="18" t="s">
        <v>144</v>
      </c>
      <c r="F115" s="75" t="n">
        <v>45623.81</v>
      </c>
      <c r="G115" s="75" t="n">
        <v>11331.68</v>
      </c>
      <c r="H115" s="76" t="n">
        <f aca="false">F115-G115</f>
        <v>34292.13</v>
      </c>
      <c r="I115" s="77" t="n">
        <f aca="false">IF($A115=2025,VLOOKUP($E115,Premissas!$A$52:$P$56,2,0),IF($A115=2026,VLOOKUP($E115,Premissas!$A$52:$P$56,3,0),VLOOKUP($E115,Premissas!$A$52:$P$56,4,0)))</f>
        <v>0.46</v>
      </c>
      <c r="J115" s="76" t="n">
        <f aca="false">H115*(1-I115)</f>
        <v>18517.7502</v>
      </c>
      <c r="K115" s="76" t="n">
        <f aca="false">H115-J115</f>
        <v>15774.3798</v>
      </c>
      <c r="L115" s="78" t="n">
        <f aca="false">SUMIFS(Headcount_Folha!$I:$I,Headcount_Folha!$C:$C,$C115,Headcount_Folha!$D:$D,$E115)</f>
        <v>8736</v>
      </c>
      <c r="M115" s="76" t="n">
        <f aca="false">VLOOKUP($E115,Premissas!$A$52:$P$56,10,0)*(1+VLOOKUP($E115,Premissas!$A$52:$P$56,11,0))^($A115-2025)</f>
        <v>2500</v>
      </c>
      <c r="N115" s="76" t="n">
        <f aca="false">H115*VLOOKUP($E115,Premissas!$A$52:$P$56,7,0)</f>
        <v>685.8426</v>
      </c>
      <c r="O115" s="76" t="n">
        <f aca="false">H115*VLOOKUP($E115,Premissas!$A$52:$P$56,8,0)</f>
        <v>514.38195</v>
      </c>
      <c r="P115" s="76" t="n">
        <f aca="false">H115*VLOOKUP($E115,Premissas!$A$52:$P$56,9,0)</f>
        <v>685.8426</v>
      </c>
      <c r="Q115" s="76" t="n">
        <f aca="false">K115-L115-M115-N115-O115-P115</f>
        <v>2652.31265</v>
      </c>
    </row>
    <row r="116" customFormat="false" ht="15" hidden="false" customHeight="true" outlineLevel="0" collapsed="false">
      <c r="A116" s="18" t="n">
        <v>2025</v>
      </c>
      <c r="B116" s="18" t="n">
        <v>7</v>
      </c>
      <c r="C116" s="18" t="s">
        <v>154</v>
      </c>
      <c r="D116" s="74" t="n">
        <v>45839</v>
      </c>
      <c r="E116" s="18" t="s">
        <v>144</v>
      </c>
      <c r="F116" s="75" t="n">
        <v>54315.61</v>
      </c>
      <c r="G116" s="75" t="n">
        <v>12918.75</v>
      </c>
      <c r="H116" s="76" t="n">
        <f aca="false">F116-G116</f>
        <v>41396.86</v>
      </c>
      <c r="I116" s="77" t="n">
        <f aca="false">IF($A116=2025,VLOOKUP($E116,Premissas!$A$52:$P$56,2,0),IF($A116=2026,VLOOKUP($E116,Premissas!$A$52:$P$56,3,0),VLOOKUP($E116,Premissas!$A$52:$P$56,4,0)))</f>
        <v>0.46</v>
      </c>
      <c r="J116" s="76" t="n">
        <f aca="false">H116*(1-I116)</f>
        <v>22354.3044</v>
      </c>
      <c r="K116" s="76" t="n">
        <f aca="false">H116-J116</f>
        <v>19042.5556</v>
      </c>
      <c r="L116" s="78" t="n">
        <f aca="false">SUMIFS(Headcount_Folha!$I:$I,Headcount_Folha!$C:$C,$C116,Headcount_Folha!$D:$D,$E116)</f>
        <v>8736</v>
      </c>
      <c r="M116" s="76" t="n">
        <f aca="false">VLOOKUP($E116,Premissas!$A$52:$P$56,10,0)*(1+VLOOKUP($E116,Premissas!$A$52:$P$56,11,0))^($A116-2025)</f>
        <v>2500</v>
      </c>
      <c r="N116" s="76" t="n">
        <f aca="false">H116*VLOOKUP($E116,Premissas!$A$52:$P$56,7,0)</f>
        <v>827.9372</v>
      </c>
      <c r="O116" s="76" t="n">
        <f aca="false">H116*VLOOKUP($E116,Premissas!$A$52:$P$56,8,0)</f>
        <v>620.9529</v>
      </c>
      <c r="P116" s="76" t="n">
        <f aca="false">H116*VLOOKUP($E116,Premissas!$A$52:$P$56,9,0)</f>
        <v>827.9372</v>
      </c>
      <c r="Q116" s="76" t="n">
        <f aca="false">K116-L116-M116-N116-O116-P116</f>
        <v>5529.7283</v>
      </c>
    </row>
    <row r="117" customFormat="false" ht="15" hidden="false" customHeight="true" outlineLevel="0" collapsed="false">
      <c r="A117" s="18" t="n">
        <v>2025</v>
      </c>
      <c r="B117" s="18" t="n">
        <v>8</v>
      </c>
      <c r="C117" s="18" t="s">
        <v>155</v>
      </c>
      <c r="D117" s="74" t="n">
        <v>45870</v>
      </c>
      <c r="E117" s="18" t="s">
        <v>144</v>
      </c>
      <c r="F117" s="75" t="n">
        <v>40987</v>
      </c>
      <c r="G117" s="75" t="n">
        <v>9966.95</v>
      </c>
      <c r="H117" s="76" t="n">
        <f aca="false">F117-G117</f>
        <v>31020.05</v>
      </c>
      <c r="I117" s="77" t="n">
        <f aca="false">IF($A117=2025,VLOOKUP($E117,Premissas!$A$52:$P$56,2,0),IF($A117=2026,VLOOKUP($E117,Premissas!$A$52:$P$56,3,0),VLOOKUP($E117,Premissas!$A$52:$P$56,4,0)))</f>
        <v>0.46</v>
      </c>
      <c r="J117" s="76" t="n">
        <f aca="false">H117*(1-I117)</f>
        <v>16750.827</v>
      </c>
      <c r="K117" s="76" t="n">
        <f aca="false">H117-J117</f>
        <v>14269.223</v>
      </c>
      <c r="L117" s="78" t="n">
        <f aca="false">SUMIFS(Headcount_Folha!$I:$I,Headcount_Folha!$C:$C,$C117,Headcount_Folha!$D:$D,$E117)</f>
        <v>8736</v>
      </c>
      <c r="M117" s="76" t="n">
        <f aca="false">VLOOKUP($E117,Premissas!$A$52:$P$56,10,0)*(1+VLOOKUP($E117,Premissas!$A$52:$P$56,11,0))^($A117-2025)</f>
        <v>2500</v>
      </c>
      <c r="N117" s="76" t="n">
        <f aca="false">H117*VLOOKUP($E117,Premissas!$A$52:$P$56,7,0)</f>
        <v>620.401</v>
      </c>
      <c r="O117" s="76" t="n">
        <f aca="false">H117*VLOOKUP($E117,Premissas!$A$52:$P$56,8,0)</f>
        <v>465.30075</v>
      </c>
      <c r="P117" s="76" t="n">
        <f aca="false">H117*VLOOKUP($E117,Premissas!$A$52:$P$56,9,0)</f>
        <v>620.401</v>
      </c>
      <c r="Q117" s="76" t="n">
        <f aca="false">K117-L117-M117-N117-O117-P117</f>
        <v>1327.12025</v>
      </c>
    </row>
    <row r="118" customFormat="false" ht="15" hidden="false" customHeight="true" outlineLevel="0" collapsed="false">
      <c r="A118" s="18" t="n">
        <v>2025</v>
      </c>
      <c r="B118" s="18" t="n">
        <v>9</v>
      </c>
      <c r="C118" s="18" t="s">
        <v>156</v>
      </c>
      <c r="D118" s="74" t="n">
        <v>45901</v>
      </c>
      <c r="E118" s="18" t="s">
        <v>144</v>
      </c>
      <c r="F118" s="75" t="n">
        <v>41276.03</v>
      </c>
      <c r="G118" s="75" t="n">
        <v>10598.78</v>
      </c>
      <c r="H118" s="76" t="n">
        <f aca="false">F118-G118</f>
        <v>30677.25</v>
      </c>
      <c r="I118" s="77" t="n">
        <f aca="false">IF($A118=2025,VLOOKUP($E118,Premissas!$A$52:$P$56,2,0),IF($A118=2026,VLOOKUP($E118,Premissas!$A$52:$P$56,3,0),VLOOKUP($E118,Premissas!$A$52:$P$56,4,0)))</f>
        <v>0.46</v>
      </c>
      <c r="J118" s="76" t="n">
        <f aca="false">H118*(1-I118)</f>
        <v>16565.715</v>
      </c>
      <c r="K118" s="76" t="n">
        <f aca="false">H118-J118</f>
        <v>14111.535</v>
      </c>
      <c r="L118" s="78" t="n">
        <f aca="false">SUMIFS(Headcount_Folha!$I:$I,Headcount_Folha!$C:$C,$C118,Headcount_Folha!$D:$D,$E118)</f>
        <v>8736</v>
      </c>
      <c r="M118" s="76" t="n">
        <f aca="false">VLOOKUP($E118,Premissas!$A$52:$P$56,10,0)*(1+VLOOKUP($E118,Premissas!$A$52:$P$56,11,0))^($A118-2025)</f>
        <v>2500</v>
      </c>
      <c r="N118" s="76" t="n">
        <f aca="false">H118*VLOOKUP($E118,Premissas!$A$52:$P$56,7,0)</f>
        <v>613.545</v>
      </c>
      <c r="O118" s="76" t="n">
        <f aca="false">H118*VLOOKUP($E118,Premissas!$A$52:$P$56,8,0)</f>
        <v>460.15875</v>
      </c>
      <c r="P118" s="76" t="n">
        <f aca="false">H118*VLOOKUP($E118,Premissas!$A$52:$P$56,9,0)</f>
        <v>613.545</v>
      </c>
      <c r="Q118" s="76" t="n">
        <f aca="false">K118-L118-M118-N118-O118-P118</f>
        <v>1188.28625</v>
      </c>
    </row>
    <row r="119" customFormat="false" ht="15" hidden="false" customHeight="true" outlineLevel="0" collapsed="false">
      <c r="A119" s="18" t="n">
        <v>2025</v>
      </c>
      <c r="B119" s="18" t="n">
        <v>10</v>
      </c>
      <c r="C119" s="18" t="s">
        <v>157</v>
      </c>
      <c r="D119" s="74" t="n">
        <v>45931</v>
      </c>
      <c r="E119" s="18" t="s">
        <v>144</v>
      </c>
      <c r="F119" s="75" t="n">
        <v>52435.19</v>
      </c>
      <c r="G119" s="75" t="n">
        <v>12096.75</v>
      </c>
      <c r="H119" s="76" t="n">
        <f aca="false">F119-G119</f>
        <v>40338.44</v>
      </c>
      <c r="I119" s="77" t="n">
        <f aca="false">IF($A119=2025,VLOOKUP($E119,Premissas!$A$52:$P$56,2,0),IF($A119=2026,VLOOKUP($E119,Premissas!$A$52:$P$56,3,0),VLOOKUP($E119,Premissas!$A$52:$P$56,4,0)))</f>
        <v>0.46</v>
      </c>
      <c r="J119" s="76" t="n">
        <f aca="false">H119*(1-I119)</f>
        <v>21782.7576</v>
      </c>
      <c r="K119" s="76" t="n">
        <f aca="false">H119-J119</f>
        <v>18555.6824</v>
      </c>
      <c r="L119" s="78" t="n">
        <f aca="false">SUMIFS(Headcount_Folha!$I:$I,Headcount_Folha!$C:$C,$C119,Headcount_Folha!$D:$D,$E119)</f>
        <v>8736</v>
      </c>
      <c r="M119" s="76" t="n">
        <f aca="false">VLOOKUP($E119,Premissas!$A$52:$P$56,10,0)*(1+VLOOKUP($E119,Premissas!$A$52:$P$56,11,0))^($A119-2025)</f>
        <v>2500</v>
      </c>
      <c r="N119" s="76" t="n">
        <f aca="false">H119*VLOOKUP($E119,Premissas!$A$52:$P$56,7,0)</f>
        <v>806.7688</v>
      </c>
      <c r="O119" s="76" t="n">
        <f aca="false">H119*VLOOKUP($E119,Premissas!$A$52:$P$56,8,0)</f>
        <v>605.0766</v>
      </c>
      <c r="P119" s="76" t="n">
        <f aca="false">H119*VLOOKUP($E119,Premissas!$A$52:$P$56,9,0)</f>
        <v>806.7688</v>
      </c>
      <c r="Q119" s="76" t="n">
        <f aca="false">K119-L119-M119-N119-O119-P119</f>
        <v>5101.0682</v>
      </c>
    </row>
    <row r="120" customFormat="false" ht="15" hidden="false" customHeight="true" outlineLevel="0" collapsed="false">
      <c r="A120" s="18" t="n">
        <v>2025</v>
      </c>
      <c r="B120" s="18" t="n">
        <v>11</v>
      </c>
      <c r="C120" s="18" t="s">
        <v>158</v>
      </c>
      <c r="D120" s="74" t="n">
        <v>45962</v>
      </c>
      <c r="E120" s="18" t="s">
        <v>144</v>
      </c>
      <c r="F120" s="75" t="n">
        <v>63046.93</v>
      </c>
      <c r="G120" s="75" t="n">
        <v>15735.5</v>
      </c>
      <c r="H120" s="76" t="n">
        <f aca="false">F120-G120</f>
        <v>47311.43</v>
      </c>
      <c r="I120" s="77" t="n">
        <f aca="false">IF($A120=2025,VLOOKUP($E120,Premissas!$A$52:$P$56,2,0),IF($A120=2026,VLOOKUP($E120,Premissas!$A$52:$P$56,3,0),VLOOKUP($E120,Premissas!$A$52:$P$56,4,0)))</f>
        <v>0.46</v>
      </c>
      <c r="J120" s="76" t="n">
        <f aca="false">H120*(1-I120)</f>
        <v>25548.1722</v>
      </c>
      <c r="K120" s="76" t="n">
        <f aca="false">H120-J120</f>
        <v>21763.2578</v>
      </c>
      <c r="L120" s="78" t="n">
        <f aca="false">SUMIFS(Headcount_Folha!$I:$I,Headcount_Folha!$C:$C,$C120,Headcount_Folha!$D:$D,$E120)</f>
        <v>8736</v>
      </c>
      <c r="M120" s="76" t="n">
        <f aca="false">VLOOKUP($E120,Premissas!$A$52:$P$56,10,0)*(1+VLOOKUP($E120,Premissas!$A$52:$P$56,11,0))^($A120-2025)</f>
        <v>2500</v>
      </c>
      <c r="N120" s="76" t="n">
        <f aca="false">H120*VLOOKUP($E120,Premissas!$A$52:$P$56,7,0)</f>
        <v>946.2286</v>
      </c>
      <c r="O120" s="76" t="n">
        <f aca="false">H120*VLOOKUP($E120,Premissas!$A$52:$P$56,8,0)</f>
        <v>709.67145</v>
      </c>
      <c r="P120" s="76" t="n">
        <f aca="false">H120*VLOOKUP($E120,Premissas!$A$52:$P$56,9,0)</f>
        <v>946.2286</v>
      </c>
      <c r="Q120" s="76" t="n">
        <f aca="false">K120-L120-M120-N120-O120-P120</f>
        <v>7925.12915</v>
      </c>
    </row>
    <row r="121" customFormat="false" ht="15" hidden="false" customHeight="true" outlineLevel="0" collapsed="false">
      <c r="A121" s="18" t="n">
        <v>2025</v>
      </c>
      <c r="B121" s="18" t="n">
        <v>12</v>
      </c>
      <c r="C121" s="18" t="s">
        <v>159</v>
      </c>
      <c r="D121" s="74" t="n">
        <v>45992</v>
      </c>
      <c r="E121" s="18" t="s">
        <v>144</v>
      </c>
      <c r="F121" s="75" t="n">
        <v>59731.26</v>
      </c>
      <c r="G121" s="75" t="n">
        <v>13556.15</v>
      </c>
      <c r="H121" s="76" t="n">
        <f aca="false">F121-G121</f>
        <v>46175.11</v>
      </c>
      <c r="I121" s="77" t="n">
        <f aca="false">IF($A121=2025,VLOOKUP($E121,Premissas!$A$52:$P$56,2,0),IF($A121=2026,VLOOKUP($E121,Premissas!$A$52:$P$56,3,0),VLOOKUP($E121,Premissas!$A$52:$P$56,4,0)))</f>
        <v>0.46</v>
      </c>
      <c r="J121" s="76" t="n">
        <f aca="false">H121*(1-I121)</f>
        <v>24934.5594</v>
      </c>
      <c r="K121" s="76" t="n">
        <f aca="false">H121-J121</f>
        <v>21240.5506</v>
      </c>
      <c r="L121" s="78" t="n">
        <f aca="false">SUMIFS(Headcount_Folha!$I:$I,Headcount_Folha!$C:$C,$C121,Headcount_Folha!$D:$D,$E121)</f>
        <v>8736</v>
      </c>
      <c r="M121" s="76" t="n">
        <f aca="false">VLOOKUP($E121,Premissas!$A$52:$P$56,10,0)*(1+VLOOKUP($E121,Premissas!$A$52:$P$56,11,0))^($A121-2025)</f>
        <v>2500</v>
      </c>
      <c r="N121" s="76" t="n">
        <f aca="false">H121*VLOOKUP($E121,Premissas!$A$52:$P$56,7,0)</f>
        <v>923.5022</v>
      </c>
      <c r="O121" s="76" t="n">
        <f aca="false">H121*VLOOKUP($E121,Premissas!$A$52:$P$56,8,0)</f>
        <v>692.62665</v>
      </c>
      <c r="P121" s="76" t="n">
        <f aca="false">H121*VLOOKUP($E121,Premissas!$A$52:$P$56,9,0)</f>
        <v>923.5022</v>
      </c>
      <c r="Q121" s="76" t="n">
        <f aca="false">K121-L121-M121-N121-O121-P121</f>
        <v>7464.91955</v>
      </c>
    </row>
    <row r="122" customFormat="false" ht="15" hidden="false" customHeight="true" outlineLevel="0" collapsed="false">
      <c r="A122" s="18" t="n">
        <v>2026</v>
      </c>
      <c r="B122" s="18" t="n">
        <v>1</v>
      </c>
      <c r="C122" s="18" t="s">
        <v>160</v>
      </c>
      <c r="D122" s="74" t="n">
        <v>46023</v>
      </c>
      <c r="E122" s="18" t="s">
        <v>144</v>
      </c>
      <c r="F122" s="75" t="n">
        <v>43117.83</v>
      </c>
      <c r="G122" s="75" t="n">
        <v>10745.36</v>
      </c>
      <c r="H122" s="76" t="n">
        <f aca="false">F122-G122</f>
        <v>32372.47</v>
      </c>
      <c r="I122" s="77" t="n">
        <f aca="false">IF($A122=2025,VLOOKUP($E122,Premissas!$A$52:$P$56,2,0),IF($A122=2026,VLOOKUP($E122,Premissas!$A$52:$P$56,3,0),VLOOKUP($E122,Premissas!$A$52:$P$56,4,0)))</f>
        <v>0.46</v>
      </c>
      <c r="J122" s="76" t="n">
        <f aca="false">H122*(1-I122)</f>
        <v>17481.1338</v>
      </c>
      <c r="K122" s="76" t="n">
        <f aca="false">H122-J122</f>
        <v>14891.3362</v>
      </c>
      <c r="L122" s="78" t="n">
        <f aca="false">SUMIFS(Headcount_Folha!$I:$I,Headcount_Folha!$C:$C,$C122,Headcount_Folha!$D:$D,$E122)</f>
        <v>13104</v>
      </c>
      <c r="M122" s="76" t="n">
        <f aca="false">VLOOKUP($E122,Premissas!$A$52:$P$56,10,0)*(1+VLOOKUP($E122,Premissas!$A$52:$P$56,11,0))^($A122-2025)</f>
        <v>2612.5</v>
      </c>
      <c r="N122" s="76" t="n">
        <f aca="false">H122*VLOOKUP($E122,Premissas!$A$52:$P$56,7,0)</f>
        <v>647.4494</v>
      </c>
      <c r="O122" s="76" t="n">
        <f aca="false">H122*VLOOKUP($E122,Premissas!$A$52:$P$56,8,0)</f>
        <v>485.58705</v>
      </c>
      <c r="P122" s="76" t="n">
        <f aca="false">H122*VLOOKUP($E122,Premissas!$A$52:$P$56,9,0)</f>
        <v>647.4494</v>
      </c>
      <c r="Q122" s="76" t="n">
        <f aca="false">K122-L122-M122-N122-O122-P122</f>
        <v>-2605.64965</v>
      </c>
    </row>
    <row r="123" customFormat="false" ht="15" hidden="false" customHeight="true" outlineLevel="0" collapsed="false">
      <c r="A123" s="18" t="n">
        <v>2026</v>
      </c>
      <c r="B123" s="18" t="n">
        <v>2</v>
      </c>
      <c r="C123" s="18" t="s">
        <v>161</v>
      </c>
      <c r="D123" s="74" t="n">
        <v>46054</v>
      </c>
      <c r="E123" s="18" t="s">
        <v>144</v>
      </c>
      <c r="F123" s="75" t="n">
        <v>31891.42</v>
      </c>
      <c r="G123" s="75" t="n">
        <v>7421.55</v>
      </c>
      <c r="H123" s="76" t="n">
        <f aca="false">F123-G123</f>
        <v>24469.87</v>
      </c>
      <c r="I123" s="77" t="n">
        <f aca="false">IF($A123=2025,VLOOKUP($E123,Premissas!$A$52:$P$56,2,0),IF($A123=2026,VLOOKUP($E123,Premissas!$A$52:$P$56,3,0),VLOOKUP($E123,Premissas!$A$52:$P$56,4,0)))</f>
        <v>0.46</v>
      </c>
      <c r="J123" s="76" t="n">
        <f aca="false">H123*(1-I123)</f>
        <v>13213.7298</v>
      </c>
      <c r="K123" s="76" t="n">
        <f aca="false">H123-J123</f>
        <v>11256.1402</v>
      </c>
      <c r="L123" s="78" t="n">
        <f aca="false">SUMIFS(Headcount_Folha!$I:$I,Headcount_Folha!$C:$C,$C123,Headcount_Folha!$D:$D,$E123)</f>
        <v>13104</v>
      </c>
      <c r="M123" s="76" t="n">
        <f aca="false">VLOOKUP($E123,Premissas!$A$52:$P$56,10,0)*(1+VLOOKUP($E123,Premissas!$A$52:$P$56,11,0))^($A123-2025)</f>
        <v>2612.5</v>
      </c>
      <c r="N123" s="76" t="n">
        <f aca="false">H123*VLOOKUP($E123,Premissas!$A$52:$P$56,7,0)</f>
        <v>489.3974</v>
      </c>
      <c r="O123" s="76" t="n">
        <f aca="false">H123*VLOOKUP($E123,Premissas!$A$52:$P$56,8,0)</f>
        <v>367.04805</v>
      </c>
      <c r="P123" s="76" t="n">
        <f aca="false">H123*VLOOKUP($E123,Premissas!$A$52:$P$56,9,0)</f>
        <v>489.3974</v>
      </c>
      <c r="Q123" s="76" t="n">
        <f aca="false">K123-L123-M123-N123-O123-P123</f>
        <v>-5806.20265</v>
      </c>
    </row>
    <row r="124" customFormat="false" ht="15" hidden="false" customHeight="true" outlineLevel="0" collapsed="false">
      <c r="A124" s="18" t="n">
        <v>2026</v>
      </c>
      <c r="B124" s="18" t="n">
        <v>3</v>
      </c>
      <c r="C124" s="18" t="s">
        <v>162</v>
      </c>
      <c r="D124" s="74" t="n">
        <v>46082</v>
      </c>
      <c r="E124" s="18" t="s">
        <v>144</v>
      </c>
      <c r="F124" s="75" t="n">
        <v>42520.71</v>
      </c>
      <c r="G124" s="75" t="n">
        <v>10433.39</v>
      </c>
      <c r="H124" s="76" t="n">
        <f aca="false">F124-G124</f>
        <v>32087.32</v>
      </c>
      <c r="I124" s="77" t="n">
        <f aca="false">IF($A124=2025,VLOOKUP($E124,Premissas!$A$52:$P$56,2,0),IF($A124=2026,VLOOKUP($E124,Premissas!$A$52:$P$56,3,0),VLOOKUP($E124,Premissas!$A$52:$P$56,4,0)))</f>
        <v>0.46</v>
      </c>
      <c r="J124" s="76" t="n">
        <f aca="false">H124*(1-I124)</f>
        <v>17327.1528</v>
      </c>
      <c r="K124" s="76" t="n">
        <f aca="false">H124-J124</f>
        <v>14760.1672</v>
      </c>
      <c r="L124" s="78" t="n">
        <f aca="false">SUMIFS(Headcount_Folha!$I:$I,Headcount_Folha!$C:$C,$C124,Headcount_Folha!$D:$D,$E124)</f>
        <v>13104</v>
      </c>
      <c r="M124" s="76" t="n">
        <f aca="false">VLOOKUP($E124,Premissas!$A$52:$P$56,10,0)*(1+VLOOKUP($E124,Premissas!$A$52:$P$56,11,0))^($A124-2025)</f>
        <v>2612.5</v>
      </c>
      <c r="N124" s="76" t="n">
        <f aca="false">H124*VLOOKUP($E124,Premissas!$A$52:$P$56,7,0)</f>
        <v>641.7464</v>
      </c>
      <c r="O124" s="76" t="n">
        <f aca="false">H124*VLOOKUP($E124,Premissas!$A$52:$P$56,8,0)</f>
        <v>481.3098</v>
      </c>
      <c r="P124" s="76" t="n">
        <f aca="false">H124*VLOOKUP($E124,Premissas!$A$52:$P$56,9,0)</f>
        <v>641.7464</v>
      </c>
      <c r="Q124" s="76" t="n">
        <f aca="false">K124-L124-M124-N124-O124-P124</f>
        <v>-2721.1354</v>
      </c>
    </row>
    <row r="125" customFormat="false" ht="15" hidden="false" customHeight="true" outlineLevel="0" collapsed="false">
      <c r="A125" s="18" t="n">
        <v>2026</v>
      </c>
      <c r="B125" s="18" t="n">
        <v>4</v>
      </c>
      <c r="C125" s="18" t="s">
        <v>163</v>
      </c>
      <c r="D125" s="74" t="n">
        <v>46113</v>
      </c>
      <c r="E125" s="18" t="s">
        <v>144</v>
      </c>
      <c r="F125" s="75" t="n">
        <v>53623.55</v>
      </c>
      <c r="G125" s="75" t="n">
        <v>12783.48</v>
      </c>
      <c r="H125" s="76" t="n">
        <f aca="false">F125-G125</f>
        <v>40840.07</v>
      </c>
      <c r="I125" s="77" t="n">
        <f aca="false">IF($A125=2025,VLOOKUP($E125,Premissas!$A$52:$P$56,2,0),IF($A125=2026,VLOOKUP($E125,Premissas!$A$52:$P$56,3,0),VLOOKUP($E125,Premissas!$A$52:$P$56,4,0)))</f>
        <v>0.46</v>
      </c>
      <c r="J125" s="76" t="n">
        <f aca="false">H125*(1-I125)</f>
        <v>22053.6378</v>
      </c>
      <c r="K125" s="76" t="n">
        <f aca="false">H125-J125</f>
        <v>18786.4322</v>
      </c>
      <c r="L125" s="78" t="n">
        <f aca="false">SUMIFS(Headcount_Folha!$I:$I,Headcount_Folha!$C:$C,$C125,Headcount_Folha!$D:$D,$E125)</f>
        <v>13104</v>
      </c>
      <c r="M125" s="76" t="n">
        <f aca="false">VLOOKUP($E125,Premissas!$A$52:$P$56,10,0)*(1+VLOOKUP($E125,Premissas!$A$52:$P$56,11,0))^($A125-2025)</f>
        <v>2612.5</v>
      </c>
      <c r="N125" s="76" t="n">
        <f aca="false">H125*VLOOKUP($E125,Premissas!$A$52:$P$56,7,0)</f>
        <v>816.8014</v>
      </c>
      <c r="O125" s="76" t="n">
        <f aca="false">H125*VLOOKUP($E125,Premissas!$A$52:$P$56,8,0)</f>
        <v>612.60105</v>
      </c>
      <c r="P125" s="76" t="n">
        <f aca="false">H125*VLOOKUP($E125,Premissas!$A$52:$P$56,9,0)</f>
        <v>816.8014</v>
      </c>
      <c r="Q125" s="76" t="n">
        <f aca="false">K125-L125-M125-N125-O125-P125</f>
        <v>823.72835</v>
      </c>
    </row>
    <row r="126" customFormat="false" ht="15" hidden="false" customHeight="true" outlineLevel="0" collapsed="false">
      <c r="A126" s="18" t="n">
        <v>2026</v>
      </c>
      <c r="B126" s="18" t="n">
        <v>5</v>
      </c>
      <c r="C126" s="18" t="s">
        <v>164</v>
      </c>
      <c r="D126" s="74" t="n">
        <v>46143</v>
      </c>
      <c r="E126" s="18" t="s">
        <v>144</v>
      </c>
      <c r="F126" s="75" t="n">
        <v>56159.1</v>
      </c>
      <c r="G126" s="75" t="n">
        <v>13609.25</v>
      </c>
      <c r="H126" s="76" t="n">
        <f aca="false">F126-G126</f>
        <v>42549.85</v>
      </c>
      <c r="I126" s="77" t="n">
        <f aca="false">IF($A126=2025,VLOOKUP($E126,Premissas!$A$52:$P$56,2,0),IF($A126=2026,VLOOKUP($E126,Premissas!$A$52:$P$56,3,0),VLOOKUP($E126,Premissas!$A$52:$P$56,4,0)))</f>
        <v>0.46</v>
      </c>
      <c r="J126" s="76" t="n">
        <f aca="false">H126*(1-I126)</f>
        <v>22976.919</v>
      </c>
      <c r="K126" s="76" t="n">
        <f aca="false">H126-J126</f>
        <v>19572.931</v>
      </c>
      <c r="L126" s="78" t="n">
        <f aca="false">SUMIFS(Headcount_Folha!$I:$I,Headcount_Folha!$C:$C,$C126,Headcount_Folha!$D:$D,$E126)</f>
        <v>13104</v>
      </c>
      <c r="M126" s="76" t="n">
        <f aca="false">VLOOKUP($E126,Premissas!$A$52:$P$56,10,0)*(1+VLOOKUP($E126,Premissas!$A$52:$P$56,11,0))^($A126-2025)</f>
        <v>2612.5</v>
      </c>
      <c r="N126" s="76" t="n">
        <f aca="false">H126*VLOOKUP($E126,Premissas!$A$52:$P$56,7,0)</f>
        <v>850.997</v>
      </c>
      <c r="O126" s="76" t="n">
        <f aca="false">H126*VLOOKUP($E126,Premissas!$A$52:$P$56,8,0)</f>
        <v>638.24775</v>
      </c>
      <c r="P126" s="76" t="n">
        <f aca="false">H126*VLOOKUP($E126,Premissas!$A$52:$P$56,9,0)</f>
        <v>850.997</v>
      </c>
      <c r="Q126" s="76" t="n">
        <f aca="false">K126-L126-M126-N126-O126-P126</f>
        <v>1516.18925</v>
      </c>
    </row>
    <row r="127" customFormat="false" ht="15" hidden="false" customHeight="true" outlineLevel="0" collapsed="false">
      <c r="A127" s="18" t="n">
        <v>2026</v>
      </c>
      <c r="B127" s="18" t="n">
        <v>6</v>
      </c>
      <c r="C127" s="18" t="s">
        <v>165</v>
      </c>
      <c r="D127" s="74" t="n">
        <v>46174</v>
      </c>
      <c r="E127" s="18" t="s">
        <v>144</v>
      </c>
      <c r="F127" s="75" t="n">
        <v>57797.51</v>
      </c>
      <c r="G127" s="75" t="n">
        <v>14607.23</v>
      </c>
      <c r="H127" s="76" t="n">
        <f aca="false">F127-G127</f>
        <v>43190.28</v>
      </c>
      <c r="I127" s="77" t="n">
        <f aca="false">IF($A127=2025,VLOOKUP($E127,Premissas!$A$52:$P$56,2,0),IF($A127=2026,VLOOKUP($E127,Premissas!$A$52:$P$56,3,0),VLOOKUP($E127,Premissas!$A$52:$P$56,4,0)))</f>
        <v>0.46</v>
      </c>
      <c r="J127" s="76" t="n">
        <f aca="false">H127*(1-I127)</f>
        <v>23322.7512</v>
      </c>
      <c r="K127" s="76" t="n">
        <f aca="false">H127-J127</f>
        <v>19867.5288</v>
      </c>
      <c r="L127" s="78" t="n">
        <f aca="false">SUMIFS(Headcount_Folha!$I:$I,Headcount_Folha!$C:$C,$C127,Headcount_Folha!$D:$D,$E127)</f>
        <v>13104</v>
      </c>
      <c r="M127" s="76" t="n">
        <f aca="false">VLOOKUP($E127,Premissas!$A$52:$P$56,10,0)*(1+VLOOKUP($E127,Premissas!$A$52:$P$56,11,0))^($A127-2025)</f>
        <v>2612.5</v>
      </c>
      <c r="N127" s="76" t="n">
        <f aca="false">H127*VLOOKUP($E127,Premissas!$A$52:$P$56,7,0)</f>
        <v>863.8056</v>
      </c>
      <c r="O127" s="76" t="n">
        <f aca="false">H127*VLOOKUP($E127,Premissas!$A$52:$P$56,8,0)</f>
        <v>647.8542</v>
      </c>
      <c r="P127" s="76" t="n">
        <f aca="false">H127*VLOOKUP($E127,Premissas!$A$52:$P$56,9,0)</f>
        <v>863.8056</v>
      </c>
      <c r="Q127" s="76" t="n">
        <f aca="false">K127-L127-M127-N127-O127-P127</f>
        <v>1775.56339999999</v>
      </c>
    </row>
    <row r="128" customFormat="false" ht="15" hidden="false" customHeight="true" outlineLevel="0" collapsed="false">
      <c r="A128" s="18" t="n">
        <v>2026</v>
      </c>
      <c r="B128" s="18" t="n">
        <v>7</v>
      </c>
      <c r="C128" s="18" t="s">
        <v>166</v>
      </c>
      <c r="D128" s="74" t="n">
        <v>46204</v>
      </c>
      <c r="E128" s="18" t="s">
        <v>144</v>
      </c>
      <c r="F128" s="75" t="n">
        <v>67909.47</v>
      </c>
      <c r="G128" s="75" t="n">
        <v>16710.22</v>
      </c>
      <c r="H128" s="76" t="n">
        <f aca="false">F128-G128</f>
        <v>51199.25</v>
      </c>
      <c r="I128" s="77" t="n">
        <f aca="false">IF($A128=2025,VLOOKUP($E128,Premissas!$A$52:$P$56,2,0),IF($A128=2026,VLOOKUP($E128,Premissas!$A$52:$P$56,3,0),VLOOKUP($E128,Premissas!$A$52:$P$56,4,0)))</f>
        <v>0.46</v>
      </c>
      <c r="J128" s="76" t="n">
        <f aca="false">H128*(1-I128)</f>
        <v>27647.595</v>
      </c>
      <c r="K128" s="76" t="n">
        <f aca="false">H128-J128</f>
        <v>23551.655</v>
      </c>
      <c r="L128" s="78" t="n">
        <f aca="false">SUMIFS(Headcount_Folha!$I:$I,Headcount_Folha!$C:$C,$C128,Headcount_Folha!$D:$D,$E128)</f>
        <v>13104</v>
      </c>
      <c r="M128" s="76" t="n">
        <f aca="false">VLOOKUP($E128,Premissas!$A$52:$P$56,10,0)*(1+VLOOKUP($E128,Premissas!$A$52:$P$56,11,0))^($A128-2025)</f>
        <v>2612.5</v>
      </c>
      <c r="N128" s="76" t="n">
        <f aca="false">H128*VLOOKUP($E128,Premissas!$A$52:$P$56,7,0)</f>
        <v>1023.985</v>
      </c>
      <c r="O128" s="76" t="n">
        <f aca="false">H128*VLOOKUP($E128,Premissas!$A$52:$P$56,8,0)</f>
        <v>767.98875</v>
      </c>
      <c r="P128" s="76" t="n">
        <f aca="false">H128*VLOOKUP($E128,Premissas!$A$52:$P$56,9,0)</f>
        <v>1023.985</v>
      </c>
      <c r="Q128" s="76" t="n">
        <f aca="false">K128-L128-M128-N128-O128-P128</f>
        <v>5019.19625</v>
      </c>
    </row>
    <row r="129" customFormat="false" ht="15" hidden="false" customHeight="true" outlineLevel="0" collapsed="false">
      <c r="A129" s="18" t="n">
        <v>2026</v>
      </c>
      <c r="B129" s="18" t="n">
        <v>8</v>
      </c>
      <c r="C129" s="18" t="s">
        <v>167</v>
      </c>
      <c r="D129" s="74" t="n">
        <v>46235</v>
      </c>
      <c r="E129" s="18" t="s">
        <v>144</v>
      </c>
      <c r="F129" s="75" t="n">
        <v>60054.89</v>
      </c>
      <c r="G129" s="75" t="n">
        <v>13397.42</v>
      </c>
      <c r="H129" s="76" t="n">
        <f aca="false">F129-G129</f>
        <v>46657.47</v>
      </c>
      <c r="I129" s="77" t="n">
        <f aca="false">IF($A129=2025,VLOOKUP($E129,Premissas!$A$52:$P$56,2,0),IF($A129=2026,VLOOKUP($E129,Premissas!$A$52:$P$56,3,0),VLOOKUP($E129,Premissas!$A$52:$P$56,4,0)))</f>
        <v>0.46</v>
      </c>
      <c r="J129" s="76" t="n">
        <f aca="false">H129*(1-I129)</f>
        <v>25195.0338</v>
      </c>
      <c r="K129" s="76" t="n">
        <f aca="false">H129-J129</f>
        <v>21462.4362</v>
      </c>
      <c r="L129" s="78" t="n">
        <f aca="false">SUMIFS(Headcount_Folha!$I:$I,Headcount_Folha!$C:$C,$C129,Headcount_Folha!$D:$D,$E129)</f>
        <v>13104</v>
      </c>
      <c r="M129" s="76" t="n">
        <f aca="false">VLOOKUP($E129,Premissas!$A$52:$P$56,10,0)*(1+VLOOKUP($E129,Premissas!$A$52:$P$56,11,0))^($A129-2025)</f>
        <v>2612.5</v>
      </c>
      <c r="N129" s="76" t="n">
        <f aca="false">H129*VLOOKUP($E129,Premissas!$A$52:$P$56,7,0)</f>
        <v>933.1494</v>
      </c>
      <c r="O129" s="76" t="n">
        <f aca="false">H129*VLOOKUP($E129,Premissas!$A$52:$P$56,8,0)</f>
        <v>699.86205</v>
      </c>
      <c r="P129" s="76" t="n">
        <f aca="false">H129*VLOOKUP($E129,Premissas!$A$52:$P$56,9,0)</f>
        <v>933.1494</v>
      </c>
      <c r="Q129" s="76" t="n">
        <f aca="false">K129-L129-M129-N129-O129-P129</f>
        <v>3179.77535</v>
      </c>
    </row>
    <row r="130" customFormat="false" ht="15" hidden="false" customHeight="true" outlineLevel="0" collapsed="false">
      <c r="A130" s="18" t="n">
        <v>2026</v>
      </c>
      <c r="B130" s="18" t="n">
        <v>9</v>
      </c>
      <c r="C130" s="18" t="s">
        <v>168</v>
      </c>
      <c r="D130" s="74" t="n">
        <v>46266</v>
      </c>
      <c r="E130" s="18" t="s">
        <v>144</v>
      </c>
      <c r="F130" s="75" t="n">
        <v>53849.63</v>
      </c>
      <c r="G130" s="75" t="n">
        <v>13051.61</v>
      </c>
      <c r="H130" s="76" t="n">
        <f aca="false">F130-G130</f>
        <v>40798.02</v>
      </c>
      <c r="I130" s="77" t="n">
        <f aca="false">IF($A130=2025,VLOOKUP($E130,Premissas!$A$52:$P$56,2,0),IF($A130=2026,VLOOKUP($E130,Premissas!$A$52:$P$56,3,0),VLOOKUP($E130,Premissas!$A$52:$P$56,4,0)))</f>
        <v>0.46</v>
      </c>
      <c r="J130" s="76" t="n">
        <f aca="false">H130*(1-I130)</f>
        <v>22030.9308</v>
      </c>
      <c r="K130" s="76" t="n">
        <f aca="false">H130-J130</f>
        <v>18767.0892</v>
      </c>
      <c r="L130" s="78" t="n">
        <f aca="false">SUMIFS(Headcount_Folha!$I:$I,Headcount_Folha!$C:$C,$C130,Headcount_Folha!$D:$D,$E130)</f>
        <v>13104</v>
      </c>
      <c r="M130" s="76" t="n">
        <f aca="false">VLOOKUP($E130,Premissas!$A$52:$P$56,10,0)*(1+VLOOKUP($E130,Premissas!$A$52:$P$56,11,0))^($A130-2025)</f>
        <v>2612.5</v>
      </c>
      <c r="N130" s="76" t="n">
        <f aca="false">H130*VLOOKUP($E130,Premissas!$A$52:$P$56,7,0)</f>
        <v>815.9604</v>
      </c>
      <c r="O130" s="76" t="n">
        <f aca="false">H130*VLOOKUP($E130,Premissas!$A$52:$P$56,8,0)</f>
        <v>611.9703</v>
      </c>
      <c r="P130" s="76" t="n">
        <f aca="false">H130*VLOOKUP($E130,Premissas!$A$52:$P$56,9,0)</f>
        <v>815.9604</v>
      </c>
      <c r="Q130" s="76" t="n">
        <f aca="false">K130-L130-M130-N130-O130-P130</f>
        <v>806.698099999997</v>
      </c>
    </row>
    <row r="131" customFormat="false" ht="15" hidden="false" customHeight="true" outlineLevel="0" collapsed="false">
      <c r="A131" s="18" t="n">
        <v>2026</v>
      </c>
      <c r="B131" s="18" t="n">
        <v>10</v>
      </c>
      <c r="C131" s="18" t="s">
        <v>169</v>
      </c>
      <c r="D131" s="74" t="n">
        <v>46296</v>
      </c>
      <c r="E131" s="18" t="s">
        <v>144</v>
      </c>
      <c r="F131" s="75" t="n">
        <v>44486.72</v>
      </c>
      <c r="G131" s="75" t="n">
        <v>10946.26</v>
      </c>
      <c r="H131" s="76" t="n">
        <f aca="false">F131-G131</f>
        <v>33540.46</v>
      </c>
      <c r="I131" s="77" t="n">
        <f aca="false">IF($A131=2025,VLOOKUP($E131,Premissas!$A$52:$P$56,2,0),IF($A131=2026,VLOOKUP($E131,Premissas!$A$52:$P$56,3,0),VLOOKUP($E131,Premissas!$A$52:$P$56,4,0)))</f>
        <v>0.46</v>
      </c>
      <c r="J131" s="76" t="n">
        <f aca="false">H131*(1-I131)</f>
        <v>18111.8484</v>
      </c>
      <c r="K131" s="76" t="n">
        <f aca="false">H131-J131</f>
        <v>15428.6116</v>
      </c>
      <c r="L131" s="78" t="n">
        <f aca="false">SUMIFS(Headcount_Folha!$I:$I,Headcount_Folha!$C:$C,$C131,Headcount_Folha!$D:$D,$E131)</f>
        <v>13104</v>
      </c>
      <c r="M131" s="76" t="n">
        <f aca="false">VLOOKUP($E131,Premissas!$A$52:$P$56,10,0)*(1+VLOOKUP($E131,Premissas!$A$52:$P$56,11,0))^($A131-2025)</f>
        <v>2612.5</v>
      </c>
      <c r="N131" s="76" t="n">
        <f aca="false">H131*VLOOKUP($E131,Premissas!$A$52:$P$56,7,0)</f>
        <v>670.8092</v>
      </c>
      <c r="O131" s="76" t="n">
        <f aca="false">H131*VLOOKUP($E131,Premissas!$A$52:$P$56,8,0)</f>
        <v>503.1069</v>
      </c>
      <c r="P131" s="76" t="n">
        <f aca="false">H131*VLOOKUP($E131,Premissas!$A$52:$P$56,9,0)</f>
        <v>670.8092</v>
      </c>
      <c r="Q131" s="76" t="n">
        <f aca="false">K131-L131-M131-N131-O131-P131</f>
        <v>-2132.6137</v>
      </c>
    </row>
    <row r="132" customFormat="false" ht="15" hidden="false" customHeight="true" outlineLevel="0" collapsed="false">
      <c r="A132" s="18" t="n">
        <v>2026</v>
      </c>
      <c r="B132" s="18" t="n">
        <v>11</v>
      </c>
      <c r="C132" s="18" t="s">
        <v>170</v>
      </c>
      <c r="D132" s="74" t="n">
        <v>46327</v>
      </c>
      <c r="E132" s="18" t="s">
        <v>144</v>
      </c>
      <c r="F132" s="75" t="n">
        <v>56823.57</v>
      </c>
      <c r="G132" s="75" t="n">
        <v>14821.47</v>
      </c>
      <c r="H132" s="76" t="n">
        <f aca="false">F132-G132</f>
        <v>42002.1</v>
      </c>
      <c r="I132" s="77" t="n">
        <f aca="false">IF($A132=2025,VLOOKUP($E132,Premissas!$A$52:$P$56,2,0),IF($A132=2026,VLOOKUP($E132,Premissas!$A$52:$P$56,3,0),VLOOKUP($E132,Premissas!$A$52:$P$56,4,0)))</f>
        <v>0.46</v>
      </c>
      <c r="J132" s="76" t="n">
        <f aca="false">H132*(1-I132)</f>
        <v>22681.134</v>
      </c>
      <c r="K132" s="76" t="n">
        <f aca="false">H132-J132</f>
        <v>19320.966</v>
      </c>
      <c r="L132" s="78" t="n">
        <f aca="false">SUMIFS(Headcount_Folha!$I:$I,Headcount_Folha!$C:$C,$C132,Headcount_Folha!$D:$D,$E132)</f>
        <v>13104</v>
      </c>
      <c r="M132" s="76" t="n">
        <f aca="false">VLOOKUP($E132,Premissas!$A$52:$P$56,10,0)*(1+VLOOKUP($E132,Premissas!$A$52:$P$56,11,0))^($A132-2025)</f>
        <v>2612.5</v>
      </c>
      <c r="N132" s="76" t="n">
        <f aca="false">H132*VLOOKUP($E132,Premissas!$A$52:$P$56,7,0)</f>
        <v>840.042</v>
      </c>
      <c r="O132" s="76" t="n">
        <f aca="false">H132*VLOOKUP($E132,Premissas!$A$52:$P$56,8,0)</f>
        <v>630.0315</v>
      </c>
      <c r="P132" s="76" t="n">
        <f aca="false">H132*VLOOKUP($E132,Premissas!$A$52:$P$56,9,0)</f>
        <v>840.042</v>
      </c>
      <c r="Q132" s="76" t="n">
        <f aca="false">K132-L132-M132-N132-O132-P132</f>
        <v>1294.3505</v>
      </c>
    </row>
    <row r="133" customFormat="false" ht="15" hidden="false" customHeight="true" outlineLevel="0" collapsed="false">
      <c r="A133" s="18" t="n">
        <v>2026</v>
      </c>
      <c r="B133" s="18" t="n">
        <v>12</v>
      </c>
      <c r="C133" s="18" t="s">
        <v>171</v>
      </c>
      <c r="D133" s="74" t="n">
        <v>46357</v>
      </c>
      <c r="E133" s="18" t="s">
        <v>144</v>
      </c>
      <c r="F133" s="75" t="n">
        <v>67305.33</v>
      </c>
      <c r="G133" s="75" t="n">
        <v>15845.7</v>
      </c>
      <c r="H133" s="76" t="n">
        <f aca="false">F133-G133</f>
        <v>51459.63</v>
      </c>
      <c r="I133" s="77" t="n">
        <f aca="false">IF($A133=2025,VLOOKUP($E133,Premissas!$A$52:$P$56,2,0),IF($A133=2026,VLOOKUP($E133,Premissas!$A$52:$P$56,3,0),VLOOKUP($E133,Premissas!$A$52:$P$56,4,0)))</f>
        <v>0.46</v>
      </c>
      <c r="J133" s="76" t="n">
        <f aca="false">H133*(1-I133)</f>
        <v>27788.2002</v>
      </c>
      <c r="K133" s="76" t="n">
        <f aca="false">H133-J133</f>
        <v>23671.4298</v>
      </c>
      <c r="L133" s="78" t="n">
        <f aca="false">SUMIFS(Headcount_Folha!$I:$I,Headcount_Folha!$C:$C,$C133,Headcount_Folha!$D:$D,$E133)</f>
        <v>13104</v>
      </c>
      <c r="M133" s="76" t="n">
        <f aca="false">VLOOKUP($E133,Premissas!$A$52:$P$56,10,0)*(1+VLOOKUP($E133,Premissas!$A$52:$P$56,11,0))^($A133-2025)</f>
        <v>2612.5</v>
      </c>
      <c r="N133" s="76" t="n">
        <f aca="false">H133*VLOOKUP($E133,Premissas!$A$52:$P$56,7,0)</f>
        <v>1029.1926</v>
      </c>
      <c r="O133" s="76" t="n">
        <f aca="false">H133*VLOOKUP($E133,Premissas!$A$52:$P$56,8,0)</f>
        <v>771.89445</v>
      </c>
      <c r="P133" s="76" t="n">
        <f aca="false">H133*VLOOKUP($E133,Premissas!$A$52:$P$56,9,0)</f>
        <v>1029.1926</v>
      </c>
      <c r="Q133" s="76" t="n">
        <f aca="false">K133-L133-M133-N133-O133-P133</f>
        <v>5124.65015</v>
      </c>
    </row>
    <row r="134" customFormat="false" ht="15" hidden="false" customHeight="true" outlineLevel="0" collapsed="false">
      <c r="A134" s="18" t="n">
        <v>2027</v>
      </c>
      <c r="B134" s="18" t="n">
        <v>1</v>
      </c>
      <c r="C134" s="18" t="s">
        <v>172</v>
      </c>
      <c r="D134" s="74" t="n">
        <v>46388</v>
      </c>
      <c r="E134" s="18" t="s">
        <v>144</v>
      </c>
      <c r="F134" s="76" t="n">
        <f aca="false">F122*(1+VLOOKUP($E134,Premissas!$A$52:$P$56,6,0))</f>
        <v>46998.4347</v>
      </c>
      <c r="G134" s="76" t="n">
        <f aca="false">F134*VLOOKUP($E134,Premissas!$A$52:$P$56,5,0)</f>
        <v>11430.01931904</v>
      </c>
      <c r="H134" s="76" t="n">
        <f aca="false">F134-G134</f>
        <v>35568.41538096</v>
      </c>
      <c r="I134" s="77" t="n">
        <f aca="false">IF($A134=2025,VLOOKUP($E134,Premissas!$A$52:$P$56,2,0),IF($A134=2026,VLOOKUP($E134,Premissas!$A$52:$P$56,3,0),VLOOKUP($E134,Premissas!$A$52:$P$56,4,0)))</f>
        <v>0.47</v>
      </c>
      <c r="J134" s="76" t="n">
        <f aca="false">H134*(1-I134)</f>
        <v>18851.2601519088</v>
      </c>
      <c r="K134" s="76" t="n">
        <f aca="false">H134-J134</f>
        <v>16717.1552290512</v>
      </c>
      <c r="L134" s="78" t="n">
        <f aca="false">SUMIFS(Headcount_Folha!$I:$I,Headcount_Folha!$C:$C,$C134,Headcount_Folha!$D:$D,$E134)</f>
        <v>13104</v>
      </c>
      <c r="M134" s="76" t="n">
        <f aca="false">VLOOKUP($E134,Premissas!$A$52:$P$56,10,0)*(1+VLOOKUP($E134,Premissas!$A$52:$P$56,11,0))^($A134-2025)</f>
        <v>2730.0625</v>
      </c>
      <c r="N134" s="76" t="n">
        <f aca="false">H134*VLOOKUP($E134,Premissas!$A$52:$P$56,7,0)</f>
        <v>711.3683076192</v>
      </c>
      <c r="O134" s="76" t="n">
        <f aca="false">H134*VLOOKUP($E134,Premissas!$A$52:$P$56,8,0)</f>
        <v>533.5262307144</v>
      </c>
      <c r="P134" s="76" t="n">
        <f aca="false">H134*VLOOKUP($E134,Premissas!$A$52:$P$56,9,0)</f>
        <v>711.3683076192</v>
      </c>
      <c r="Q134" s="76" t="n">
        <f aca="false">K134-L134-M134-N134-O134-P134</f>
        <v>-1073.1701169016</v>
      </c>
    </row>
    <row r="135" customFormat="false" ht="15" hidden="false" customHeight="true" outlineLevel="0" collapsed="false">
      <c r="A135" s="18" t="n">
        <v>2027</v>
      </c>
      <c r="B135" s="18" t="n">
        <v>2</v>
      </c>
      <c r="C135" s="18" t="s">
        <v>173</v>
      </c>
      <c r="D135" s="74" t="n">
        <v>46419</v>
      </c>
      <c r="E135" s="18" t="s">
        <v>144</v>
      </c>
      <c r="F135" s="76" t="n">
        <f aca="false">F123*(1+VLOOKUP($E135,Premissas!$A$52:$P$56,6,0))</f>
        <v>34761.6478</v>
      </c>
      <c r="G135" s="76" t="n">
        <f aca="false">F135*VLOOKUP($E135,Premissas!$A$52:$P$56,5,0)</f>
        <v>8454.03274496</v>
      </c>
      <c r="H135" s="76" t="n">
        <f aca="false">F135-G135</f>
        <v>26307.61505504</v>
      </c>
      <c r="I135" s="77" t="n">
        <f aca="false">IF($A135=2025,VLOOKUP($E135,Premissas!$A$52:$P$56,2,0),IF($A135=2026,VLOOKUP($E135,Premissas!$A$52:$P$56,3,0),VLOOKUP($E135,Premissas!$A$52:$P$56,4,0)))</f>
        <v>0.47</v>
      </c>
      <c r="J135" s="76" t="n">
        <f aca="false">H135*(1-I135)</f>
        <v>13943.0359791712</v>
      </c>
      <c r="K135" s="76" t="n">
        <f aca="false">H135-J135</f>
        <v>12364.5790758688</v>
      </c>
      <c r="L135" s="78" t="n">
        <f aca="false">SUMIFS(Headcount_Folha!$I:$I,Headcount_Folha!$C:$C,$C135,Headcount_Folha!$D:$D,$E135)</f>
        <v>13104</v>
      </c>
      <c r="M135" s="76" t="n">
        <f aca="false">VLOOKUP($E135,Premissas!$A$52:$P$56,10,0)*(1+VLOOKUP($E135,Premissas!$A$52:$P$56,11,0))^($A135-2025)</f>
        <v>2730.0625</v>
      </c>
      <c r="N135" s="76" t="n">
        <f aca="false">H135*VLOOKUP($E135,Premissas!$A$52:$P$56,7,0)</f>
        <v>526.1523011008</v>
      </c>
      <c r="O135" s="76" t="n">
        <f aca="false">H135*VLOOKUP($E135,Premissas!$A$52:$P$56,8,0)</f>
        <v>394.6142258256</v>
      </c>
      <c r="P135" s="76" t="n">
        <f aca="false">H135*VLOOKUP($E135,Premissas!$A$52:$P$56,9,0)</f>
        <v>526.1523011008</v>
      </c>
      <c r="Q135" s="76" t="n">
        <f aca="false">K135-L135-M135-N135-O135-P135</f>
        <v>-4916.4022521584</v>
      </c>
    </row>
    <row r="136" customFormat="false" ht="15" hidden="false" customHeight="true" outlineLevel="0" collapsed="false">
      <c r="A136" s="18" t="n">
        <v>2027</v>
      </c>
      <c r="B136" s="18" t="n">
        <v>3</v>
      </c>
      <c r="C136" s="18" t="s">
        <v>174</v>
      </c>
      <c r="D136" s="74" t="n">
        <v>46447</v>
      </c>
      <c r="E136" s="18" t="s">
        <v>144</v>
      </c>
      <c r="F136" s="76" t="n">
        <f aca="false">F124*(1+VLOOKUP($E136,Premissas!$A$52:$P$56,6,0))</f>
        <v>46347.5739</v>
      </c>
      <c r="G136" s="76" t="n">
        <f aca="false">F136*VLOOKUP($E136,Premissas!$A$52:$P$56,5,0)</f>
        <v>11271.72997248</v>
      </c>
      <c r="H136" s="76" t="n">
        <f aca="false">F136-G136</f>
        <v>35075.84392752</v>
      </c>
      <c r="I136" s="77" t="n">
        <f aca="false">IF($A136=2025,VLOOKUP($E136,Premissas!$A$52:$P$56,2,0),IF($A136=2026,VLOOKUP($E136,Premissas!$A$52:$P$56,3,0),VLOOKUP($E136,Premissas!$A$52:$P$56,4,0)))</f>
        <v>0.47</v>
      </c>
      <c r="J136" s="76" t="n">
        <f aca="false">H136*(1-I136)</f>
        <v>18590.1972815856</v>
      </c>
      <c r="K136" s="76" t="n">
        <f aca="false">H136-J136</f>
        <v>16485.6466459344</v>
      </c>
      <c r="L136" s="78" t="n">
        <f aca="false">SUMIFS(Headcount_Folha!$I:$I,Headcount_Folha!$C:$C,$C136,Headcount_Folha!$D:$D,$E136)</f>
        <v>13104</v>
      </c>
      <c r="M136" s="76" t="n">
        <f aca="false">VLOOKUP($E136,Premissas!$A$52:$P$56,10,0)*(1+VLOOKUP($E136,Premissas!$A$52:$P$56,11,0))^($A136-2025)</f>
        <v>2730.0625</v>
      </c>
      <c r="N136" s="76" t="n">
        <f aca="false">H136*VLOOKUP($E136,Premissas!$A$52:$P$56,7,0)</f>
        <v>701.5168785504</v>
      </c>
      <c r="O136" s="76" t="n">
        <f aca="false">H136*VLOOKUP($E136,Premissas!$A$52:$P$56,8,0)</f>
        <v>526.1376589128</v>
      </c>
      <c r="P136" s="76" t="n">
        <f aca="false">H136*VLOOKUP($E136,Premissas!$A$52:$P$56,9,0)</f>
        <v>701.5168785504</v>
      </c>
      <c r="Q136" s="76" t="n">
        <f aca="false">K136-L136-M136-N136-O136-P136</f>
        <v>-1277.5872700792</v>
      </c>
    </row>
    <row r="137" customFormat="false" ht="15" hidden="false" customHeight="true" outlineLevel="0" collapsed="false">
      <c r="A137" s="18" t="n">
        <v>2027</v>
      </c>
      <c r="B137" s="18" t="n">
        <v>4</v>
      </c>
      <c r="C137" s="18" t="s">
        <v>175</v>
      </c>
      <c r="D137" s="74" t="n">
        <v>46478</v>
      </c>
      <c r="E137" s="18" t="s">
        <v>144</v>
      </c>
      <c r="F137" s="76" t="n">
        <f aca="false">F125*(1+VLOOKUP($E137,Premissas!$A$52:$P$56,6,0))</f>
        <v>58449.6695</v>
      </c>
      <c r="G137" s="76" t="n">
        <f aca="false">F137*VLOOKUP($E137,Premissas!$A$52:$P$56,5,0)</f>
        <v>14214.9596224</v>
      </c>
      <c r="H137" s="76" t="n">
        <f aca="false">F137-G137</f>
        <v>44234.7098776</v>
      </c>
      <c r="I137" s="77" t="n">
        <f aca="false">IF($A137=2025,VLOOKUP($E137,Premissas!$A$52:$P$56,2,0),IF($A137=2026,VLOOKUP($E137,Premissas!$A$52:$P$56,3,0),VLOOKUP($E137,Premissas!$A$52:$P$56,4,0)))</f>
        <v>0.47</v>
      </c>
      <c r="J137" s="76" t="n">
        <f aca="false">H137*(1-I137)</f>
        <v>23444.396235128</v>
      </c>
      <c r="K137" s="76" t="n">
        <f aca="false">H137-J137</f>
        <v>20790.313642472</v>
      </c>
      <c r="L137" s="78" t="n">
        <f aca="false">SUMIFS(Headcount_Folha!$I:$I,Headcount_Folha!$C:$C,$C137,Headcount_Folha!$D:$D,$E137)</f>
        <v>13104</v>
      </c>
      <c r="M137" s="76" t="n">
        <f aca="false">VLOOKUP($E137,Premissas!$A$52:$P$56,10,0)*(1+VLOOKUP($E137,Premissas!$A$52:$P$56,11,0))^($A137-2025)</f>
        <v>2730.0625</v>
      </c>
      <c r="N137" s="76" t="n">
        <f aca="false">H137*VLOOKUP($E137,Premissas!$A$52:$P$56,7,0)</f>
        <v>884.694197552</v>
      </c>
      <c r="O137" s="76" t="n">
        <f aca="false">H137*VLOOKUP($E137,Premissas!$A$52:$P$56,8,0)</f>
        <v>663.520648164</v>
      </c>
      <c r="P137" s="76" t="n">
        <f aca="false">H137*VLOOKUP($E137,Premissas!$A$52:$P$56,9,0)</f>
        <v>884.694197552</v>
      </c>
      <c r="Q137" s="76" t="n">
        <f aca="false">K137-L137-M137-N137-O137-P137</f>
        <v>2523.342099204</v>
      </c>
    </row>
    <row r="138" customFormat="false" ht="15" hidden="false" customHeight="true" outlineLevel="0" collapsed="false">
      <c r="A138" s="18" t="n">
        <v>2027</v>
      </c>
      <c r="B138" s="18" t="n">
        <v>5</v>
      </c>
      <c r="C138" s="18" t="s">
        <v>176</v>
      </c>
      <c r="D138" s="74" t="n">
        <v>46508</v>
      </c>
      <c r="E138" s="18" t="s">
        <v>144</v>
      </c>
      <c r="F138" s="76" t="n">
        <f aca="false">F126*(1+VLOOKUP($E138,Premissas!$A$52:$P$56,6,0))</f>
        <v>61213.419</v>
      </c>
      <c r="G138" s="76" t="n">
        <f aca="false">F138*VLOOKUP($E138,Premissas!$A$52:$P$56,5,0)</f>
        <v>14887.1035008</v>
      </c>
      <c r="H138" s="76" t="n">
        <f aca="false">F138-G138</f>
        <v>46326.3154992</v>
      </c>
      <c r="I138" s="77" t="n">
        <f aca="false">IF($A138=2025,VLOOKUP($E138,Premissas!$A$52:$P$56,2,0),IF($A138=2026,VLOOKUP($E138,Premissas!$A$52:$P$56,3,0),VLOOKUP($E138,Premissas!$A$52:$P$56,4,0)))</f>
        <v>0.47</v>
      </c>
      <c r="J138" s="76" t="n">
        <f aca="false">H138*(1-I138)</f>
        <v>24552.947214576</v>
      </c>
      <c r="K138" s="76" t="n">
        <f aca="false">H138-J138</f>
        <v>21773.368284624</v>
      </c>
      <c r="L138" s="78" t="n">
        <f aca="false">SUMIFS(Headcount_Folha!$I:$I,Headcount_Folha!$C:$C,$C138,Headcount_Folha!$D:$D,$E138)</f>
        <v>13104</v>
      </c>
      <c r="M138" s="76" t="n">
        <f aca="false">VLOOKUP($E138,Premissas!$A$52:$P$56,10,0)*(1+VLOOKUP($E138,Premissas!$A$52:$P$56,11,0))^($A138-2025)</f>
        <v>2730.0625</v>
      </c>
      <c r="N138" s="76" t="n">
        <f aca="false">H138*VLOOKUP($E138,Premissas!$A$52:$P$56,7,0)</f>
        <v>926.526309984</v>
      </c>
      <c r="O138" s="76" t="n">
        <f aca="false">H138*VLOOKUP($E138,Premissas!$A$52:$P$56,8,0)</f>
        <v>694.894732488</v>
      </c>
      <c r="P138" s="76" t="n">
        <f aca="false">H138*VLOOKUP($E138,Premissas!$A$52:$P$56,9,0)</f>
        <v>926.526309984</v>
      </c>
      <c r="Q138" s="76" t="n">
        <f aca="false">K138-L138-M138-N138-O138-P138</f>
        <v>3391.358432168</v>
      </c>
    </row>
    <row r="139" customFormat="false" ht="15" hidden="false" customHeight="true" outlineLevel="0" collapsed="false">
      <c r="A139" s="18" t="n">
        <v>2027</v>
      </c>
      <c r="B139" s="18" t="n">
        <v>6</v>
      </c>
      <c r="C139" s="18" t="s">
        <v>177</v>
      </c>
      <c r="D139" s="74" t="n">
        <v>46539</v>
      </c>
      <c r="E139" s="18" t="s">
        <v>144</v>
      </c>
      <c r="F139" s="76" t="n">
        <f aca="false">F127*(1+VLOOKUP($E139,Premissas!$A$52:$P$56,6,0))</f>
        <v>62999.2859</v>
      </c>
      <c r="G139" s="76" t="n">
        <f aca="false">F139*VLOOKUP($E139,Premissas!$A$52:$P$56,5,0)</f>
        <v>15321.42633088</v>
      </c>
      <c r="H139" s="76" t="n">
        <f aca="false">F139-G139</f>
        <v>47677.85956912</v>
      </c>
      <c r="I139" s="77" t="n">
        <f aca="false">IF($A139=2025,VLOOKUP($E139,Premissas!$A$52:$P$56,2,0),IF($A139=2026,VLOOKUP($E139,Premissas!$A$52:$P$56,3,0),VLOOKUP($E139,Premissas!$A$52:$P$56,4,0)))</f>
        <v>0.47</v>
      </c>
      <c r="J139" s="76" t="n">
        <f aca="false">H139*(1-I139)</f>
        <v>25269.2655716336</v>
      </c>
      <c r="K139" s="76" t="n">
        <f aca="false">H139-J139</f>
        <v>22408.5939974864</v>
      </c>
      <c r="L139" s="78" t="n">
        <f aca="false">SUMIFS(Headcount_Folha!$I:$I,Headcount_Folha!$C:$C,$C139,Headcount_Folha!$D:$D,$E139)</f>
        <v>13104</v>
      </c>
      <c r="M139" s="76" t="n">
        <f aca="false">VLOOKUP($E139,Premissas!$A$52:$P$56,10,0)*(1+VLOOKUP($E139,Premissas!$A$52:$P$56,11,0))^($A139-2025)</f>
        <v>2730.0625</v>
      </c>
      <c r="N139" s="76" t="n">
        <f aca="false">H139*VLOOKUP($E139,Premissas!$A$52:$P$56,7,0)</f>
        <v>953.5571913824</v>
      </c>
      <c r="O139" s="76" t="n">
        <f aca="false">H139*VLOOKUP($E139,Premissas!$A$52:$P$56,8,0)</f>
        <v>715.1678935368</v>
      </c>
      <c r="P139" s="76" t="n">
        <f aca="false">H139*VLOOKUP($E139,Premissas!$A$52:$P$56,9,0)</f>
        <v>953.5571913824</v>
      </c>
      <c r="Q139" s="76" t="n">
        <f aca="false">K139-L139-M139-N139-O139-P139</f>
        <v>3952.2492211848</v>
      </c>
    </row>
    <row r="140" customFormat="false" ht="15" hidden="false" customHeight="true" outlineLevel="0" collapsed="false">
      <c r="A140" s="18" t="n">
        <v>2027</v>
      </c>
      <c r="B140" s="18" t="n">
        <v>7</v>
      </c>
      <c r="C140" s="18" t="s">
        <v>178</v>
      </c>
      <c r="D140" s="74" t="n">
        <v>46569</v>
      </c>
      <c r="E140" s="18" t="s">
        <v>144</v>
      </c>
      <c r="F140" s="76" t="n">
        <f aca="false">F128*(1+VLOOKUP($E140,Premissas!$A$52:$P$56,6,0))</f>
        <v>74021.3223</v>
      </c>
      <c r="G140" s="76" t="n">
        <f aca="false">F140*VLOOKUP($E140,Premissas!$A$52:$P$56,5,0)</f>
        <v>18001.98558336</v>
      </c>
      <c r="H140" s="76" t="n">
        <f aca="false">F140-G140</f>
        <v>56019.33671664</v>
      </c>
      <c r="I140" s="77" t="n">
        <f aca="false">IF($A140=2025,VLOOKUP($E140,Premissas!$A$52:$P$56,2,0),IF($A140=2026,VLOOKUP($E140,Premissas!$A$52:$P$56,3,0),VLOOKUP($E140,Premissas!$A$52:$P$56,4,0)))</f>
        <v>0.47</v>
      </c>
      <c r="J140" s="76" t="n">
        <f aca="false">H140*(1-I140)</f>
        <v>29690.2484598192</v>
      </c>
      <c r="K140" s="76" t="n">
        <f aca="false">H140-J140</f>
        <v>26329.0882568208</v>
      </c>
      <c r="L140" s="78" t="n">
        <f aca="false">SUMIFS(Headcount_Folha!$I:$I,Headcount_Folha!$C:$C,$C140,Headcount_Folha!$D:$D,$E140)</f>
        <v>13104</v>
      </c>
      <c r="M140" s="76" t="n">
        <f aca="false">VLOOKUP($E140,Premissas!$A$52:$P$56,10,0)*(1+VLOOKUP($E140,Premissas!$A$52:$P$56,11,0))^($A140-2025)</f>
        <v>2730.0625</v>
      </c>
      <c r="N140" s="76" t="n">
        <f aca="false">H140*VLOOKUP($E140,Premissas!$A$52:$P$56,7,0)</f>
        <v>1120.3867343328</v>
      </c>
      <c r="O140" s="76" t="n">
        <f aca="false">H140*VLOOKUP($E140,Premissas!$A$52:$P$56,8,0)</f>
        <v>840.2900507496</v>
      </c>
      <c r="P140" s="76" t="n">
        <f aca="false">H140*VLOOKUP($E140,Premissas!$A$52:$P$56,9,0)</f>
        <v>1120.3867343328</v>
      </c>
      <c r="Q140" s="76" t="n">
        <f aca="false">K140-L140-M140-N140-O140-P140</f>
        <v>7413.96223740559</v>
      </c>
    </row>
    <row r="141" customFormat="false" ht="15" hidden="false" customHeight="true" outlineLevel="0" collapsed="false">
      <c r="A141" s="18" t="n">
        <v>2027</v>
      </c>
      <c r="B141" s="18" t="n">
        <v>8</v>
      </c>
      <c r="C141" s="18" t="s">
        <v>179</v>
      </c>
      <c r="D141" s="74" t="n">
        <v>46600</v>
      </c>
      <c r="E141" s="18" t="s">
        <v>144</v>
      </c>
      <c r="F141" s="76" t="n">
        <f aca="false">F129*(1+VLOOKUP($E141,Premissas!$A$52:$P$56,6,0))</f>
        <v>65459.8301</v>
      </c>
      <c r="G141" s="76" t="n">
        <f aca="false">F141*VLOOKUP($E141,Premissas!$A$52:$P$56,5,0)</f>
        <v>15919.83068032</v>
      </c>
      <c r="H141" s="76" t="n">
        <f aca="false">F141-G141</f>
        <v>49539.99941968</v>
      </c>
      <c r="I141" s="77" t="n">
        <f aca="false">IF($A141=2025,VLOOKUP($E141,Premissas!$A$52:$P$56,2,0),IF($A141=2026,VLOOKUP($E141,Premissas!$A$52:$P$56,3,0),VLOOKUP($E141,Premissas!$A$52:$P$56,4,0)))</f>
        <v>0.47</v>
      </c>
      <c r="J141" s="76" t="n">
        <f aca="false">H141*(1-I141)</f>
        <v>26256.1996924304</v>
      </c>
      <c r="K141" s="76" t="n">
        <f aca="false">H141-J141</f>
        <v>23283.7997272496</v>
      </c>
      <c r="L141" s="78" t="n">
        <f aca="false">SUMIFS(Headcount_Folha!$I:$I,Headcount_Folha!$C:$C,$C141,Headcount_Folha!$D:$D,$E141)</f>
        <v>13104</v>
      </c>
      <c r="M141" s="76" t="n">
        <f aca="false">VLOOKUP($E141,Premissas!$A$52:$P$56,10,0)*(1+VLOOKUP($E141,Premissas!$A$52:$P$56,11,0))^($A141-2025)</f>
        <v>2730.0625</v>
      </c>
      <c r="N141" s="76" t="n">
        <f aca="false">H141*VLOOKUP($E141,Premissas!$A$52:$P$56,7,0)</f>
        <v>990.7999883936</v>
      </c>
      <c r="O141" s="76" t="n">
        <f aca="false">H141*VLOOKUP($E141,Premissas!$A$52:$P$56,8,0)</f>
        <v>743.0999912952</v>
      </c>
      <c r="P141" s="76" t="n">
        <f aca="false">H141*VLOOKUP($E141,Premissas!$A$52:$P$56,9,0)</f>
        <v>990.7999883936</v>
      </c>
      <c r="Q141" s="76" t="n">
        <f aca="false">K141-L141-M141-N141-O141-P141</f>
        <v>4725.0372591672</v>
      </c>
    </row>
    <row r="142" customFormat="false" ht="15" hidden="false" customHeight="true" outlineLevel="0" collapsed="false">
      <c r="A142" s="18" t="n">
        <v>2027</v>
      </c>
      <c r="B142" s="18" t="n">
        <v>9</v>
      </c>
      <c r="C142" s="18" t="s">
        <v>180</v>
      </c>
      <c r="D142" s="74" t="n">
        <v>46631</v>
      </c>
      <c r="E142" s="18" t="s">
        <v>144</v>
      </c>
      <c r="F142" s="76" t="n">
        <f aca="false">F130*(1+VLOOKUP($E142,Premissas!$A$52:$P$56,6,0))</f>
        <v>58696.0967</v>
      </c>
      <c r="G142" s="76" t="n">
        <f aca="false">F142*VLOOKUP($E142,Premissas!$A$52:$P$56,5,0)</f>
        <v>14274.89071744</v>
      </c>
      <c r="H142" s="76" t="n">
        <f aca="false">F142-G142</f>
        <v>44421.20598256</v>
      </c>
      <c r="I142" s="77" t="n">
        <f aca="false">IF($A142=2025,VLOOKUP($E142,Premissas!$A$52:$P$56,2,0),IF($A142=2026,VLOOKUP($E142,Premissas!$A$52:$P$56,3,0),VLOOKUP($E142,Premissas!$A$52:$P$56,4,0)))</f>
        <v>0.47</v>
      </c>
      <c r="J142" s="76" t="n">
        <f aca="false">H142*(1-I142)</f>
        <v>23543.2391707568</v>
      </c>
      <c r="K142" s="76" t="n">
        <f aca="false">H142-J142</f>
        <v>20877.9668118032</v>
      </c>
      <c r="L142" s="78" t="n">
        <f aca="false">SUMIFS(Headcount_Folha!$I:$I,Headcount_Folha!$C:$C,$C142,Headcount_Folha!$D:$D,$E142)</f>
        <v>13104</v>
      </c>
      <c r="M142" s="76" t="n">
        <f aca="false">VLOOKUP($E142,Premissas!$A$52:$P$56,10,0)*(1+VLOOKUP($E142,Premissas!$A$52:$P$56,11,0))^($A142-2025)</f>
        <v>2730.0625</v>
      </c>
      <c r="N142" s="76" t="n">
        <f aca="false">H142*VLOOKUP($E142,Premissas!$A$52:$P$56,7,0)</f>
        <v>888.4241196512</v>
      </c>
      <c r="O142" s="76" t="n">
        <f aca="false">H142*VLOOKUP($E142,Premissas!$A$52:$P$56,8,0)</f>
        <v>666.3180897384</v>
      </c>
      <c r="P142" s="76" t="n">
        <f aca="false">H142*VLOOKUP($E142,Premissas!$A$52:$P$56,9,0)</f>
        <v>888.4241196512</v>
      </c>
      <c r="Q142" s="76" t="n">
        <f aca="false">K142-L142-M142-N142-O142-P142</f>
        <v>2600.7379827624</v>
      </c>
    </row>
    <row r="143" customFormat="false" ht="15" hidden="false" customHeight="true" outlineLevel="0" collapsed="false">
      <c r="A143" s="18" t="n">
        <v>2027</v>
      </c>
      <c r="B143" s="18" t="n">
        <v>10</v>
      </c>
      <c r="C143" s="18" t="s">
        <v>181</v>
      </c>
      <c r="D143" s="74" t="n">
        <v>46661</v>
      </c>
      <c r="E143" s="18" t="s">
        <v>144</v>
      </c>
      <c r="F143" s="76" t="n">
        <f aca="false">F131*(1+VLOOKUP($E143,Premissas!$A$52:$P$56,6,0))</f>
        <v>48490.5248</v>
      </c>
      <c r="G143" s="76" t="n">
        <f aca="false">F143*VLOOKUP($E143,Premissas!$A$52:$P$56,5,0)</f>
        <v>11792.89563136</v>
      </c>
      <c r="H143" s="76" t="n">
        <f aca="false">F143-G143</f>
        <v>36697.62916864</v>
      </c>
      <c r="I143" s="77" t="n">
        <f aca="false">IF($A143=2025,VLOOKUP($E143,Premissas!$A$52:$P$56,2,0),IF($A143=2026,VLOOKUP($E143,Premissas!$A$52:$P$56,3,0),VLOOKUP($E143,Premissas!$A$52:$P$56,4,0)))</f>
        <v>0.47</v>
      </c>
      <c r="J143" s="76" t="n">
        <f aca="false">H143*(1-I143)</f>
        <v>19449.7434593792</v>
      </c>
      <c r="K143" s="76" t="n">
        <f aca="false">H143-J143</f>
        <v>17247.8857092608</v>
      </c>
      <c r="L143" s="78" t="n">
        <f aca="false">SUMIFS(Headcount_Folha!$I:$I,Headcount_Folha!$C:$C,$C143,Headcount_Folha!$D:$D,$E143)</f>
        <v>13104</v>
      </c>
      <c r="M143" s="76" t="n">
        <f aca="false">VLOOKUP($E143,Premissas!$A$52:$P$56,10,0)*(1+VLOOKUP($E143,Premissas!$A$52:$P$56,11,0))^($A143-2025)</f>
        <v>2730.0625</v>
      </c>
      <c r="N143" s="76" t="n">
        <f aca="false">H143*VLOOKUP($E143,Premissas!$A$52:$P$56,7,0)</f>
        <v>733.9525833728</v>
      </c>
      <c r="O143" s="76" t="n">
        <f aca="false">H143*VLOOKUP($E143,Premissas!$A$52:$P$56,8,0)</f>
        <v>550.4644375296</v>
      </c>
      <c r="P143" s="76" t="n">
        <f aca="false">H143*VLOOKUP($E143,Premissas!$A$52:$P$56,9,0)</f>
        <v>733.9525833728</v>
      </c>
      <c r="Q143" s="76" t="n">
        <f aca="false">K143-L143-M143-N143-O143-P143</f>
        <v>-604.5463950144</v>
      </c>
    </row>
    <row r="144" customFormat="false" ht="15" hidden="false" customHeight="true" outlineLevel="0" collapsed="false">
      <c r="A144" s="18" t="n">
        <v>2027</v>
      </c>
      <c r="B144" s="18" t="n">
        <v>11</v>
      </c>
      <c r="C144" s="18" t="s">
        <v>182</v>
      </c>
      <c r="D144" s="74" t="n">
        <v>46692</v>
      </c>
      <c r="E144" s="18" t="s">
        <v>144</v>
      </c>
      <c r="F144" s="76" t="n">
        <f aca="false">F132*(1+VLOOKUP($E144,Premissas!$A$52:$P$56,6,0))</f>
        <v>61937.6913</v>
      </c>
      <c r="G144" s="76" t="n">
        <f aca="false">F144*VLOOKUP($E144,Premissas!$A$52:$P$56,5,0)</f>
        <v>15063.24652416</v>
      </c>
      <c r="H144" s="76" t="n">
        <f aca="false">F144-G144</f>
        <v>46874.44477584</v>
      </c>
      <c r="I144" s="77" t="n">
        <f aca="false">IF($A144=2025,VLOOKUP($E144,Premissas!$A$52:$P$56,2,0),IF($A144=2026,VLOOKUP($E144,Premissas!$A$52:$P$56,3,0),VLOOKUP($E144,Premissas!$A$52:$P$56,4,0)))</f>
        <v>0.47</v>
      </c>
      <c r="J144" s="76" t="n">
        <f aca="false">H144*(1-I144)</f>
        <v>24843.4557311952</v>
      </c>
      <c r="K144" s="76" t="n">
        <f aca="false">H144-J144</f>
        <v>22030.9890446448</v>
      </c>
      <c r="L144" s="78" t="n">
        <f aca="false">SUMIFS(Headcount_Folha!$I:$I,Headcount_Folha!$C:$C,$C144,Headcount_Folha!$D:$D,$E144)</f>
        <v>13104</v>
      </c>
      <c r="M144" s="76" t="n">
        <f aca="false">VLOOKUP($E144,Premissas!$A$52:$P$56,10,0)*(1+VLOOKUP($E144,Premissas!$A$52:$P$56,11,0))^($A144-2025)</f>
        <v>2730.0625</v>
      </c>
      <c r="N144" s="76" t="n">
        <f aca="false">H144*VLOOKUP($E144,Premissas!$A$52:$P$56,7,0)</f>
        <v>937.4888955168</v>
      </c>
      <c r="O144" s="76" t="n">
        <f aca="false">H144*VLOOKUP($E144,Premissas!$A$52:$P$56,8,0)</f>
        <v>703.1166716376</v>
      </c>
      <c r="P144" s="76" t="n">
        <f aca="false">H144*VLOOKUP($E144,Premissas!$A$52:$P$56,9,0)</f>
        <v>937.4888955168</v>
      </c>
      <c r="Q144" s="76" t="n">
        <f aca="false">K144-L144-M144-N144-O144-P144</f>
        <v>3618.8320819736</v>
      </c>
    </row>
    <row r="145" customFormat="false" ht="15" hidden="false" customHeight="true" outlineLevel="0" collapsed="false">
      <c r="A145" s="18" t="n">
        <v>2027</v>
      </c>
      <c r="B145" s="18" t="n">
        <v>12</v>
      </c>
      <c r="C145" s="18" t="s">
        <v>183</v>
      </c>
      <c r="D145" s="74" t="n">
        <v>46722</v>
      </c>
      <c r="E145" s="18" t="s">
        <v>144</v>
      </c>
      <c r="F145" s="76" t="n">
        <f aca="false">F133*(1+VLOOKUP($E145,Premissas!$A$52:$P$56,6,0))</f>
        <v>73362.8097</v>
      </c>
      <c r="G145" s="76" t="n">
        <f aca="false">F145*VLOOKUP($E145,Premissas!$A$52:$P$56,5,0)</f>
        <v>17841.83531904</v>
      </c>
      <c r="H145" s="76" t="n">
        <f aca="false">F145-G145</f>
        <v>55520.97438096</v>
      </c>
      <c r="I145" s="77" t="n">
        <f aca="false">IF($A145=2025,VLOOKUP($E145,Premissas!$A$52:$P$56,2,0),IF($A145=2026,VLOOKUP($E145,Premissas!$A$52:$P$56,3,0),VLOOKUP($E145,Premissas!$A$52:$P$56,4,0)))</f>
        <v>0.47</v>
      </c>
      <c r="J145" s="76" t="n">
        <f aca="false">H145*(1-I145)</f>
        <v>29426.1164219088</v>
      </c>
      <c r="K145" s="76" t="n">
        <f aca="false">H145-J145</f>
        <v>26094.8579590512</v>
      </c>
      <c r="L145" s="78" t="n">
        <f aca="false">SUMIFS(Headcount_Folha!$I:$I,Headcount_Folha!$C:$C,$C145,Headcount_Folha!$D:$D,$E145)</f>
        <v>13104</v>
      </c>
      <c r="M145" s="76" t="n">
        <f aca="false">VLOOKUP($E145,Premissas!$A$52:$P$56,10,0)*(1+VLOOKUP($E145,Premissas!$A$52:$P$56,11,0))^($A145-2025)</f>
        <v>2730.0625</v>
      </c>
      <c r="N145" s="76" t="n">
        <f aca="false">H145*VLOOKUP($E145,Premissas!$A$52:$P$56,7,0)</f>
        <v>1110.4194876192</v>
      </c>
      <c r="O145" s="76" t="n">
        <f aca="false">H145*VLOOKUP($E145,Premissas!$A$52:$P$56,8,0)</f>
        <v>832.8146157144</v>
      </c>
      <c r="P145" s="76" t="n">
        <f aca="false">H145*VLOOKUP($E145,Premissas!$A$52:$P$56,9,0)</f>
        <v>1110.4194876192</v>
      </c>
      <c r="Q145" s="76" t="n">
        <f aca="false">K145-L145-M145-N145-O145-P145</f>
        <v>7207.1418680984</v>
      </c>
    </row>
    <row r="146" customFormat="false" ht="15" hidden="false" customHeight="true" outlineLevel="0" collapsed="false">
      <c r="A146" s="18" t="n">
        <v>2025</v>
      </c>
      <c r="B146" s="18" t="n">
        <v>1</v>
      </c>
      <c r="C146" s="18" t="s">
        <v>148</v>
      </c>
      <c r="D146" s="74" t="n">
        <v>45658</v>
      </c>
      <c r="E146" s="18" t="s">
        <v>145</v>
      </c>
      <c r="F146" s="75" t="n">
        <v>100004.57</v>
      </c>
      <c r="G146" s="75" t="n">
        <v>31509.34</v>
      </c>
      <c r="H146" s="76" t="n">
        <f aca="false">F146-G146</f>
        <v>68495.23</v>
      </c>
      <c r="I146" s="77" t="n">
        <f aca="false">IF($A146=2025,VLOOKUP($E146,Premissas!$A$52:$P$56,2,0),IF($A146=2026,VLOOKUP($E146,Premissas!$A$52:$P$56,3,0),VLOOKUP($E146,Premissas!$A$52:$P$56,4,0)))</f>
        <v>0.52</v>
      </c>
      <c r="J146" s="76" t="n">
        <f aca="false">H146*(1-I146)</f>
        <v>32877.7104</v>
      </c>
      <c r="K146" s="76" t="n">
        <f aca="false">H146-J146</f>
        <v>35617.5196</v>
      </c>
      <c r="L146" s="78" t="n">
        <f aca="false">SUMIFS(Headcount_Folha!$I:$I,Headcount_Folha!$C:$C,$C146,Headcount_Folha!$D:$D,$E146)</f>
        <v>9072</v>
      </c>
      <c r="M146" s="76" t="n">
        <f aca="false">VLOOKUP($E146,Premissas!$A$52:$P$56,10,0)*(1+VLOOKUP($E146,Premissas!$A$52:$P$56,11,0))^($A146-2025)</f>
        <v>3000</v>
      </c>
      <c r="N146" s="76" t="n">
        <f aca="false">H146*VLOOKUP($E146,Premissas!$A$52:$P$56,7,0)</f>
        <v>2054.8569</v>
      </c>
      <c r="O146" s="76" t="n">
        <f aca="false">H146*VLOOKUP($E146,Premissas!$A$52:$P$56,8,0)</f>
        <v>1712.38075</v>
      </c>
      <c r="P146" s="76" t="n">
        <f aca="false">H146*VLOOKUP($E146,Premissas!$A$52:$P$56,9,0)</f>
        <v>1369.9046</v>
      </c>
      <c r="Q146" s="76" t="n">
        <f aca="false">K146-L146-M146-N146-O146-P146</f>
        <v>18408.37735</v>
      </c>
    </row>
    <row r="147" customFormat="false" ht="15" hidden="false" customHeight="true" outlineLevel="0" collapsed="false">
      <c r="A147" s="18" t="n">
        <v>2025</v>
      </c>
      <c r="B147" s="18" t="n">
        <v>2</v>
      </c>
      <c r="C147" s="18" t="s">
        <v>149</v>
      </c>
      <c r="D147" s="74" t="n">
        <v>45689</v>
      </c>
      <c r="E147" s="18" t="s">
        <v>145</v>
      </c>
      <c r="F147" s="75" t="n">
        <v>96975.82</v>
      </c>
      <c r="G147" s="75" t="n">
        <v>30441.22</v>
      </c>
      <c r="H147" s="76" t="n">
        <f aca="false">F147-G147</f>
        <v>66534.6</v>
      </c>
      <c r="I147" s="77" t="n">
        <f aca="false">IF($A147=2025,VLOOKUP($E147,Premissas!$A$52:$P$56,2,0),IF($A147=2026,VLOOKUP($E147,Premissas!$A$52:$P$56,3,0),VLOOKUP($E147,Premissas!$A$52:$P$56,4,0)))</f>
        <v>0.52</v>
      </c>
      <c r="J147" s="76" t="n">
        <f aca="false">H147*(1-I147)</f>
        <v>31936.608</v>
      </c>
      <c r="K147" s="76" t="n">
        <f aca="false">H147-J147</f>
        <v>34597.992</v>
      </c>
      <c r="L147" s="78" t="n">
        <f aca="false">SUMIFS(Headcount_Folha!$I:$I,Headcount_Folha!$C:$C,$C147,Headcount_Folha!$D:$D,$E147)</f>
        <v>9072</v>
      </c>
      <c r="M147" s="76" t="n">
        <f aca="false">VLOOKUP($E147,Premissas!$A$52:$P$56,10,0)*(1+VLOOKUP($E147,Premissas!$A$52:$P$56,11,0))^($A147-2025)</f>
        <v>3000</v>
      </c>
      <c r="N147" s="76" t="n">
        <f aca="false">H147*VLOOKUP($E147,Premissas!$A$52:$P$56,7,0)</f>
        <v>1996.038</v>
      </c>
      <c r="O147" s="76" t="n">
        <f aca="false">H147*VLOOKUP($E147,Premissas!$A$52:$P$56,8,0)</f>
        <v>1663.365</v>
      </c>
      <c r="P147" s="76" t="n">
        <f aca="false">H147*VLOOKUP($E147,Premissas!$A$52:$P$56,9,0)</f>
        <v>1330.692</v>
      </c>
      <c r="Q147" s="76" t="n">
        <f aca="false">K147-L147-M147-N147-O147-P147</f>
        <v>17535.897</v>
      </c>
    </row>
    <row r="148" customFormat="false" ht="15" hidden="false" customHeight="true" outlineLevel="0" collapsed="false">
      <c r="A148" s="18" t="n">
        <v>2025</v>
      </c>
      <c r="B148" s="18" t="n">
        <v>3</v>
      </c>
      <c r="C148" s="18" t="s">
        <v>150</v>
      </c>
      <c r="D148" s="74" t="n">
        <v>45717</v>
      </c>
      <c r="E148" s="18" t="s">
        <v>145</v>
      </c>
      <c r="F148" s="75" t="n">
        <v>116604.32</v>
      </c>
      <c r="G148" s="75" t="n">
        <v>36669.19</v>
      </c>
      <c r="H148" s="76" t="n">
        <f aca="false">F148-G148</f>
        <v>79935.13</v>
      </c>
      <c r="I148" s="77" t="n">
        <f aca="false">IF($A148=2025,VLOOKUP($E148,Premissas!$A$52:$P$56,2,0),IF($A148=2026,VLOOKUP($E148,Premissas!$A$52:$P$56,3,0),VLOOKUP($E148,Premissas!$A$52:$P$56,4,0)))</f>
        <v>0.52</v>
      </c>
      <c r="J148" s="76" t="n">
        <f aca="false">H148*(1-I148)</f>
        <v>38368.8624</v>
      </c>
      <c r="K148" s="76" t="n">
        <f aca="false">H148-J148</f>
        <v>41566.2676</v>
      </c>
      <c r="L148" s="78" t="n">
        <f aca="false">SUMIFS(Headcount_Folha!$I:$I,Headcount_Folha!$C:$C,$C148,Headcount_Folha!$D:$D,$E148)</f>
        <v>9072</v>
      </c>
      <c r="M148" s="76" t="n">
        <f aca="false">VLOOKUP($E148,Premissas!$A$52:$P$56,10,0)*(1+VLOOKUP($E148,Premissas!$A$52:$P$56,11,0))^($A148-2025)</f>
        <v>3000</v>
      </c>
      <c r="N148" s="76" t="n">
        <f aca="false">H148*VLOOKUP($E148,Premissas!$A$52:$P$56,7,0)</f>
        <v>2398.0539</v>
      </c>
      <c r="O148" s="76" t="n">
        <f aca="false">H148*VLOOKUP($E148,Premissas!$A$52:$P$56,8,0)</f>
        <v>1998.37825</v>
      </c>
      <c r="P148" s="76" t="n">
        <f aca="false">H148*VLOOKUP($E148,Premissas!$A$52:$P$56,9,0)</f>
        <v>1598.7026</v>
      </c>
      <c r="Q148" s="76" t="n">
        <f aca="false">K148-L148-M148-N148-O148-P148</f>
        <v>23499.13285</v>
      </c>
    </row>
    <row r="149" customFormat="false" ht="15" hidden="false" customHeight="true" outlineLevel="0" collapsed="false">
      <c r="A149" s="18" t="n">
        <v>2025</v>
      </c>
      <c r="B149" s="18" t="n">
        <v>4</v>
      </c>
      <c r="C149" s="18" t="s">
        <v>151</v>
      </c>
      <c r="D149" s="74" t="n">
        <v>45748</v>
      </c>
      <c r="E149" s="18" t="s">
        <v>145</v>
      </c>
      <c r="F149" s="75" t="n">
        <v>112483.72</v>
      </c>
      <c r="G149" s="75" t="n">
        <v>35498.02</v>
      </c>
      <c r="H149" s="76" t="n">
        <f aca="false">F149-G149</f>
        <v>76985.7</v>
      </c>
      <c r="I149" s="77" t="n">
        <f aca="false">IF($A149=2025,VLOOKUP($E149,Premissas!$A$52:$P$56,2,0),IF($A149=2026,VLOOKUP($E149,Premissas!$A$52:$P$56,3,0),VLOOKUP($E149,Premissas!$A$52:$P$56,4,0)))</f>
        <v>0.52</v>
      </c>
      <c r="J149" s="76" t="n">
        <f aca="false">H149*(1-I149)</f>
        <v>36953.136</v>
      </c>
      <c r="K149" s="76" t="n">
        <f aca="false">H149-J149</f>
        <v>40032.564</v>
      </c>
      <c r="L149" s="78" t="n">
        <f aca="false">SUMIFS(Headcount_Folha!$I:$I,Headcount_Folha!$C:$C,$C149,Headcount_Folha!$D:$D,$E149)</f>
        <v>9072</v>
      </c>
      <c r="M149" s="76" t="n">
        <f aca="false">VLOOKUP($E149,Premissas!$A$52:$P$56,10,0)*(1+VLOOKUP($E149,Premissas!$A$52:$P$56,11,0))^($A149-2025)</f>
        <v>3000</v>
      </c>
      <c r="N149" s="76" t="n">
        <f aca="false">H149*VLOOKUP($E149,Premissas!$A$52:$P$56,7,0)</f>
        <v>2309.571</v>
      </c>
      <c r="O149" s="76" t="n">
        <f aca="false">H149*VLOOKUP($E149,Premissas!$A$52:$P$56,8,0)</f>
        <v>1924.6425</v>
      </c>
      <c r="P149" s="76" t="n">
        <f aca="false">H149*VLOOKUP($E149,Premissas!$A$52:$P$56,9,0)</f>
        <v>1539.714</v>
      </c>
      <c r="Q149" s="76" t="n">
        <f aca="false">K149-L149-M149-N149-O149-P149</f>
        <v>22186.6365</v>
      </c>
    </row>
    <row r="150" customFormat="false" ht="15" hidden="false" customHeight="true" outlineLevel="0" collapsed="false">
      <c r="A150" s="18" t="n">
        <v>2025</v>
      </c>
      <c r="B150" s="18" t="n">
        <v>5</v>
      </c>
      <c r="C150" s="18" t="s">
        <v>152</v>
      </c>
      <c r="D150" s="74" t="n">
        <v>45778</v>
      </c>
      <c r="E150" s="18" t="s">
        <v>145</v>
      </c>
      <c r="F150" s="75" t="n">
        <v>115786.6</v>
      </c>
      <c r="G150" s="75" t="n">
        <v>36396.2</v>
      </c>
      <c r="H150" s="76" t="n">
        <f aca="false">F150-G150</f>
        <v>79390.4</v>
      </c>
      <c r="I150" s="77" t="n">
        <f aca="false">IF($A150=2025,VLOOKUP($E150,Premissas!$A$52:$P$56,2,0),IF($A150=2026,VLOOKUP($E150,Premissas!$A$52:$P$56,3,0),VLOOKUP($E150,Premissas!$A$52:$P$56,4,0)))</f>
        <v>0.52</v>
      </c>
      <c r="J150" s="76" t="n">
        <f aca="false">H150*(1-I150)</f>
        <v>38107.392</v>
      </c>
      <c r="K150" s="76" t="n">
        <f aca="false">H150-J150</f>
        <v>41283.008</v>
      </c>
      <c r="L150" s="78" t="n">
        <f aca="false">SUMIFS(Headcount_Folha!$I:$I,Headcount_Folha!$C:$C,$C150,Headcount_Folha!$D:$D,$E150)</f>
        <v>9072</v>
      </c>
      <c r="M150" s="76" t="n">
        <f aca="false">VLOOKUP($E150,Premissas!$A$52:$P$56,10,0)*(1+VLOOKUP($E150,Premissas!$A$52:$P$56,11,0))^($A150-2025)</f>
        <v>3000</v>
      </c>
      <c r="N150" s="76" t="n">
        <f aca="false">H150*VLOOKUP($E150,Premissas!$A$52:$P$56,7,0)</f>
        <v>2381.712</v>
      </c>
      <c r="O150" s="76" t="n">
        <f aca="false">H150*VLOOKUP($E150,Premissas!$A$52:$P$56,8,0)</f>
        <v>1984.76</v>
      </c>
      <c r="P150" s="76" t="n">
        <f aca="false">H150*VLOOKUP($E150,Premissas!$A$52:$P$56,9,0)</f>
        <v>1587.808</v>
      </c>
      <c r="Q150" s="76" t="n">
        <f aca="false">K150-L150-M150-N150-O150-P150</f>
        <v>23256.728</v>
      </c>
    </row>
    <row r="151" customFormat="false" ht="15" hidden="false" customHeight="true" outlineLevel="0" collapsed="false">
      <c r="A151" s="18" t="n">
        <v>2025</v>
      </c>
      <c r="B151" s="18" t="n">
        <v>6</v>
      </c>
      <c r="C151" s="18" t="s">
        <v>153</v>
      </c>
      <c r="D151" s="74" t="n">
        <v>45809</v>
      </c>
      <c r="E151" s="18" t="s">
        <v>145</v>
      </c>
      <c r="F151" s="75" t="n">
        <v>121700.7</v>
      </c>
      <c r="G151" s="75" t="n">
        <v>38331.14</v>
      </c>
      <c r="H151" s="76" t="n">
        <f aca="false">F151-G151</f>
        <v>83369.56</v>
      </c>
      <c r="I151" s="77" t="n">
        <f aca="false">IF($A151=2025,VLOOKUP($E151,Premissas!$A$52:$P$56,2,0),IF($A151=2026,VLOOKUP($E151,Premissas!$A$52:$P$56,3,0),VLOOKUP($E151,Premissas!$A$52:$P$56,4,0)))</f>
        <v>0.52</v>
      </c>
      <c r="J151" s="76" t="n">
        <f aca="false">H151*(1-I151)</f>
        <v>40017.3888</v>
      </c>
      <c r="K151" s="76" t="n">
        <f aca="false">H151-J151</f>
        <v>43352.1712</v>
      </c>
      <c r="L151" s="78" t="n">
        <f aca="false">SUMIFS(Headcount_Folha!$I:$I,Headcount_Folha!$C:$C,$C151,Headcount_Folha!$D:$D,$E151)</f>
        <v>9072</v>
      </c>
      <c r="M151" s="76" t="n">
        <f aca="false">VLOOKUP($E151,Premissas!$A$52:$P$56,10,0)*(1+VLOOKUP($E151,Premissas!$A$52:$P$56,11,0))^($A151-2025)</f>
        <v>3000</v>
      </c>
      <c r="N151" s="76" t="n">
        <f aca="false">H151*VLOOKUP($E151,Premissas!$A$52:$P$56,7,0)</f>
        <v>2501.0868</v>
      </c>
      <c r="O151" s="76" t="n">
        <f aca="false">H151*VLOOKUP($E151,Premissas!$A$52:$P$56,8,0)</f>
        <v>2084.239</v>
      </c>
      <c r="P151" s="76" t="n">
        <f aca="false">H151*VLOOKUP($E151,Premissas!$A$52:$P$56,9,0)</f>
        <v>1667.3912</v>
      </c>
      <c r="Q151" s="76" t="n">
        <f aca="false">K151-L151-M151-N151-O151-P151</f>
        <v>25027.4542</v>
      </c>
    </row>
    <row r="152" customFormat="false" ht="15" hidden="false" customHeight="true" outlineLevel="0" collapsed="false">
      <c r="A152" s="18" t="n">
        <v>2025</v>
      </c>
      <c r="B152" s="18" t="n">
        <v>7</v>
      </c>
      <c r="C152" s="18" t="s">
        <v>154</v>
      </c>
      <c r="D152" s="74" t="n">
        <v>45839</v>
      </c>
      <c r="E152" s="18" t="s">
        <v>145</v>
      </c>
      <c r="F152" s="75" t="n">
        <v>121548.24</v>
      </c>
      <c r="G152" s="75" t="n">
        <v>37981.34</v>
      </c>
      <c r="H152" s="76" t="n">
        <f aca="false">F152-G152</f>
        <v>83566.9</v>
      </c>
      <c r="I152" s="77" t="n">
        <f aca="false">IF($A152=2025,VLOOKUP($E152,Premissas!$A$52:$P$56,2,0),IF($A152=2026,VLOOKUP($E152,Premissas!$A$52:$P$56,3,0),VLOOKUP($E152,Premissas!$A$52:$P$56,4,0)))</f>
        <v>0.52</v>
      </c>
      <c r="J152" s="76" t="n">
        <f aca="false">H152*(1-I152)</f>
        <v>40112.112</v>
      </c>
      <c r="K152" s="76" t="n">
        <f aca="false">H152-J152</f>
        <v>43454.788</v>
      </c>
      <c r="L152" s="78" t="n">
        <f aca="false">SUMIFS(Headcount_Folha!$I:$I,Headcount_Folha!$C:$C,$C152,Headcount_Folha!$D:$D,$E152)</f>
        <v>9072</v>
      </c>
      <c r="M152" s="76" t="n">
        <f aca="false">VLOOKUP($E152,Premissas!$A$52:$P$56,10,0)*(1+VLOOKUP($E152,Premissas!$A$52:$P$56,11,0))^($A152-2025)</f>
        <v>3000</v>
      </c>
      <c r="N152" s="76" t="n">
        <f aca="false">H152*VLOOKUP($E152,Premissas!$A$52:$P$56,7,0)</f>
        <v>2507.007</v>
      </c>
      <c r="O152" s="76" t="n">
        <f aca="false">H152*VLOOKUP($E152,Premissas!$A$52:$P$56,8,0)</f>
        <v>2089.1725</v>
      </c>
      <c r="P152" s="76" t="n">
        <f aca="false">H152*VLOOKUP($E152,Premissas!$A$52:$P$56,9,0)</f>
        <v>1671.338</v>
      </c>
      <c r="Q152" s="76" t="n">
        <f aca="false">K152-L152-M152-N152-O152-P152</f>
        <v>25115.2705</v>
      </c>
    </row>
    <row r="153" customFormat="false" ht="15" hidden="false" customHeight="true" outlineLevel="0" collapsed="false">
      <c r="A153" s="18" t="n">
        <v>2025</v>
      </c>
      <c r="B153" s="18" t="n">
        <v>8</v>
      </c>
      <c r="C153" s="18" t="s">
        <v>155</v>
      </c>
      <c r="D153" s="74" t="n">
        <v>45870</v>
      </c>
      <c r="E153" s="18" t="s">
        <v>145</v>
      </c>
      <c r="F153" s="75" t="n">
        <v>117009.75</v>
      </c>
      <c r="G153" s="75" t="n">
        <v>36955.36</v>
      </c>
      <c r="H153" s="76" t="n">
        <f aca="false">F153-G153</f>
        <v>80054.39</v>
      </c>
      <c r="I153" s="77" t="n">
        <f aca="false">IF($A153=2025,VLOOKUP($E153,Premissas!$A$52:$P$56,2,0),IF($A153=2026,VLOOKUP($E153,Premissas!$A$52:$P$56,3,0),VLOOKUP($E153,Premissas!$A$52:$P$56,4,0)))</f>
        <v>0.52</v>
      </c>
      <c r="J153" s="76" t="n">
        <f aca="false">H153*(1-I153)</f>
        <v>38426.1072</v>
      </c>
      <c r="K153" s="76" t="n">
        <f aca="false">H153-J153</f>
        <v>41628.2828</v>
      </c>
      <c r="L153" s="78" t="n">
        <f aca="false">SUMIFS(Headcount_Folha!$I:$I,Headcount_Folha!$C:$C,$C153,Headcount_Folha!$D:$D,$E153)</f>
        <v>9072</v>
      </c>
      <c r="M153" s="76" t="n">
        <f aca="false">VLOOKUP($E153,Premissas!$A$52:$P$56,10,0)*(1+VLOOKUP($E153,Premissas!$A$52:$P$56,11,0))^($A153-2025)</f>
        <v>3000</v>
      </c>
      <c r="N153" s="76" t="n">
        <f aca="false">H153*VLOOKUP($E153,Premissas!$A$52:$P$56,7,0)</f>
        <v>2401.6317</v>
      </c>
      <c r="O153" s="76" t="n">
        <f aca="false">H153*VLOOKUP($E153,Premissas!$A$52:$P$56,8,0)</f>
        <v>2001.35975</v>
      </c>
      <c r="P153" s="76" t="n">
        <f aca="false">H153*VLOOKUP($E153,Premissas!$A$52:$P$56,9,0)</f>
        <v>1601.0878</v>
      </c>
      <c r="Q153" s="76" t="n">
        <f aca="false">K153-L153-M153-N153-O153-P153</f>
        <v>23552.20355</v>
      </c>
    </row>
    <row r="154" customFormat="false" ht="15" hidden="false" customHeight="true" outlineLevel="0" collapsed="false">
      <c r="A154" s="18" t="n">
        <v>2025</v>
      </c>
      <c r="B154" s="18" t="n">
        <v>9</v>
      </c>
      <c r="C154" s="18" t="s">
        <v>156</v>
      </c>
      <c r="D154" s="74" t="n">
        <v>45901</v>
      </c>
      <c r="E154" s="18" t="s">
        <v>145</v>
      </c>
      <c r="F154" s="75" t="n">
        <v>118053.08</v>
      </c>
      <c r="G154" s="75" t="n">
        <v>37231.84</v>
      </c>
      <c r="H154" s="76" t="n">
        <f aca="false">F154-G154</f>
        <v>80821.24</v>
      </c>
      <c r="I154" s="77" t="n">
        <f aca="false">IF($A154=2025,VLOOKUP($E154,Premissas!$A$52:$P$56,2,0),IF($A154=2026,VLOOKUP($E154,Premissas!$A$52:$P$56,3,0),VLOOKUP($E154,Premissas!$A$52:$P$56,4,0)))</f>
        <v>0.52</v>
      </c>
      <c r="J154" s="76" t="n">
        <f aca="false">H154*(1-I154)</f>
        <v>38794.1952</v>
      </c>
      <c r="K154" s="76" t="n">
        <f aca="false">H154-J154</f>
        <v>42027.0448</v>
      </c>
      <c r="L154" s="78" t="n">
        <f aca="false">SUMIFS(Headcount_Folha!$I:$I,Headcount_Folha!$C:$C,$C154,Headcount_Folha!$D:$D,$E154)</f>
        <v>9072</v>
      </c>
      <c r="M154" s="76" t="n">
        <f aca="false">VLOOKUP($E154,Premissas!$A$52:$P$56,10,0)*(1+VLOOKUP($E154,Premissas!$A$52:$P$56,11,0))^($A154-2025)</f>
        <v>3000</v>
      </c>
      <c r="N154" s="76" t="n">
        <f aca="false">H154*VLOOKUP($E154,Premissas!$A$52:$P$56,7,0)</f>
        <v>2424.6372</v>
      </c>
      <c r="O154" s="76" t="n">
        <f aca="false">H154*VLOOKUP($E154,Premissas!$A$52:$P$56,8,0)</f>
        <v>2020.531</v>
      </c>
      <c r="P154" s="76" t="n">
        <f aca="false">H154*VLOOKUP($E154,Premissas!$A$52:$P$56,9,0)</f>
        <v>1616.4248</v>
      </c>
      <c r="Q154" s="76" t="n">
        <f aca="false">K154-L154-M154-N154-O154-P154</f>
        <v>23893.4518</v>
      </c>
    </row>
    <row r="155" customFormat="false" ht="15" hidden="false" customHeight="true" outlineLevel="0" collapsed="false">
      <c r="A155" s="18" t="n">
        <v>2025</v>
      </c>
      <c r="B155" s="18" t="n">
        <v>10</v>
      </c>
      <c r="C155" s="18" t="s">
        <v>157</v>
      </c>
      <c r="D155" s="74" t="n">
        <v>45931</v>
      </c>
      <c r="E155" s="18" t="s">
        <v>145</v>
      </c>
      <c r="F155" s="75" t="n">
        <v>119142.72</v>
      </c>
      <c r="G155" s="75" t="n">
        <v>37703.76</v>
      </c>
      <c r="H155" s="76" t="n">
        <f aca="false">F155-G155</f>
        <v>81438.96</v>
      </c>
      <c r="I155" s="77" t="n">
        <f aca="false">IF($A155=2025,VLOOKUP($E155,Premissas!$A$52:$P$56,2,0),IF($A155=2026,VLOOKUP($E155,Premissas!$A$52:$P$56,3,0),VLOOKUP($E155,Premissas!$A$52:$P$56,4,0)))</f>
        <v>0.52</v>
      </c>
      <c r="J155" s="76" t="n">
        <f aca="false">H155*(1-I155)</f>
        <v>39090.7008</v>
      </c>
      <c r="K155" s="76" t="n">
        <f aca="false">H155-J155</f>
        <v>42348.2592</v>
      </c>
      <c r="L155" s="78" t="n">
        <f aca="false">SUMIFS(Headcount_Folha!$I:$I,Headcount_Folha!$C:$C,$C155,Headcount_Folha!$D:$D,$E155)</f>
        <v>9072</v>
      </c>
      <c r="M155" s="76" t="n">
        <f aca="false">VLOOKUP($E155,Premissas!$A$52:$P$56,10,0)*(1+VLOOKUP($E155,Premissas!$A$52:$P$56,11,0))^($A155-2025)</f>
        <v>3000</v>
      </c>
      <c r="N155" s="76" t="n">
        <f aca="false">H155*VLOOKUP($E155,Premissas!$A$52:$P$56,7,0)</f>
        <v>2443.1688</v>
      </c>
      <c r="O155" s="76" t="n">
        <f aca="false">H155*VLOOKUP($E155,Premissas!$A$52:$P$56,8,0)</f>
        <v>2035.974</v>
      </c>
      <c r="P155" s="76" t="n">
        <f aca="false">H155*VLOOKUP($E155,Premissas!$A$52:$P$56,9,0)</f>
        <v>1628.7792</v>
      </c>
      <c r="Q155" s="76" t="n">
        <f aca="false">K155-L155-M155-N155-O155-P155</f>
        <v>24168.3372</v>
      </c>
    </row>
    <row r="156" customFormat="false" ht="15" hidden="false" customHeight="true" outlineLevel="0" collapsed="false">
      <c r="A156" s="18" t="n">
        <v>2025</v>
      </c>
      <c r="B156" s="18" t="n">
        <v>11</v>
      </c>
      <c r="C156" s="18" t="s">
        <v>158</v>
      </c>
      <c r="D156" s="74" t="n">
        <v>45962</v>
      </c>
      <c r="E156" s="18" t="s">
        <v>145</v>
      </c>
      <c r="F156" s="75" t="n">
        <v>147542.72</v>
      </c>
      <c r="G156" s="75" t="n">
        <v>46388.51</v>
      </c>
      <c r="H156" s="76" t="n">
        <f aca="false">F156-G156</f>
        <v>101154.21</v>
      </c>
      <c r="I156" s="77" t="n">
        <f aca="false">IF($A156=2025,VLOOKUP($E156,Premissas!$A$52:$P$56,2,0),IF($A156=2026,VLOOKUP($E156,Premissas!$A$52:$P$56,3,0),VLOOKUP($E156,Premissas!$A$52:$P$56,4,0)))</f>
        <v>0.52</v>
      </c>
      <c r="J156" s="76" t="n">
        <f aca="false">H156*(1-I156)</f>
        <v>48554.0208</v>
      </c>
      <c r="K156" s="76" t="n">
        <f aca="false">H156-J156</f>
        <v>52600.1892</v>
      </c>
      <c r="L156" s="78" t="n">
        <f aca="false">SUMIFS(Headcount_Folha!$I:$I,Headcount_Folha!$C:$C,$C156,Headcount_Folha!$D:$D,$E156)</f>
        <v>9072</v>
      </c>
      <c r="M156" s="76" t="n">
        <f aca="false">VLOOKUP($E156,Premissas!$A$52:$P$56,10,0)*(1+VLOOKUP($E156,Premissas!$A$52:$P$56,11,0))^($A156-2025)</f>
        <v>3000</v>
      </c>
      <c r="N156" s="76" t="n">
        <f aca="false">H156*VLOOKUP($E156,Premissas!$A$52:$P$56,7,0)</f>
        <v>3034.6263</v>
      </c>
      <c r="O156" s="76" t="n">
        <f aca="false">H156*VLOOKUP($E156,Premissas!$A$52:$P$56,8,0)</f>
        <v>2528.85525</v>
      </c>
      <c r="P156" s="76" t="n">
        <f aca="false">H156*VLOOKUP($E156,Premissas!$A$52:$P$56,9,0)</f>
        <v>2023.0842</v>
      </c>
      <c r="Q156" s="76" t="n">
        <f aca="false">K156-L156-M156-N156-O156-P156</f>
        <v>32941.62345</v>
      </c>
    </row>
    <row r="157" customFormat="false" ht="15" hidden="false" customHeight="true" outlineLevel="0" collapsed="false">
      <c r="A157" s="18" t="n">
        <v>2025</v>
      </c>
      <c r="B157" s="18" t="n">
        <v>12</v>
      </c>
      <c r="C157" s="18" t="s">
        <v>159</v>
      </c>
      <c r="D157" s="74" t="n">
        <v>45992</v>
      </c>
      <c r="E157" s="18" t="s">
        <v>145</v>
      </c>
      <c r="F157" s="75" t="n">
        <v>152211.88</v>
      </c>
      <c r="G157" s="75" t="n">
        <v>47900.96</v>
      </c>
      <c r="H157" s="76" t="n">
        <f aca="false">F157-G157</f>
        <v>104310.92</v>
      </c>
      <c r="I157" s="77" t="n">
        <f aca="false">IF($A157=2025,VLOOKUP($E157,Premissas!$A$52:$P$56,2,0),IF($A157=2026,VLOOKUP($E157,Premissas!$A$52:$P$56,3,0),VLOOKUP($E157,Premissas!$A$52:$P$56,4,0)))</f>
        <v>0.52</v>
      </c>
      <c r="J157" s="76" t="n">
        <f aca="false">H157*(1-I157)</f>
        <v>50069.2416</v>
      </c>
      <c r="K157" s="76" t="n">
        <f aca="false">H157-J157</f>
        <v>54241.6784</v>
      </c>
      <c r="L157" s="78" t="n">
        <f aca="false">SUMIFS(Headcount_Folha!$I:$I,Headcount_Folha!$C:$C,$C157,Headcount_Folha!$D:$D,$E157)</f>
        <v>9072</v>
      </c>
      <c r="M157" s="76" t="n">
        <f aca="false">VLOOKUP($E157,Premissas!$A$52:$P$56,10,0)*(1+VLOOKUP($E157,Premissas!$A$52:$P$56,11,0))^($A157-2025)</f>
        <v>3000</v>
      </c>
      <c r="N157" s="76" t="n">
        <f aca="false">H157*VLOOKUP($E157,Premissas!$A$52:$P$56,7,0)</f>
        <v>3129.3276</v>
      </c>
      <c r="O157" s="76" t="n">
        <f aca="false">H157*VLOOKUP($E157,Premissas!$A$52:$P$56,8,0)</f>
        <v>2607.773</v>
      </c>
      <c r="P157" s="76" t="n">
        <f aca="false">H157*VLOOKUP($E157,Premissas!$A$52:$P$56,9,0)</f>
        <v>2086.2184</v>
      </c>
      <c r="Q157" s="76" t="n">
        <f aca="false">K157-L157-M157-N157-O157-P157</f>
        <v>34346.3594</v>
      </c>
    </row>
    <row r="158" customFormat="false" ht="15" hidden="false" customHeight="true" outlineLevel="0" collapsed="false">
      <c r="A158" s="18" t="n">
        <v>2026</v>
      </c>
      <c r="B158" s="18" t="n">
        <v>1</v>
      </c>
      <c r="C158" s="18" t="s">
        <v>160</v>
      </c>
      <c r="D158" s="74" t="n">
        <v>46023</v>
      </c>
      <c r="E158" s="18" t="s">
        <v>145</v>
      </c>
      <c r="F158" s="75" t="n">
        <v>108275.48</v>
      </c>
      <c r="G158" s="75" t="n">
        <v>34059.67</v>
      </c>
      <c r="H158" s="76" t="n">
        <f aca="false">F158-G158</f>
        <v>74215.81</v>
      </c>
      <c r="I158" s="77" t="n">
        <f aca="false">IF($A158=2025,VLOOKUP($E158,Premissas!$A$52:$P$56,2,0),IF($A158=2026,VLOOKUP($E158,Premissas!$A$52:$P$56,3,0),VLOOKUP($E158,Premissas!$A$52:$P$56,4,0)))</f>
        <v>0.53</v>
      </c>
      <c r="J158" s="76" t="n">
        <f aca="false">H158*(1-I158)</f>
        <v>34881.4307</v>
      </c>
      <c r="K158" s="76" t="n">
        <f aca="false">H158-J158</f>
        <v>39334.3793</v>
      </c>
      <c r="L158" s="78" t="n">
        <f aca="false">SUMIFS(Headcount_Folha!$I:$I,Headcount_Folha!$C:$C,$C158,Headcount_Folha!$D:$D,$E158)</f>
        <v>9072</v>
      </c>
      <c r="M158" s="76" t="n">
        <f aca="false">VLOOKUP($E158,Premissas!$A$52:$P$56,10,0)*(1+VLOOKUP($E158,Premissas!$A$52:$P$56,11,0))^($A158-2025)</f>
        <v>3135</v>
      </c>
      <c r="N158" s="76" t="n">
        <f aca="false">H158*VLOOKUP($E158,Premissas!$A$52:$P$56,7,0)</f>
        <v>2226.4743</v>
      </c>
      <c r="O158" s="76" t="n">
        <f aca="false">H158*VLOOKUP($E158,Premissas!$A$52:$P$56,8,0)</f>
        <v>1855.39525</v>
      </c>
      <c r="P158" s="76" t="n">
        <f aca="false">H158*VLOOKUP($E158,Premissas!$A$52:$P$56,9,0)</f>
        <v>1484.3162</v>
      </c>
      <c r="Q158" s="76" t="n">
        <f aca="false">K158-L158-M158-N158-O158-P158</f>
        <v>21561.19355</v>
      </c>
    </row>
    <row r="159" customFormat="false" ht="15" hidden="false" customHeight="true" outlineLevel="0" collapsed="false">
      <c r="A159" s="18" t="n">
        <v>2026</v>
      </c>
      <c r="B159" s="18" t="n">
        <v>2</v>
      </c>
      <c r="C159" s="18" t="s">
        <v>161</v>
      </c>
      <c r="D159" s="74" t="n">
        <v>46054</v>
      </c>
      <c r="E159" s="18" t="s">
        <v>145</v>
      </c>
      <c r="F159" s="75" t="n">
        <v>102422.52</v>
      </c>
      <c r="G159" s="75" t="n">
        <v>32290.08</v>
      </c>
      <c r="H159" s="76" t="n">
        <f aca="false">F159-G159</f>
        <v>70132.44</v>
      </c>
      <c r="I159" s="77" t="n">
        <f aca="false">IF($A159=2025,VLOOKUP($E159,Premissas!$A$52:$P$56,2,0),IF($A159=2026,VLOOKUP($E159,Premissas!$A$52:$P$56,3,0),VLOOKUP($E159,Premissas!$A$52:$P$56,4,0)))</f>
        <v>0.53</v>
      </c>
      <c r="J159" s="76" t="n">
        <f aca="false">H159*(1-I159)</f>
        <v>32962.2468</v>
      </c>
      <c r="K159" s="76" t="n">
        <f aca="false">H159-J159</f>
        <v>37170.1932</v>
      </c>
      <c r="L159" s="78" t="n">
        <f aca="false">SUMIFS(Headcount_Folha!$I:$I,Headcount_Folha!$C:$C,$C159,Headcount_Folha!$D:$D,$E159)</f>
        <v>9072</v>
      </c>
      <c r="M159" s="76" t="n">
        <f aca="false">VLOOKUP($E159,Premissas!$A$52:$P$56,10,0)*(1+VLOOKUP($E159,Premissas!$A$52:$P$56,11,0))^($A159-2025)</f>
        <v>3135</v>
      </c>
      <c r="N159" s="76" t="n">
        <f aca="false">H159*VLOOKUP($E159,Premissas!$A$52:$P$56,7,0)</f>
        <v>2103.9732</v>
      </c>
      <c r="O159" s="76" t="n">
        <f aca="false">H159*VLOOKUP($E159,Premissas!$A$52:$P$56,8,0)</f>
        <v>1753.311</v>
      </c>
      <c r="P159" s="76" t="n">
        <f aca="false">H159*VLOOKUP($E159,Premissas!$A$52:$P$56,9,0)</f>
        <v>1402.6488</v>
      </c>
      <c r="Q159" s="76" t="n">
        <f aca="false">K159-L159-M159-N159-O159-P159</f>
        <v>19703.2602</v>
      </c>
    </row>
    <row r="160" customFormat="false" ht="15" hidden="false" customHeight="true" outlineLevel="0" collapsed="false">
      <c r="A160" s="18" t="n">
        <v>2026</v>
      </c>
      <c r="B160" s="18" t="n">
        <v>3</v>
      </c>
      <c r="C160" s="18" t="s">
        <v>162</v>
      </c>
      <c r="D160" s="74" t="n">
        <v>46082</v>
      </c>
      <c r="E160" s="18" t="s">
        <v>145</v>
      </c>
      <c r="F160" s="75" t="n">
        <v>119127.13</v>
      </c>
      <c r="G160" s="75" t="n">
        <v>37488.05</v>
      </c>
      <c r="H160" s="76" t="n">
        <f aca="false">F160-G160</f>
        <v>81639.08</v>
      </c>
      <c r="I160" s="77" t="n">
        <f aca="false">IF($A160=2025,VLOOKUP($E160,Premissas!$A$52:$P$56,2,0),IF($A160=2026,VLOOKUP($E160,Premissas!$A$52:$P$56,3,0),VLOOKUP($E160,Premissas!$A$52:$P$56,4,0)))</f>
        <v>0.53</v>
      </c>
      <c r="J160" s="76" t="n">
        <f aca="false">H160*(1-I160)</f>
        <v>38370.3676</v>
      </c>
      <c r="K160" s="76" t="n">
        <f aca="false">H160-J160</f>
        <v>43268.7124</v>
      </c>
      <c r="L160" s="78" t="n">
        <f aca="false">SUMIFS(Headcount_Folha!$I:$I,Headcount_Folha!$C:$C,$C160,Headcount_Folha!$D:$D,$E160)</f>
        <v>9072</v>
      </c>
      <c r="M160" s="76" t="n">
        <f aca="false">VLOOKUP($E160,Premissas!$A$52:$P$56,10,0)*(1+VLOOKUP($E160,Premissas!$A$52:$P$56,11,0))^($A160-2025)</f>
        <v>3135</v>
      </c>
      <c r="N160" s="76" t="n">
        <f aca="false">H160*VLOOKUP($E160,Premissas!$A$52:$P$56,7,0)</f>
        <v>2449.1724</v>
      </c>
      <c r="O160" s="76" t="n">
        <f aca="false">H160*VLOOKUP($E160,Premissas!$A$52:$P$56,8,0)</f>
        <v>2040.977</v>
      </c>
      <c r="P160" s="76" t="n">
        <f aca="false">H160*VLOOKUP($E160,Premissas!$A$52:$P$56,9,0)</f>
        <v>1632.7816</v>
      </c>
      <c r="Q160" s="76" t="n">
        <f aca="false">K160-L160-M160-N160-O160-P160</f>
        <v>24938.7814</v>
      </c>
    </row>
    <row r="161" customFormat="false" ht="15" hidden="false" customHeight="true" outlineLevel="0" collapsed="false">
      <c r="A161" s="18" t="n">
        <v>2026</v>
      </c>
      <c r="B161" s="18" t="n">
        <v>4</v>
      </c>
      <c r="C161" s="18" t="s">
        <v>163</v>
      </c>
      <c r="D161" s="74" t="n">
        <v>46113</v>
      </c>
      <c r="E161" s="18" t="s">
        <v>145</v>
      </c>
      <c r="F161" s="75" t="n">
        <v>114499.05</v>
      </c>
      <c r="G161" s="75" t="n">
        <v>36291.14</v>
      </c>
      <c r="H161" s="76" t="n">
        <f aca="false">F161-G161</f>
        <v>78207.91</v>
      </c>
      <c r="I161" s="77" t="n">
        <f aca="false">IF($A161=2025,VLOOKUP($E161,Premissas!$A$52:$P$56,2,0),IF($A161=2026,VLOOKUP($E161,Premissas!$A$52:$P$56,3,0),VLOOKUP($E161,Premissas!$A$52:$P$56,4,0)))</f>
        <v>0.53</v>
      </c>
      <c r="J161" s="76" t="n">
        <f aca="false">H161*(1-I161)</f>
        <v>36757.7177</v>
      </c>
      <c r="K161" s="76" t="n">
        <f aca="false">H161-J161</f>
        <v>41450.1923</v>
      </c>
      <c r="L161" s="78" t="n">
        <f aca="false">SUMIFS(Headcount_Folha!$I:$I,Headcount_Folha!$C:$C,$C161,Headcount_Folha!$D:$D,$E161)</f>
        <v>9072</v>
      </c>
      <c r="M161" s="76" t="n">
        <f aca="false">VLOOKUP($E161,Premissas!$A$52:$P$56,10,0)*(1+VLOOKUP($E161,Premissas!$A$52:$P$56,11,0))^($A161-2025)</f>
        <v>3135</v>
      </c>
      <c r="N161" s="76" t="n">
        <f aca="false">H161*VLOOKUP($E161,Premissas!$A$52:$P$56,7,0)</f>
        <v>2346.2373</v>
      </c>
      <c r="O161" s="76" t="n">
        <f aca="false">H161*VLOOKUP($E161,Premissas!$A$52:$P$56,8,0)</f>
        <v>1955.19775</v>
      </c>
      <c r="P161" s="76" t="n">
        <f aca="false">H161*VLOOKUP($E161,Premissas!$A$52:$P$56,9,0)</f>
        <v>1564.1582</v>
      </c>
      <c r="Q161" s="76" t="n">
        <f aca="false">K161-L161-M161-N161-O161-P161</f>
        <v>23377.59905</v>
      </c>
    </row>
    <row r="162" customFormat="false" ht="15" hidden="false" customHeight="true" outlineLevel="0" collapsed="false">
      <c r="A162" s="18" t="n">
        <v>2026</v>
      </c>
      <c r="B162" s="18" t="n">
        <v>5</v>
      </c>
      <c r="C162" s="18" t="s">
        <v>164</v>
      </c>
      <c r="D162" s="74" t="n">
        <v>46143</v>
      </c>
      <c r="E162" s="18" t="s">
        <v>145</v>
      </c>
      <c r="F162" s="75" t="n">
        <v>125990.68</v>
      </c>
      <c r="G162" s="75" t="n">
        <v>39487.83</v>
      </c>
      <c r="H162" s="76" t="n">
        <f aca="false">F162-G162</f>
        <v>86502.85</v>
      </c>
      <c r="I162" s="77" t="n">
        <f aca="false">IF($A162=2025,VLOOKUP($E162,Premissas!$A$52:$P$56,2,0),IF($A162=2026,VLOOKUP($E162,Premissas!$A$52:$P$56,3,0),VLOOKUP($E162,Premissas!$A$52:$P$56,4,0)))</f>
        <v>0.53</v>
      </c>
      <c r="J162" s="76" t="n">
        <f aca="false">H162*(1-I162)</f>
        <v>40656.3395</v>
      </c>
      <c r="K162" s="76" t="n">
        <f aca="false">H162-J162</f>
        <v>45846.5105</v>
      </c>
      <c r="L162" s="78" t="n">
        <f aca="false">SUMIFS(Headcount_Folha!$I:$I,Headcount_Folha!$C:$C,$C162,Headcount_Folha!$D:$D,$E162)</f>
        <v>9072</v>
      </c>
      <c r="M162" s="76" t="n">
        <f aca="false">VLOOKUP($E162,Premissas!$A$52:$P$56,10,0)*(1+VLOOKUP($E162,Premissas!$A$52:$P$56,11,0))^($A162-2025)</f>
        <v>3135</v>
      </c>
      <c r="N162" s="76" t="n">
        <f aca="false">H162*VLOOKUP($E162,Premissas!$A$52:$P$56,7,0)</f>
        <v>2595.0855</v>
      </c>
      <c r="O162" s="76" t="n">
        <f aca="false">H162*VLOOKUP($E162,Premissas!$A$52:$P$56,8,0)</f>
        <v>2162.57125</v>
      </c>
      <c r="P162" s="76" t="n">
        <f aca="false">H162*VLOOKUP($E162,Premissas!$A$52:$P$56,9,0)</f>
        <v>1730.057</v>
      </c>
      <c r="Q162" s="76" t="n">
        <f aca="false">K162-L162-M162-N162-O162-P162</f>
        <v>27151.79675</v>
      </c>
    </row>
    <row r="163" customFormat="false" ht="15" hidden="false" customHeight="true" outlineLevel="0" collapsed="false">
      <c r="A163" s="18" t="n">
        <v>2026</v>
      </c>
      <c r="B163" s="18" t="n">
        <v>6</v>
      </c>
      <c r="C163" s="18" t="s">
        <v>165</v>
      </c>
      <c r="D163" s="74" t="n">
        <v>46174</v>
      </c>
      <c r="E163" s="18" t="s">
        <v>145</v>
      </c>
      <c r="F163" s="75" t="n">
        <v>127000.37</v>
      </c>
      <c r="G163" s="75" t="n">
        <v>39773.98</v>
      </c>
      <c r="H163" s="76" t="n">
        <f aca="false">F163-G163</f>
        <v>87226.39</v>
      </c>
      <c r="I163" s="77" t="n">
        <f aca="false">IF($A163=2025,VLOOKUP($E163,Premissas!$A$52:$P$56,2,0),IF($A163=2026,VLOOKUP($E163,Premissas!$A$52:$P$56,3,0),VLOOKUP($E163,Premissas!$A$52:$P$56,4,0)))</f>
        <v>0.53</v>
      </c>
      <c r="J163" s="76" t="n">
        <f aca="false">H163*(1-I163)</f>
        <v>40996.4033</v>
      </c>
      <c r="K163" s="76" t="n">
        <f aca="false">H163-J163</f>
        <v>46229.9867</v>
      </c>
      <c r="L163" s="78" t="n">
        <f aca="false">SUMIFS(Headcount_Folha!$I:$I,Headcount_Folha!$C:$C,$C163,Headcount_Folha!$D:$D,$E163)</f>
        <v>9072</v>
      </c>
      <c r="M163" s="76" t="n">
        <f aca="false">VLOOKUP($E163,Premissas!$A$52:$P$56,10,0)*(1+VLOOKUP($E163,Premissas!$A$52:$P$56,11,0))^($A163-2025)</f>
        <v>3135</v>
      </c>
      <c r="N163" s="76" t="n">
        <f aca="false">H163*VLOOKUP($E163,Premissas!$A$52:$P$56,7,0)</f>
        <v>2616.7917</v>
      </c>
      <c r="O163" s="76" t="n">
        <f aca="false">H163*VLOOKUP($E163,Premissas!$A$52:$P$56,8,0)</f>
        <v>2180.65975</v>
      </c>
      <c r="P163" s="76" t="n">
        <f aca="false">H163*VLOOKUP($E163,Premissas!$A$52:$P$56,9,0)</f>
        <v>1744.5278</v>
      </c>
      <c r="Q163" s="76" t="n">
        <f aca="false">K163-L163-M163-N163-O163-P163</f>
        <v>27481.00745</v>
      </c>
    </row>
    <row r="164" customFormat="false" ht="15" hidden="false" customHeight="true" outlineLevel="0" collapsed="false">
      <c r="A164" s="18" t="n">
        <v>2026</v>
      </c>
      <c r="B164" s="18" t="n">
        <v>7</v>
      </c>
      <c r="C164" s="18" t="s">
        <v>166</v>
      </c>
      <c r="D164" s="74" t="n">
        <v>46204</v>
      </c>
      <c r="E164" s="18" t="s">
        <v>145</v>
      </c>
      <c r="F164" s="75" t="n">
        <v>132284.2</v>
      </c>
      <c r="G164" s="75" t="n">
        <v>41582.44</v>
      </c>
      <c r="H164" s="76" t="n">
        <f aca="false">F164-G164</f>
        <v>90701.76</v>
      </c>
      <c r="I164" s="77" t="n">
        <f aca="false">IF($A164=2025,VLOOKUP($E164,Premissas!$A$52:$P$56,2,0),IF($A164=2026,VLOOKUP($E164,Premissas!$A$52:$P$56,3,0),VLOOKUP($E164,Premissas!$A$52:$P$56,4,0)))</f>
        <v>0.53</v>
      </c>
      <c r="J164" s="76" t="n">
        <f aca="false">H164*(1-I164)</f>
        <v>42629.8272</v>
      </c>
      <c r="K164" s="76" t="n">
        <f aca="false">H164-J164</f>
        <v>48071.9328</v>
      </c>
      <c r="L164" s="78" t="n">
        <f aca="false">SUMIFS(Headcount_Folha!$I:$I,Headcount_Folha!$C:$C,$C164,Headcount_Folha!$D:$D,$E164)</f>
        <v>9072</v>
      </c>
      <c r="M164" s="76" t="n">
        <f aca="false">VLOOKUP($E164,Premissas!$A$52:$P$56,10,0)*(1+VLOOKUP($E164,Premissas!$A$52:$P$56,11,0))^($A164-2025)</f>
        <v>3135</v>
      </c>
      <c r="N164" s="76" t="n">
        <f aca="false">H164*VLOOKUP($E164,Premissas!$A$52:$P$56,7,0)</f>
        <v>2721.0528</v>
      </c>
      <c r="O164" s="76" t="n">
        <f aca="false">H164*VLOOKUP($E164,Premissas!$A$52:$P$56,8,0)</f>
        <v>2267.544</v>
      </c>
      <c r="P164" s="76" t="n">
        <f aca="false">H164*VLOOKUP($E164,Premissas!$A$52:$P$56,9,0)</f>
        <v>1814.0352</v>
      </c>
      <c r="Q164" s="76" t="n">
        <f aca="false">K164-L164-M164-N164-O164-P164</f>
        <v>29062.3008</v>
      </c>
    </row>
    <row r="165" customFormat="false" ht="15" hidden="false" customHeight="true" outlineLevel="0" collapsed="false">
      <c r="A165" s="18" t="n">
        <v>2026</v>
      </c>
      <c r="B165" s="18" t="n">
        <v>8</v>
      </c>
      <c r="C165" s="18" t="s">
        <v>167</v>
      </c>
      <c r="D165" s="74" t="n">
        <v>46235</v>
      </c>
      <c r="E165" s="18" t="s">
        <v>145</v>
      </c>
      <c r="F165" s="75" t="n">
        <v>124040.96</v>
      </c>
      <c r="G165" s="75" t="n">
        <v>39492.22</v>
      </c>
      <c r="H165" s="76" t="n">
        <f aca="false">F165-G165</f>
        <v>84548.74</v>
      </c>
      <c r="I165" s="77" t="n">
        <f aca="false">IF($A165=2025,VLOOKUP($E165,Premissas!$A$52:$P$56,2,0),IF($A165=2026,VLOOKUP($E165,Premissas!$A$52:$P$56,3,0),VLOOKUP($E165,Premissas!$A$52:$P$56,4,0)))</f>
        <v>0.53</v>
      </c>
      <c r="J165" s="76" t="n">
        <f aca="false">H165*(1-I165)</f>
        <v>39737.9078</v>
      </c>
      <c r="K165" s="76" t="n">
        <f aca="false">H165-J165</f>
        <v>44810.8322</v>
      </c>
      <c r="L165" s="78" t="n">
        <f aca="false">SUMIFS(Headcount_Folha!$I:$I,Headcount_Folha!$C:$C,$C165,Headcount_Folha!$D:$D,$E165)</f>
        <v>9072</v>
      </c>
      <c r="M165" s="76" t="n">
        <f aca="false">VLOOKUP($E165,Premissas!$A$52:$P$56,10,0)*(1+VLOOKUP($E165,Premissas!$A$52:$P$56,11,0))^($A165-2025)</f>
        <v>3135</v>
      </c>
      <c r="N165" s="76" t="n">
        <f aca="false">H165*VLOOKUP($E165,Premissas!$A$52:$P$56,7,0)</f>
        <v>2536.4622</v>
      </c>
      <c r="O165" s="76" t="n">
        <f aca="false">H165*VLOOKUP($E165,Premissas!$A$52:$P$56,8,0)</f>
        <v>2113.7185</v>
      </c>
      <c r="P165" s="76" t="n">
        <f aca="false">H165*VLOOKUP($E165,Premissas!$A$52:$P$56,9,0)</f>
        <v>1690.9748</v>
      </c>
      <c r="Q165" s="76" t="n">
        <f aca="false">K165-L165-M165-N165-O165-P165</f>
        <v>26262.6767</v>
      </c>
    </row>
    <row r="166" customFormat="false" ht="15" hidden="false" customHeight="true" outlineLevel="0" collapsed="false">
      <c r="A166" s="18" t="n">
        <v>2026</v>
      </c>
      <c r="B166" s="18" t="n">
        <v>9</v>
      </c>
      <c r="C166" s="18" t="s">
        <v>168</v>
      </c>
      <c r="D166" s="74" t="n">
        <v>46266</v>
      </c>
      <c r="E166" s="18" t="s">
        <v>145</v>
      </c>
      <c r="F166" s="75" t="n">
        <v>117097.06</v>
      </c>
      <c r="G166" s="75" t="n">
        <v>36921.59</v>
      </c>
      <c r="H166" s="76" t="n">
        <f aca="false">F166-G166</f>
        <v>80175.47</v>
      </c>
      <c r="I166" s="77" t="n">
        <f aca="false">IF($A166=2025,VLOOKUP($E166,Premissas!$A$52:$P$56,2,0),IF($A166=2026,VLOOKUP($E166,Premissas!$A$52:$P$56,3,0),VLOOKUP($E166,Premissas!$A$52:$P$56,4,0)))</f>
        <v>0.53</v>
      </c>
      <c r="J166" s="76" t="n">
        <f aca="false">H166*(1-I166)</f>
        <v>37682.4709</v>
      </c>
      <c r="K166" s="76" t="n">
        <f aca="false">H166-J166</f>
        <v>42492.9991</v>
      </c>
      <c r="L166" s="78" t="n">
        <f aca="false">SUMIFS(Headcount_Folha!$I:$I,Headcount_Folha!$C:$C,$C166,Headcount_Folha!$D:$D,$E166)</f>
        <v>9072</v>
      </c>
      <c r="M166" s="76" t="n">
        <f aca="false">VLOOKUP($E166,Premissas!$A$52:$P$56,10,0)*(1+VLOOKUP($E166,Premissas!$A$52:$P$56,11,0))^($A166-2025)</f>
        <v>3135</v>
      </c>
      <c r="N166" s="76" t="n">
        <f aca="false">H166*VLOOKUP($E166,Premissas!$A$52:$P$56,7,0)</f>
        <v>2405.2641</v>
      </c>
      <c r="O166" s="76" t="n">
        <f aca="false">H166*VLOOKUP($E166,Premissas!$A$52:$P$56,8,0)</f>
        <v>2004.38675</v>
      </c>
      <c r="P166" s="76" t="n">
        <f aca="false">H166*VLOOKUP($E166,Premissas!$A$52:$P$56,9,0)</f>
        <v>1603.5094</v>
      </c>
      <c r="Q166" s="76" t="n">
        <f aca="false">K166-L166-M166-N166-O166-P166</f>
        <v>24272.83885</v>
      </c>
    </row>
    <row r="167" customFormat="false" ht="15" hidden="false" customHeight="true" outlineLevel="0" collapsed="false">
      <c r="A167" s="18" t="n">
        <v>2026</v>
      </c>
      <c r="B167" s="18" t="n">
        <v>10</v>
      </c>
      <c r="C167" s="18" t="s">
        <v>169</v>
      </c>
      <c r="D167" s="74" t="n">
        <v>46296</v>
      </c>
      <c r="E167" s="18" t="s">
        <v>145</v>
      </c>
      <c r="F167" s="75" t="n">
        <v>123067.28</v>
      </c>
      <c r="G167" s="75" t="n">
        <v>38547.2</v>
      </c>
      <c r="H167" s="76" t="n">
        <f aca="false">F167-G167</f>
        <v>84520.08</v>
      </c>
      <c r="I167" s="77" t="n">
        <f aca="false">IF($A167=2025,VLOOKUP($E167,Premissas!$A$52:$P$56,2,0),IF($A167=2026,VLOOKUP($E167,Premissas!$A$52:$P$56,3,0),VLOOKUP($E167,Premissas!$A$52:$P$56,4,0)))</f>
        <v>0.53</v>
      </c>
      <c r="J167" s="76" t="n">
        <f aca="false">H167*(1-I167)</f>
        <v>39724.4376</v>
      </c>
      <c r="K167" s="76" t="n">
        <f aca="false">H167-J167</f>
        <v>44795.6424</v>
      </c>
      <c r="L167" s="78" t="n">
        <f aca="false">SUMIFS(Headcount_Folha!$I:$I,Headcount_Folha!$C:$C,$C167,Headcount_Folha!$D:$D,$E167)</f>
        <v>9072</v>
      </c>
      <c r="M167" s="76" t="n">
        <f aca="false">VLOOKUP($E167,Premissas!$A$52:$P$56,10,0)*(1+VLOOKUP($E167,Premissas!$A$52:$P$56,11,0))^($A167-2025)</f>
        <v>3135</v>
      </c>
      <c r="N167" s="76" t="n">
        <f aca="false">H167*VLOOKUP($E167,Premissas!$A$52:$P$56,7,0)</f>
        <v>2535.6024</v>
      </c>
      <c r="O167" s="76" t="n">
        <f aca="false">H167*VLOOKUP($E167,Premissas!$A$52:$P$56,8,0)</f>
        <v>2113.002</v>
      </c>
      <c r="P167" s="76" t="n">
        <f aca="false">H167*VLOOKUP($E167,Premissas!$A$52:$P$56,9,0)</f>
        <v>1690.4016</v>
      </c>
      <c r="Q167" s="76" t="n">
        <f aca="false">K167-L167-M167-N167-O167-P167</f>
        <v>26249.6364</v>
      </c>
    </row>
    <row r="168" customFormat="false" ht="15" hidden="false" customHeight="true" outlineLevel="0" collapsed="false">
      <c r="A168" s="18" t="n">
        <v>2026</v>
      </c>
      <c r="B168" s="18" t="n">
        <v>11</v>
      </c>
      <c r="C168" s="18" t="s">
        <v>170</v>
      </c>
      <c r="D168" s="74" t="n">
        <v>46327</v>
      </c>
      <c r="E168" s="18" t="s">
        <v>145</v>
      </c>
      <c r="F168" s="75" t="n">
        <v>150855.81</v>
      </c>
      <c r="G168" s="75" t="n">
        <v>47600.14</v>
      </c>
      <c r="H168" s="76" t="n">
        <f aca="false">F168-G168</f>
        <v>103255.67</v>
      </c>
      <c r="I168" s="77" t="n">
        <f aca="false">IF($A168=2025,VLOOKUP($E168,Premissas!$A$52:$P$56,2,0),IF($A168=2026,VLOOKUP($E168,Premissas!$A$52:$P$56,3,0),VLOOKUP($E168,Premissas!$A$52:$P$56,4,0)))</f>
        <v>0.53</v>
      </c>
      <c r="J168" s="76" t="n">
        <f aca="false">H168*(1-I168)</f>
        <v>48530.1649</v>
      </c>
      <c r="K168" s="76" t="n">
        <f aca="false">H168-J168</f>
        <v>54725.5051</v>
      </c>
      <c r="L168" s="78" t="n">
        <f aca="false">SUMIFS(Headcount_Folha!$I:$I,Headcount_Folha!$C:$C,$C168,Headcount_Folha!$D:$D,$E168)</f>
        <v>9072</v>
      </c>
      <c r="M168" s="76" t="n">
        <f aca="false">VLOOKUP($E168,Premissas!$A$52:$P$56,10,0)*(1+VLOOKUP($E168,Premissas!$A$52:$P$56,11,0))^($A168-2025)</f>
        <v>3135</v>
      </c>
      <c r="N168" s="76" t="n">
        <f aca="false">H168*VLOOKUP($E168,Premissas!$A$52:$P$56,7,0)</f>
        <v>3097.6701</v>
      </c>
      <c r="O168" s="76" t="n">
        <f aca="false">H168*VLOOKUP($E168,Premissas!$A$52:$P$56,8,0)</f>
        <v>2581.39175</v>
      </c>
      <c r="P168" s="76" t="n">
        <f aca="false">H168*VLOOKUP($E168,Premissas!$A$52:$P$56,9,0)</f>
        <v>2065.1134</v>
      </c>
      <c r="Q168" s="76" t="n">
        <f aca="false">K168-L168-M168-N168-O168-P168</f>
        <v>34774.32985</v>
      </c>
    </row>
    <row r="169" customFormat="false" ht="15" hidden="false" customHeight="true" outlineLevel="0" collapsed="false">
      <c r="A169" s="18" t="n">
        <v>2026</v>
      </c>
      <c r="B169" s="18" t="n">
        <v>12</v>
      </c>
      <c r="C169" s="18" t="s">
        <v>171</v>
      </c>
      <c r="D169" s="74" t="n">
        <v>46357</v>
      </c>
      <c r="E169" s="18" t="s">
        <v>145</v>
      </c>
      <c r="F169" s="75" t="n">
        <v>159937.74</v>
      </c>
      <c r="G169" s="75" t="n">
        <v>50299.13</v>
      </c>
      <c r="H169" s="76" t="n">
        <f aca="false">F169-G169</f>
        <v>109638.61</v>
      </c>
      <c r="I169" s="77" t="n">
        <f aca="false">IF($A169=2025,VLOOKUP($E169,Premissas!$A$52:$P$56,2,0),IF($A169=2026,VLOOKUP($E169,Premissas!$A$52:$P$56,3,0),VLOOKUP($E169,Premissas!$A$52:$P$56,4,0)))</f>
        <v>0.53</v>
      </c>
      <c r="J169" s="76" t="n">
        <f aca="false">H169*(1-I169)</f>
        <v>51530.1467</v>
      </c>
      <c r="K169" s="76" t="n">
        <f aca="false">H169-J169</f>
        <v>58108.4633</v>
      </c>
      <c r="L169" s="78" t="n">
        <f aca="false">SUMIFS(Headcount_Folha!$I:$I,Headcount_Folha!$C:$C,$C169,Headcount_Folha!$D:$D,$E169)</f>
        <v>9072</v>
      </c>
      <c r="M169" s="76" t="n">
        <f aca="false">VLOOKUP($E169,Premissas!$A$52:$P$56,10,0)*(1+VLOOKUP($E169,Premissas!$A$52:$P$56,11,0))^($A169-2025)</f>
        <v>3135</v>
      </c>
      <c r="N169" s="76" t="n">
        <f aca="false">H169*VLOOKUP($E169,Premissas!$A$52:$P$56,7,0)</f>
        <v>3289.1583</v>
      </c>
      <c r="O169" s="76" t="n">
        <f aca="false">H169*VLOOKUP($E169,Premissas!$A$52:$P$56,8,0)</f>
        <v>2740.96525</v>
      </c>
      <c r="P169" s="76" t="n">
        <f aca="false">H169*VLOOKUP($E169,Premissas!$A$52:$P$56,9,0)</f>
        <v>2192.7722</v>
      </c>
      <c r="Q169" s="76" t="n">
        <f aca="false">K169-L169-M169-N169-O169-P169</f>
        <v>37678.56755</v>
      </c>
    </row>
    <row r="170" customFormat="false" ht="15" hidden="false" customHeight="true" outlineLevel="0" collapsed="false">
      <c r="A170" s="18" t="n">
        <v>2027</v>
      </c>
      <c r="B170" s="18" t="n">
        <v>1</v>
      </c>
      <c r="C170" s="18" t="s">
        <v>172</v>
      </c>
      <c r="D170" s="74" t="n">
        <v>46388</v>
      </c>
      <c r="E170" s="18" t="s">
        <v>145</v>
      </c>
      <c r="F170" s="76" t="n">
        <f aca="false">F158*(1+VLOOKUP($E170,Premissas!$A$52:$P$56,6,0))</f>
        <v>115854.7636</v>
      </c>
      <c r="G170" s="76" t="n">
        <f aca="false">F170*VLOOKUP($E170,Premissas!$A$52:$P$56,5,0)</f>
        <v>36471.07958128</v>
      </c>
      <c r="H170" s="76" t="n">
        <f aca="false">F170-G170</f>
        <v>79383.68401872</v>
      </c>
      <c r="I170" s="77" t="n">
        <f aca="false">IF($A170=2025,VLOOKUP($E170,Premissas!$A$52:$P$56,2,0),IF($A170=2026,VLOOKUP($E170,Premissas!$A$52:$P$56,3,0),VLOOKUP($E170,Premissas!$A$52:$P$56,4,0)))</f>
        <v>0.53</v>
      </c>
      <c r="J170" s="76" t="n">
        <f aca="false">H170*(1-I170)</f>
        <v>37310.3314887984</v>
      </c>
      <c r="K170" s="76" t="n">
        <f aca="false">H170-J170</f>
        <v>42073.3525299216</v>
      </c>
      <c r="L170" s="78" t="n">
        <f aca="false">SUMIFS(Headcount_Folha!$I:$I,Headcount_Folha!$C:$C,$C170,Headcount_Folha!$D:$D,$E170)</f>
        <v>12096</v>
      </c>
      <c r="M170" s="76" t="n">
        <f aca="false">VLOOKUP($E170,Premissas!$A$52:$P$56,10,0)*(1+VLOOKUP($E170,Premissas!$A$52:$P$56,11,0))^($A170-2025)</f>
        <v>3276.075</v>
      </c>
      <c r="N170" s="76" t="n">
        <f aca="false">H170*VLOOKUP($E170,Premissas!$A$52:$P$56,7,0)</f>
        <v>2381.5105205616</v>
      </c>
      <c r="O170" s="76" t="n">
        <f aca="false">H170*VLOOKUP($E170,Premissas!$A$52:$P$56,8,0)</f>
        <v>1984.592100468</v>
      </c>
      <c r="P170" s="76" t="n">
        <f aca="false">H170*VLOOKUP($E170,Premissas!$A$52:$P$56,9,0)</f>
        <v>1587.6736803744</v>
      </c>
      <c r="Q170" s="76" t="n">
        <f aca="false">K170-L170-M170-N170-O170-P170</f>
        <v>20747.5012285176</v>
      </c>
    </row>
    <row r="171" customFormat="false" ht="15" hidden="false" customHeight="true" outlineLevel="0" collapsed="false">
      <c r="A171" s="18" t="n">
        <v>2027</v>
      </c>
      <c r="B171" s="18" t="n">
        <v>2</v>
      </c>
      <c r="C171" s="18" t="s">
        <v>173</v>
      </c>
      <c r="D171" s="74" t="n">
        <v>46419</v>
      </c>
      <c r="E171" s="18" t="s">
        <v>145</v>
      </c>
      <c r="F171" s="76" t="n">
        <f aca="false">F159*(1+VLOOKUP($E171,Premissas!$A$52:$P$56,6,0))</f>
        <v>109592.0964</v>
      </c>
      <c r="G171" s="76" t="n">
        <f aca="false">F171*VLOOKUP($E171,Premissas!$A$52:$P$56,5,0)</f>
        <v>34499.59194672</v>
      </c>
      <c r="H171" s="76" t="n">
        <f aca="false">F171-G171</f>
        <v>75092.50445328</v>
      </c>
      <c r="I171" s="77" t="n">
        <f aca="false">IF($A171=2025,VLOOKUP($E171,Premissas!$A$52:$P$56,2,0),IF($A171=2026,VLOOKUP($E171,Premissas!$A$52:$P$56,3,0),VLOOKUP($E171,Premissas!$A$52:$P$56,4,0)))</f>
        <v>0.53</v>
      </c>
      <c r="J171" s="76" t="n">
        <f aca="false">H171*(1-I171)</f>
        <v>35293.4770930416</v>
      </c>
      <c r="K171" s="76" t="n">
        <f aca="false">H171-J171</f>
        <v>39799.0273602384</v>
      </c>
      <c r="L171" s="78" t="n">
        <f aca="false">SUMIFS(Headcount_Folha!$I:$I,Headcount_Folha!$C:$C,$C171,Headcount_Folha!$D:$D,$E171)</f>
        <v>12096</v>
      </c>
      <c r="M171" s="76" t="n">
        <f aca="false">VLOOKUP($E171,Premissas!$A$52:$P$56,10,0)*(1+VLOOKUP($E171,Premissas!$A$52:$P$56,11,0))^($A171-2025)</f>
        <v>3276.075</v>
      </c>
      <c r="N171" s="76" t="n">
        <f aca="false">H171*VLOOKUP($E171,Premissas!$A$52:$P$56,7,0)</f>
        <v>2252.7751335984</v>
      </c>
      <c r="O171" s="76" t="n">
        <f aca="false">H171*VLOOKUP($E171,Premissas!$A$52:$P$56,8,0)</f>
        <v>1877.312611332</v>
      </c>
      <c r="P171" s="76" t="n">
        <f aca="false">H171*VLOOKUP($E171,Premissas!$A$52:$P$56,9,0)</f>
        <v>1501.8500890656</v>
      </c>
      <c r="Q171" s="76" t="n">
        <f aca="false">K171-L171-M171-N171-O171-P171</f>
        <v>18795.0145262424</v>
      </c>
    </row>
    <row r="172" customFormat="false" ht="15" hidden="false" customHeight="true" outlineLevel="0" collapsed="false">
      <c r="A172" s="18" t="n">
        <v>2027</v>
      </c>
      <c r="B172" s="18" t="n">
        <v>3</v>
      </c>
      <c r="C172" s="18" t="s">
        <v>174</v>
      </c>
      <c r="D172" s="74" t="n">
        <v>46447</v>
      </c>
      <c r="E172" s="18" t="s">
        <v>145</v>
      </c>
      <c r="F172" s="76" t="n">
        <f aca="false">F160*(1+VLOOKUP($E172,Premissas!$A$52:$P$56,6,0))</f>
        <v>127466.0291</v>
      </c>
      <c r="G172" s="76" t="n">
        <f aca="false">F172*VLOOKUP($E172,Premissas!$A$52:$P$56,5,0)</f>
        <v>40126.30596068</v>
      </c>
      <c r="H172" s="76" t="n">
        <f aca="false">F172-G172</f>
        <v>87339.72313932</v>
      </c>
      <c r="I172" s="77" t="n">
        <f aca="false">IF($A172=2025,VLOOKUP($E172,Premissas!$A$52:$P$56,2,0),IF($A172=2026,VLOOKUP($E172,Premissas!$A$52:$P$56,3,0),VLOOKUP($E172,Premissas!$A$52:$P$56,4,0)))</f>
        <v>0.53</v>
      </c>
      <c r="J172" s="76" t="n">
        <f aca="false">H172*(1-I172)</f>
        <v>41049.6698754804</v>
      </c>
      <c r="K172" s="76" t="n">
        <f aca="false">H172-J172</f>
        <v>46290.0532638396</v>
      </c>
      <c r="L172" s="78" t="n">
        <f aca="false">SUMIFS(Headcount_Folha!$I:$I,Headcount_Folha!$C:$C,$C172,Headcount_Folha!$D:$D,$E172)</f>
        <v>12096</v>
      </c>
      <c r="M172" s="76" t="n">
        <f aca="false">VLOOKUP($E172,Premissas!$A$52:$P$56,10,0)*(1+VLOOKUP($E172,Premissas!$A$52:$P$56,11,0))^($A172-2025)</f>
        <v>3276.075</v>
      </c>
      <c r="N172" s="76" t="n">
        <f aca="false">H172*VLOOKUP($E172,Premissas!$A$52:$P$56,7,0)</f>
        <v>2620.1916941796</v>
      </c>
      <c r="O172" s="76" t="n">
        <f aca="false">H172*VLOOKUP($E172,Premissas!$A$52:$P$56,8,0)</f>
        <v>2183.493078483</v>
      </c>
      <c r="P172" s="76" t="n">
        <f aca="false">H172*VLOOKUP($E172,Premissas!$A$52:$P$56,9,0)</f>
        <v>1746.7944627864</v>
      </c>
      <c r="Q172" s="76" t="n">
        <f aca="false">K172-L172-M172-N172-O172-P172</f>
        <v>24367.4990283906</v>
      </c>
    </row>
    <row r="173" customFormat="false" ht="15" hidden="false" customHeight="true" outlineLevel="0" collapsed="false">
      <c r="A173" s="18" t="n">
        <v>2027</v>
      </c>
      <c r="B173" s="18" t="n">
        <v>4</v>
      </c>
      <c r="C173" s="18" t="s">
        <v>175</v>
      </c>
      <c r="D173" s="74" t="n">
        <v>46478</v>
      </c>
      <c r="E173" s="18" t="s">
        <v>145</v>
      </c>
      <c r="F173" s="76" t="n">
        <f aca="false">F161*(1+VLOOKUP($E173,Premissas!$A$52:$P$56,6,0))</f>
        <v>122513.9835</v>
      </c>
      <c r="G173" s="76" t="n">
        <f aca="false">F173*VLOOKUP($E173,Premissas!$A$52:$P$56,5,0)</f>
        <v>38567.4020058</v>
      </c>
      <c r="H173" s="76" t="n">
        <f aca="false">F173-G173</f>
        <v>83946.5814942</v>
      </c>
      <c r="I173" s="77" t="n">
        <f aca="false">IF($A173=2025,VLOOKUP($E173,Premissas!$A$52:$P$56,2,0),IF($A173=2026,VLOOKUP($E173,Premissas!$A$52:$P$56,3,0),VLOOKUP($E173,Premissas!$A$52:$P$56,4,0)))</f>
        <v>0.53</v>
      </c>
      <c r="J173" s="76" t="n">
        <f aca="false">H173*(1-I173)</f>
        <v>39454.893302274</v>
      </c>
      <c r="K173" s="76" t="n">
        <f aca="false">H173-J173</f>
        <v>44491.688191926</v>
      </c>
      <c r="L173" s="78" t="n">
        <f aca="false">SUMIFS(Headcount_Folha!$I:$I,Headcount_Folha!$C:$C,$C173,Headcount_Folha!$D:$D,$E173)</f>
        <v>12096</v>
      </c>
      <c r="M173" s="76" t="n">
        <f aca="false">VLOOKUP($E173,Premissas!$A$52:$P$56,10,0)*(1+VLOOKUP($E173,Premissas!$A$52:$P$56,11,0))^($A173-2025)</f>
        <v>3276.075</v>
      </c>
      <c r="N173" s="76" t="n">
        <f aca="false">H173*VLOOKUP($E173,Premissas!$A$52:$P$56,7,0)</f>
        <v>2518.397444826</v>
      </c>
      <c r="O173" s="76" t="n">
        <f aca="false">H173*VLOOKUP($E173,Premissas!$A$52:$P$56,8,0)</f>
        <v>2098.664537355</v>
      </c>
      <c r="P173" s="76" t="n">
        <f aca="false">H173*VLOOKUP($E173,Premissas!$A$52:$P$56,9,0)</f>
        <v>1678.931629884</v>
      </c>
      <c r="Q173" s="76" t="n">
        <f aca="false">K173-L173-M173-N173-O173-P173</f>
        <v>22823.619579861</v>
      </c>
    </row>
    <row r="174" customFormat="false" ht="15" hidden="false" customHeight="true" outlineLevel="0" collapsed="false">
      <c r="A174" s="18" t="n">
        <v>2027</v>
      </c>
      <c r="B174" s="18" t="n">
        <v>5</v>
      </c>
      <c r="C174" s="18" t="s">
        <v>176</v>
      </c>
      <c r="D174" s="74" t="n">
        <v>46508</v>
      </c>
      <c r="E174" s="18" t="s">
        <v>145</v>
      </c>
      <c r="F174" s="76" t="n">
        <f aca="false">F162*(1+VLOOKUP($E174,Premissas!$A$52:$P$56,6,0))</f>
        <v>134810.0276</v>
      </c>
      <c r="G174" s="76" t="n">
        <f aca="false">F174*VLOOKUP($E174,Premissas!$A$52:$P$56,5,0)</f>
        <v>42438.19668848</v>
      </c>
      <c r="H174" s="76" t="n">
        <f aca="false">F174-G174</f>
        <v>92371.83091152</v>
      </c>
      <c r="I174" s="77" t="n">
        <f aca="false">IF($A174=2025,VLOOKUP($E174,Premissas!$A$52:$P$56,2,0),IF($A174=2026,VLOOKUP($E174,Premissas!$A$52:$P$56,3,0),VLOOKUP($E174,Premissas!$A$52:$P$56,4,0)))</f>
        <v>0.53</v>
      </c>
      <c r="J174" s="76" t="n">
        <f aca="false">H174*(1-I174)</f>
        <v>43414.7605284144</v>
      </c>
      <c r="K174" s="76" t="n">
        <f aca="false">H174-J174</f>
        <v>48957.0703831056</v>
      </c>
      <c r="L174" s="78" t="n">
        <f aca="false">SUMIFS(Headcount_Folha!$I:$I,Headcount_Folha!$C:$C,$C174,Headcount_Folha!$D:$D,$E174)</f>
        <v>12096</v>
      </c>
      <c r="M174" s="76" t="n">
        <f aca="false">VLOOKUP($E174,Premissas!$A$52:$P$56,10,0)*(1+VLOOKUP($E174,Premissas!$A$52:$P$56,11,0))^($A174-2025)</f>
        <v>3276.075</v>
      </c>
      <c r="N174" s="76" t="n">
        <f aca="false">H174*VLOOKUP($E174,Premissas!$A$52:$P$56,7,0)</f>
        <v>2771.1549273456</v>
      </c>
      <c r="O174" s="76" t="n">
        <f aca="false">H174*VLOOKUP($E174,Premissas!$A$52:$P$56,8,0)</f>
        <v>2309.295772788</v>
      </c>
      <c r="P174" s="76" t="n">
        <f aca="false">H174*VLOOKUP($E174,Premissas!$A$52:$P$56,9,0)</f>
        <v>1847.4366182304</v>
      </c>
      <c r="Q174" s="76" t="n">
        <f aca="false">K174-L174-M174-N174-O174-P174</f>
        <v>26657.1080647416</v>
      </c>
    </row>
    <row r="175" customFormat="false" ht="15" hidden="false" customHeight="true" outlineLevel="0" collapsed="false">
      <c r="A175" s="18" t="n">
        <v>2027</v>
      </c>
      <c r="B175" s="18" t="n">
        <v>6</v>
      </c>
      <c r="C175" s="18" t="s">
        <v>177</v>
      </c>
      <c r="D175" s="74" t="n">
        <v>46539</v>
      </c>
      <c r="E175" s="18" t="s">
        <v>145</v>
      </c>
      <c r="F175" s="76" t="n">
        <f aca="false">F163*(1+VLOOKUP($E175,Premissas!$A$52:$P$56,6,0))</f>
        <v>135890.3959</v>
      </c>
      <c r="G175" s="76" t="n">
        <f aca="false">F175*VLOOKUP($E175,Premissas!$A$52:$P$56,5,0)</f>
        <v>42778.29662932</v>
      </c>
      <c r="H175" s="76" t="n">
        <f aca="false">F175-G175</f>
        <v>93112.09927068</v>
      </c>
      <c r="I175" s="77" t="n">
        <f aca="false">IF($A175=2025,VLOOKUP($E175,Premissas!$A$52:$P$56,2,0),IF($A175=2026,VLOOKUP($E175,Premissas!$A$52:$P$56,3,0),VLOOKUP($E175,Premissas!$A$52:$P$56,4,0)))</f>
        <v>0.53</v>
      </c>
      <c r="J175" s="76" t="n">
        <f aca="false">H175*(1-I175)</f>
        <v>43762.6866572196</v>
      </c>
      <c r="K175" s="76" t="n">
        <f aca="false">H175-J175</f>
        <v>49349.4126134604</v>
      </c>
      <c r="L175" s="78" t="n">
        <f aca="false">SUMIFS(Headcount_Folha!$I:$I,Headcount_Folha!$C:$C,$C175,Headcount_Folha!$D:$D,$E175)</f>
        <v>12096</v>
      </c>
      <c r="M175" s="76" t="n">
        <f aca="false">VLOOKUP($E175,Premissas!$A$52:$P$56,10,0)*(1+VLOOKUP($E175,Premissas!$A$52:$P$56,11,0))^($A175-2025)</f>
        <v>3276.075</v>
      </c>
      <c r="N175" s="76" t="n">
        <f aca="false">H175*VLOOKUP($E175,Premissas!$A$52:$P$56,7,0)</f>
        <v>2793.3629781204</v>
      </c>
      <c r="O175" s="76" t="n">
        <f aca="false">H175*VLOOKUP($E175,Premissas!$A$52:$P$56,8,0)</f>
        <v>2327.802481767</v>
      </c>
      <c r="P175" s="76" t="n">
        <f aca="false">H175*VLOOKUP($E175,Premissas!$A$52:$P$56,9,0)</f>
        <v>1862.2419854136</v>
      </c>
      <c r="Q175" s="76" t="n">
        <f aca="false">K175-L175-M175-N175-O175-P175</f>
        <v>26993.9301681594</v>
      </c>
    </row>
    <row r="176" customFormat="false" ht="15" hidden="false" customHeight="true" outlineLevel="0" collapsed="false">
      <c r="A176" s="18" t="n">
        <v>2027</v>
      </c>
      <c r="B176" s="18" t="n">
        <v>7</v>
      </c>
      <c r="C176" s="18" t="s">
        <v>178</v>
      </c>
      <c r="D176" s="74" t="n">
        <v>46569</v>
      </c>
      <c r="E176" s="18" t="s">
        <v>145</v>
      </c>
      <c r="F176" s="76" t="n">
        <f aca="false">F164*(1+VLOOKUP($E176,Premissas!$A$52:$P$56,6,0))</f>
        <v>141544.094</v>
      </c>
      <c r="G176" s="76" t="n">
        <f aca="false">F176*VLOOKUP($E176,Premissas!$A$52:$P$56,5,0)</f>
        <v>44558.0807912</v>
      </c>
      <c r="H176" s="76" t="n">
        <f aca="false">F176-G176</f>
        <v>96986.0132088</v>
      </c>
      <c r="I176" s="77" t="n">
        <f aca="false">IF($A176=2025,VLOOKUP($E176,Premissas!$A$52:$P$56,2,0),IF($A176=2026,VLOOKUP($E176,Premissas!$A$52:$P$56,3,0),VLOOKUP($E176,Premissas!$A$52:$P$56,4,0)))</f>
        <v>0.53</v>
      </c>
      <c r="J176" s="76" t="n">
        <f aca="false">H176*(1-I176)</f>
        <v>45583.426208136</v>
      </c>
      <c r="K176" s="76" t="n">
        <f aca="false">H176-J176</f>
        <v>51402.587000664</v>
      </c>
      <c r="L176" s="78" t="n">
        <f aca="false">SUMIFS(Headcount_Folha!$I:$I,Headcount_Folha!$C:$C,$C176,Headcount_Folha!$D:$D,$E176)</f>
        <v>12096</v>
      </c>
      <c r="M176" s="76" t="n">
        <f aca="false">VLOOKUP($E176,Premissas!$A$52:$P$56,10,0)*(1+VLOOKUP($E176,Premissas!$A$52:$P$56,11,0))^($A176-2025)</f>
        <v>3276.075</v>
      </c>
      <c r="N176" s="76" t="n">
        <f aca="false">H176*VLOOKUP($E176,Premissas!$A$52:$P$56,7,0)</f>
        <v>2909.580396264</v>
      </c>
      <c r="O176" s="76" t="n">
        <f aca="false">H176*VLOOKUP($E176,Premissas!$A$52:$P$56,8,0)</f>
        <v>2424.65033022</v>
      </c>
      <c r="P176" s="76" t="n">
        <f aca="false">H176*VLOOKUP($E176,Premissas!$A$52:$P$56,9,0)</f>
        <v>1939.720264176</v>
      </c>
      <c r="Q176" s="76" t="n">
        <f aca="false">K176-L176-M176-N176-O176-P176</f>
        <v>28756.561010004</v>
      </c>
    </row>
    <row r="177" customFormat="false" ht="15" hidden="false" customHeight="true" outlineLevel="0" collapsed="false">
      <c r="A177" s="18" t="n">
        <v>2027</v>
      </c>
      <c r="B177" s="18" t="n">
        <v>8</v>
      </c>
      <c r="C177" s="18" t="s">
        <v>179</v>
      </c>
      <c r="D177" s="74" t="n">
        <v>46600</v>
      </c>
      <c r="E177" s="18" t="s">
        <v>145</v>
      </c>
      <c r="F177" s="76" t="n">
        <f aca="false">F165*(1+VLOOKUP($E177,Premissas!$A$52:$P$56,6,0))</f>
        <v>132723.8272</v>
      </c>
      <c r="G177" s="76" t="n">
        <f aca="false">F177*VLOOKUP($E177,Premissas!$A$52:$P$56,5,0)</f>
        <v>41781.46080256</v>
      </c>
      <c r="H177" s="76" t="n">
        <f aca="false">F177-G177</f>
        <v>90942.36639744</v>
      </c>
      <c r="I177" s="77" t="n">
        <f aca="false">IF($A177=2025,VLOOKUP($E177,Premissas!$A$52:$P$56,2,0),IF($A177=2026,VLOOKUP($E177,Premissas!$A$52:$P$56,3,0),VLOOKUP($E177,Premissas!$A$52:$P$56,4,0)))</f>
        <v>0.53</v>
      </c>
      <c r="J177" s="76" t="n">
        <f aca="false">H177*(1-I177)</f>
        <v>42742.9122067968</v>
      </c>
      <c r="K177" s="76" t="n">
        <f aca="false">H177-J177</f>
        <v>48199.4541906432</v>
      </c>
      <c r="L177" s="78" t="n">
        <f aca="false">SUMIFS(Headcount_Folha!$I:$I,Headcount_Folha!$C:$C,$C177,Headcount_Folha!$D:$D,$E177)</f>
        <v>12096</v>
      </c>
      <c r="M177" s="76" t="n">
        <f aca="false">VLOOKUP($E177,Premissas!$A$52:$P$56,10,0)*(1+VLOOKUP($E177,Premissas!$A$52:$P$56,11,0))^($A177-2025)</f>
        <v>3276.075</v>
      </c>
      <c r="N177" s="76" t="n">
        <f aca="false">H177*VLOOKUP($E177,Premissas!$A$52:$P$56,7,0)</f>
        <v>2728.2709919232</v>
      </c>
      <c r="O177" s="76" t="n">
        <f aca="false">H177*VLOOKUP($E177,Premissas!$A$52:$P$56,8,0)</f>
        <v>2273.559159936</v>
      </c>
      <c r="P177" s="76" t="n">
        <f aca="false">H177*VLOOKUP($E177,Premissas!$A$52:$P$56,9,0)</f>
        <v>1818.8473279488</v>
      </c>
      <c r="Q177" s="76" t="n">
        <f aca="false">K177-L177-M177-N177-O177-P177</f>
        <v>26006.7017108352</v>
      </c>
    </row>
    <row r="178" customFormat="false" ht="15" hidden="false" customHeight="true" outlineLevel="0" collapsed="false">
      <c r="A178" s="18" t="n">
        <v>2027</v>
      </c>
      <c r="B178" s="18" t="n">
        <v>9</v>
      </c>
      <c r="C178" s="18" t="s">
        <v>180</v>
      </c>
      <c r="D178" s="74" t="n">
        <v>46631</v>
      </c>
      <c r="E178" s="18" t="s">
        <v>145</v>
      </c>
      <c r="F178" s="76" t="n">
        <f aca="false">F166*(1+VLOOKUP($E178,Premissas!$A$52:$P$56,6,0))</f>
        <v>125293.8542</v>
      </c>
      <c r="G178" s="76" t="n">
        <f aca="false">F178*VLOOKUP($E178,Premissas!$A$52:$P$56,5,0)</f>
        <v>39442.50530216</v>
      </c>
      <c r="H178" s="76" t="n">
        <f aca="false">F178-G178</f>
        <v>85851.34889784</v>
      </c>
      <c r="I178" s="77" t="n">
        <f aca="false">IF($A178=2025,VLOOKUP($E178,Premissas!$A$52:$P$56,2,0),IF($A178=2026,VLOOKUP($E178,Premissas!$A$52:$P$56,3,0),VLOOKUP($E178,Premissas!$A$52:$P$56,4,0)))</f>
        <v>0.53</v>
      </c>
      <c r="J178" s="76" t="n">
        <f aca="false">H178*(1-I178)</f>
        <v>40350.1339819848</v>
      </c>
      <c r="K178" s="76" t="n">
        <f aca="false">H178-J178</f>
        <v>45501.2149158552</v>
      </c>
      <c r="L178" s="78" t="n">
        <f aca="false">SUMIFS(Headcount_Folha!$I:$I,Headcount_Folha!$C:$C,$C178,Headcount_Folha!$D:$D,$E178)</f>
        <v>12096</v>
      </c>
      <c r="M178" s="76" t="n">
        <f aca="false">VLOOKUP($E178,Premissas!$A$52:$P$56,10,0)*(1+VLOOKUP($E178,Premissas!$A$52:$P$56,11,0))^($A178-2025)</f>
        <v>3276.075</v>
      </c>
      <c r="N178" s="76" t="n">
        <f aca="false">H178*VLOOKUP($E178,Premissas!$A$52:$P$56,7,0)</f>
        <v>2575.5404669352</v>
      </c>
      <c r="O178" s="76" t="n">
        <f aca="false">H178*VLOOKUP($E178,Premissas!$A$52:$P$56,8,0)</f>
        <v>2146.283722446</v>
      </c>
      <c r="P178" s="76" t="n">
        <f aca="false">H178*VLOOKUP($E178,Premissas!$A$52:$P$56,9,0)</f>
        <v>1717.0269779568</v>
      </c>
      <c r="Q178" s="76" t="n">
        <f aca="false">K178-L178-M178-N178-O178-P178</f>
        <v>23690.2887485172</v>
      </c>
    </row>
    <row r="179" customFormat="false" ht="15" hidden="false" customHeight="true" outlineLevel="0" collapsed="false">
      <c r="A179" s="18" t="n">
        <v>2027</v>
      </c>
      <c r="B179" s="18" t="n">
        <v>10</v>
      </c>
      <c r="C179" s="18" t="s">
        <v>181</v>
      </c>
      <c r="D179" s="74" t="n">
        <v>46661</v>
      </c>
      <c r="E179" s="18" t="s">
        <v>145</v>
      </c>
      <c r="F179" s="76" t="n">
        <f aca="false">F167*(1+VLOOKUP($E179,Premissas!$A$52:$P$56,6,0))</f>
        <v>131681.9896</v>
      </c>
      <c r="G179" s="76" t="n">
        <f aca="false">F179*VLOOKUP($E179,Premissas!$A$52:$P$56,5,0)</f>
        <v>41453.49032608</v>
      </c>
      <c r="H179" s="76" t="n">
        <f aca="false">F179-G179</f>
        <v>90228.49927392</v>
      </c>
      <c r="I179" s="77" t="n">
        <f aca="false">IF($A179=2025,VLOOKUP($E179,Premissas!$A$52:$P$56,2,0),IF($A179=2026,VLOOKUP($E179,Premissas!$A$52:$P$56,3,0),VLOOKUP($E179,Premissas!$A$52:$P$56,4,0)))</f>
        <v>0.53</v>
      </c>
      <c r="J179" s="76" t="n">
        <f aca="false">H179*(1-I179)</f>
        <v>42407.3946587424</v>
      </c>
      <c r="K179" s="76" t="n">
        <f aca="false">H179-J179</f>
        <v>47821.1046151776</v>
      </c>
      <c r="L179" s="78" t="n">
        <f aca="false">SUMIFS(Headcount_Folha!$I:$I,Headcount_Folha!$C:$C,$C179,Headcount_Folha!$D:$D,$E179)</f>
        <v>12096</v>
      </c>
      <c r="M179" s="76" t="n">
        <f aca="false">VLOOKUP($E179,Premissas!$A$52:$P$56,10,0)*(1+VLOOKUP($E179,Premissas!$A$52:$P$56,11,0))^($A179-2025)</f>
        <v>3276.075</v>
      </c>
      <c r="N179" s="76" t="n">
        <f aca="false">H179*VLOOKUP($E179,Premissas!$A$52:$P$56,7,0)</f>
        <v>2706.8549782176</v>
      </c>
      <c r="O179" s="76" t="n">
        <f aca="false">H179*VLOOKUP($E179,Premissas!$A$52:$P$56,8,0)</f>
        <v>2255.712481848</v>
      </c>
      <c r="P179" s="76" t="n">
        <f aca="false">H179*VLOOKUP($E179,Premissas!$A$52:$P$56,9,0)</f>
        <v>1804.5699854784</v>
      </c>
      <c r="Q179" s="76" t="n">
        <f aca="false">K179-L179-M179-N179-O179-P179</f>
        <v>25681.8921696336</v>
      </c>
    </row>
    <row r="180" customFormat="false" ht="15" hidden="false" customHeight="true" outlineLevel="0" collapsed="false">
      <c r="A180" s="18" t="n">
        <v>2027</v>
      </c>
      <c r="B180" s="18" t="n">
        <v>11</v>
      </c>
      <c r="C180" s="18" t="s">
        <v>182</v>
      </c>
      <c r="D180" s="74" t="n">
        <v>46692</v>
      </c>
      <c r="E180" s="18" t="s">
        <v>145</v>
      </c>
      <c r="F180" s="76" t="n">
        <f aca="false">F168*(1+VLOOKUP($E180,Premissas!$A$52:$P$56,6,0))</f>
        <v>161415.7167</v>
      </c>
      <c r="G180" s="76" t="n">
        <f aca="false">F180*VLOOKUP($E180,Premissas!$A$52:$P$56,5,0)</f>
        <v>50813.66761716</v>
      </c>
      <c r="H180" s="76" t="n">
        <f aca="false">F180-G180</f>
        <v>110602.04908284</v>
      </c>
      <c r="I180" s="77" t="n">
        <f aca="false">IF($A180=2025,VLOOKUP($E180,Premissas!$A$52:$P$56,2,0),IF($A180=2026,VLOOKUP($E180,Premissas!$A$52:$P$56,3,0),VLOOKUP($E180,Premissas!$A$52:$P$56,4,0)))</f>
        <v>0.53</v>
      </c>
      <c r="J180" s="76" t="n">
        <f aca="false">H180*(1-I180)</f>
        <v>51982.9630689348</v>
      </c>
      <c r="K180" s="76" t="n">
        <f aca="false">H180-J180</f>
        <v>58619.0860139052</v>
      </c>
      <c r="L180" s="78" t="n">
        <f aca="false">SUMIFS(Headcount_Folha!$I:$I,Headcount_Folha!$C:$C,$C180,Headcount_Folha!$D:$D,$E180)</f>
        <v>12096</v>
      </c>
      <c r="M180" s="76" t="n">
        <f aca="false">VLOOKUP($E180,Premissas!$A$52:$P$56,10,0)*(1+VLOOKUP($E180,Premissas!$A$52:$P$56,11,0))^($A180-2025)</f>
        <v>3276.075</v>
      </c>
      <c r="N180" s="76" t="n">
        <f aca="false">H180*VLOOKUP($E180,Premissas!$A$52:$P$56,7,0)</f>
        <v>3318.0614724852</v>
      </c>
      <c r="O180" s="76" t="n">
        <f aca="false">H180*VLOOKUP($E180,Premissas!$A$52:$P$56,8,0)</f>
        <v>2765.051227071</v>
      </c>
      <c r="P180" s="76" t="n">
        <f aca="false">H180*VLOOKUP($E180,Premissas!$A$52:$P$56,9,0)</f>
        <v>2212.0409816568</v>
      </c>
      <c r="Q180" s="76" t="n">
        <f aca="false">K180-L180-M180-N180-O180-P180</f>
        <v>34951.8573326922</v>
      </c>
    </row>
    <row r="181" customFormat="false" ht="15" hidden="false" customHeight="true" outlineLevel="0" collapsed="false">
      <c r="A181" s="18" t="n">
        <v>2027</v>
      </c>
      <c r="B181" s="18" t="n">
        <v>12</v>
      </c>
      <c r="C181" s="18" t="s">
        <v>183</v>
      </c>
      <c r="D181" s="74" t="n">
        <v>46722</v>
      </c>
      <c r="E181" s="18" t="s">
        <v>145</v>
      </c>
      <c r="F181" s="76" t="n">
        <f aca="false">F169*(1+VLOOKUP($E181,Premissas!$A$52:$P$56,6,0))</f>
        <v>171133.3818</v>
      </c>
      <c r="G181" s="76" t="n">
        <f aca="false">F181*VLOOKUP($E181,Premissas!$A$52:$P$56,5,0)</f>
        <v>53872.78859064</v>
      </c>
      <c r="H181" s="76" t="n">
        <f aca="false">F181-G181</f>
        <v>117260.59320936</v>
      </c>
      <c r="I181" s="77" t="n">
        <f aca="false">IF($A181=2025,VLOOKUP($E181,Premissas!$A$52:$P$56,2,0),IF($A181=2026,VLOOKUP($E181,Premissas!$A$52:$P$56,3,0),VLOOKUP($E181,Premissas!$A$52:$P$56,4,0)))</f>
        <v>0.53</v>
      </c>
      <c r="J181" s="76" t="n">
        <f aca="false">H181*(1-I181)</f>
        <v>55112.4788083992</v>
      </c>
      <c r="K181" s="76" t="n">
        <f aca="false">H181-J181</f>
        <v>62148.1144009608</v>
      </c>
      <c r="L181" s="78" t="n">
        <f aca="false">SUMIFS(Headcount_Folha!$I:$I,Headcount_Folha!$C:$C,$C181,Headcount_Folha!$D:$D,$E181)</f>
        <v>12096</v>
      </c>
      <c r="M181" s="76" t="n">
        <f aca="false">VLOOKUP($E181,Premissas!$A$52:$P$56,10,0)*(1+VLOOKUP($E181,Premissas!$A$52:$P$56,11,0))^($A181-2025)</f>
        <v>3276.075</v>
      </c>
      <c r="N181" s="76" t="n">
        <f aca="false">H181*VLOOKUP($E181,Premissas!$A$52:$P$56,7,0)</f>
        <v>3517.8177962808</v>
      </c>
      <c r="O181" s="76" t="n">
        <f aca="false">H181*VLOOKUP($E181,Premissas!$A$52:$P$56,8,0)</f>
        <v>2931.514830234</v>
      </c>
      <c r="P181" s="76" t="n">
        <f aca="false">H181*VLOOKUP($E181,Premissas!$A$52:$P$56,9,0)</f>
        <v>2345.2118641872</v>
      </c>
      <c r="Q181" s="76" t="n">
        <f aca="false">K181-L181-M181-N181-O181-P181</f>
        <v>37981.4949102588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6"/>
    <col collapsed="false" customWidth="true" hidden="false" outlineLevel="0" max="3" min="3" style="1" width="10"/>
    <col collapsed="false" customWidth="true" hidden="false" outlineLevel="0" max="4" min="4" style="1" width="24"/>
    <col collapsed="false" customWidth="true" hidden="false" outlineLevel="0" max="5" min="5" style="1" width="11"/>
    <col collapsed="false" customWidth="true" hidden="false" outlineLevel="0" max="6" min="6" style="1" width="14"/>
    <col collapsed="false" customWidth="true" hidden="false" outlineLevel="0" max="7" min="7" style="1" width="13"/>
    <col collapsed="false" customWidth="true" hidden="false" outlineLevel="0" max="8" min="8" style="1" width="11"/>
    <col collapsed="false" customWidth="true" hidden="false" outlineLevel="0" max="9" min="9" style="1" width="14"/>
  </cols>
  <sheetData>
    <row r="1" customFormat="false" ht="23.25" hidden="false" customHeight="true" outlineLevel="0" collapsed="false">
      <c r="A1" s="25" t="s">
        <v>254</v>
      </c>
      <c r="B1" s="25" t="s">
        <v>255</v>
      </c>
      <c r="C1" s="25" t="s">
        <v>256</v>
      </c>
      <c r="D1" s="25" t="s">
        <v>349</v>
      </c>
      <c r="E1" s="25" t="s">
        <v>359</v>
      </c>
      <c r="F1" s="25" t="s">
        <v>360</v>
      </c>
      <c r="G1" s="25" t="s">
        <v>361</v>
      </c>
      <c r="H1" s="25" t="s">
        <v>362</v>
      </c>
      <c r="I1" s="25" t="s">
        <v>363</v>
      </c>
    </row>
    <row r="2" customFormat="false" ht="15" hidden="false" customHeight="true" outlineLevel="0" collapsed="false">
      <c r="A2" s="32" t="n">
        <v>2025</v>
      </c>
      <c r="B2" s="32" t="n">
        <v>1</v>
      </c>
      <c r="C2" s="32" t="s">
        <v>148</v>
      </c>
      <c r="D2" s="32" t="s">
        <v>141</v>
      </c>
      <c r="E2" s="79" t="n">
        <v>2</v>
      </c>
      <c r="F2" s="20" t="n">
        <v>2200</v>
      </c>
      <c r="G2" s="33" t="n">
        <f aca="false">E2*F2</f>
        <v>4400</v>
      </c>
      <c r="H2" s="19" t="n">
        <v>0.68</v>
      </c>
      <c r="I2" s="33" t="n">
        <f aca="false">G2*(1+H2)</f>
        <v>7392</v>
      </c>
    </row>
    <row r="3" customFormat="false" ht="15" hidden="false" customHeight="true" outlineLevel="0" collapsed="false">
      <c r="A3" s="32" t="n">
        <v>2025</v>
      </c>
      <c r="B3" s="32" t="n">
        <v>2</v>
      </c>
      <c r="C3" s="32" t="s">
        <v>149</v>
      </c>
      <c r="D3" s="32" t="s">
        <v>141</v>
      </c>
      <c r="E3" s="79" t="n">
        <v>2</v>
      </c>
      <c r="F3" s="20" t="n">
        <v>2200</v>
      </c>
      <c r="G3" s="33" t="n">
        <f aca="false">E3*F3</f>
        <v>4400</v>
      </c>
      <c r="H3" s="19" t="n">
        <v>0.68</v>
      </c>
      <c r="I3" s="33" t="n">
        <f aca="false">G3*(1+H3)</f>
        <v>7392</v>
      </c>
    </row>
    <row r="4" customFormat="false" ht="15" hidden="false" customHeight="true" outlineLevel="0" collapsed="false">
      <c r="A4" s="32" t="n">
        <v>2025</v>
      </c>
      <c r="B4" s="32" t="n">
        <v>3</v>
      </c>
      <c r="C4" s="32" t="s">
        <v>150</v>
      </c>
      <c r="D4" s="32" t="s">
        <v>141</v>
      </c>
      <c r="E4" s="79" t="n">
        <v>2</v>
      </c>
      <c r="F4" s="20" t="n">
        <v>2200</v>
      </c>
      <c r="G4" s="33" t="n">
        <f aca="false">E4*F4</f>
        <v>4400</v>
      </c>
      <c r="H4" s="19" t="n">
        <v>0.68</v>
      </c>
      <c r="I4" s="33" t="n">
        <f aca="false">G4*(1+H4)</f>
        <v>7392</v>
      </c>
    </row>
    <row r="5" customFormat="false" ht="15" hidden="false" customHeight="true" outlineLevel="0" collapsed="false">
      <c r="A5" s="32" t="n">
        <v>2025</v>
      </c>
      <c r="B5" s="32" t="n">
        <v>4</v>
      </c>
      <c r="C5" s="32" t="s">
        <v>151</v>
      </c>
      <c r="D5" s="32" t="s">
        <v>141</v>
      </c>
      <c r="E5" s="79" t="n">
        <v>2</v>
      </c>
      <c r="F5" s="20" t="n">
        <v>2200</v>
      </c>
      <c r="G5" s="33" t="n">
        <f aca="false">E5*F5</f>
        <v>4400</v>
      </c>
      <c r="H5" s="19" t="n">
        <v>0.68</v>
      </c>
      <c r="I5" s="33" t="n">
        <f aca="false">G5*(1+H5)</f>
        <v>7392</v>
      </c>
    </row>
    <row r="6" customFormat="false" ht="15" hidden="false" customHeight="true" outlineLevel="0" collapsed="false">
      <c r="A6" s="32" t="n">
        <v>2025</v>
      </c>
      <c r="B6" s="32" t="n">
        <v>5</v>
      </c>
      <c r="C6" s="32" t="s">
        <v>152</v>
      </c>
      <c r="D6" s="32" t="s">
        <v>141</v>
      </c>
      <c r="E6" s="79" t="n">
        <v>2</v>
      </c>
      <c r="F6" s="20" t="n">
        <v>2200</v>
      </c>
      <c r="G6" s="33" t="n">
        <f aca="false">E6*F6</f>
        <v>4400</v>
      </c>
      <c r="H6" s="19" t="n">
        <v>0.68</v>
      </c>
      <c r="I6" s="33" t="n">
        <f aca="false">G6*(1+H6)</f>
        <v>7392</v>
      </c>
    </row>
    <row r="7" customFormat="false" ht="15" hidden="false" customHeight="true" outlineLevel="0" collapsed="false">
      <c r="A7" s="32" t="n">
        <v>2025</v>
      </c>
      <c r="B7" s="32" t="n">
        <v>6</v>
      </c>
      <c r="C7" s="32" t="s">
        <v>153</v>
      </c>
      <c r="D7" s="32" t="s">
        <v>141</v>
      </c>
      <c r="E7" s="79" t="n">
        <v>2</v>
      </c>
      <c r="F7" s="20" t="n">
        <v>2200</v>
      </c>
      <c r="G7" s="33" t="n">
        <f aca="false">E7*F7</f>
        <v>4400</v>
      </c>
      <c r="H7" s="19" t="n">
        <v>0.68</v>
      </c>
      <c r="I7" s="33" t="n">
        <f aca="false">G7*(1+H7)</f>
        <v>7392</v>
      </c>
    </row>
    <row r="8" customFormat="false" ht="15" hidden="false" customHeight="true" outlineLevel="0" collapsed="false">
      <c r="A8" s="32" t="n">
        <v>2025</v>
      </c>
      <c r="B8" s="32" t="n">
        <v>7</v>
      </c>
      <c r="C8" s="32" t="s">
        <v>154</v>
      </c>
      <c r="D8" s="32" t="s">
        <v>141</v>
      </c>
      <c r="E8" s="79" t="n">
        <v>2</v>
      </c>
      <c r="F8" s="20" t="n">
        <v>2200</v>
      </c>
      <c r="G8" s="33" t="n">
        <f aca="false">E8*F8</f>
        <v>4400</v>
      </c>
      <c r="H8" s="19" t="n">
        <v>0.68</v>
      </c>
      <c r="I8" s="33" t="n">
        <f aca="false">G8*(1+H8)</f>
        <v>7392</v>
      </c>
    </row>
    <row r="9" customFormat="false" ht="15" hidden="false" customHeight="true" outlineLevel="0" collapsed="false">
      <c r="A9" s="32" t="n">
        <v>2025</v>
      </c>
      <c r="B9" s="32" t="n">
        <v>8</v>
      </c>
      <c r="C9" s="32" t="s">
        <v>155</v>
      </c>
      <c r="D9" s="32" t="s">
        <v>141</v>
      </c>
      <c r="E9" s="79" t="n">
        <v>2</v>
      </c>
      <c r="F9" s="20" t="n">
        <v>2200</v>
      </c>
      <c r="G9" s="33" t="n">
        <f aca="false">E9*F9</f>
        <v>4400</v>
      </c>
      <c r="H9" s="19" t="n">
        <v>0.68</v>
      </c>
      <c r="I9" s="33" t="n">
        <f aca="false">G9*(1+H9)</f>
        <v>7392</v>
      </c>
    </row>
    <row r="10" customFormat="false" ht="15" hidden="false" customHeight="true" outlineLevel="0" collapsed="false">
      <c r="A10" s="32" t="n">
        <v>2025</v>
      </c>
      <c r="B10" s="32" t="n">
        <v>9</v>
      </c>
      <c r="C10" s="32" t="s">
        <v>156</v>
      </c>
      <c r="D10" s="32" t="s">
        <v>141</v>
      </c>
      <c r="E10" s="79" t="n">
        <v>2</v>
      </c>
      <c r="F10" s="20" t="n">
        <v>2200</v>
      </c>
      <c r="G10" s="33" t="n">
        <f aca="false">E10*F10</f>
        <v>4400</v>
      </c>
      <c r="H10" s="19" t="n">
        <v>0.68</v>
      </c>
      <c r="I10" s="33" t="n">
        <f aca="false">G10*(1+H10)</f>
        <v>7392</v>
      </c>
    </row>
    <row r="11" customFormat="false" ht="15" hidden="false" customHeight="true" outlineLevel="0" collapsed="false">
      <c r="A11" s="32" t="n">
        <v>2025</v>
      </c>
      <c r="B11" s="32" t="n">
        <v>10</v>
      </c>
      <c r="C11" s="32" t="s">
        <v>157</v>
      </c>
      <c r="D11" s="32" t="s">
        <v>141</v>
      </c>
      <c r="E11" s="79" t="n">
        <v>2</v>
      </c>
      <c r="F11" s="20" t="n">
        <v>2200</v>
      </c>
      <c r="G11" s="33" t="n">
        <f aca="false">E11*F11</f>
        <v>4400</v>
      </c>
      <c r="H11" s="19" t="n">
        <v>0.68</v>
      </c>
      <c r="I11" s="33" t="n">
        <f aca="false">G11*(1+H11)</f>
        <v>7392</v>
      </c>
    </row>
    <row r="12" customFormat="false" ht="15" hidden="false" customHeight="true" outlineLevel="0" collapsed="false">
      <c r="A12" s="32" t="n">
        <v>2025</v>
      </c>
      <c r="B12" s="32" t="n">
        <v>11</v>
      </c>
      <c r="C12" s="32" t="s">
        <v>158</v>
      </c>
      <c r="D12" s="32" t="s">
        <v>141</v>
      </c>
      <c r="E12" s="79" t="n">
        <v>2</v>
      </c>
      <c r="F12" s="20" t="n">
        <v>2200</v>
      </c>
      <c r="G12" s="33" t="n">
        <f aca="false">E12*F12</f>
        <v>4400</v>
      </c>
      <c r="H12" s="19" t="n">
        <v>0.68</v>
      </c>
      <c r="I12" s="33" t="n">
        <f aca="false">G12*(1+H12)</f>
        <v>7392</v>
      </c>
    </row>
    <row r="13" customFormat="false" ht="15" hidden="false" customHeight="true" outlineLevel="0" collapsed="false">
      <c r="A13" s="32" t="n">
        <v>2025</v>
      </c>
      <c r="B13" s="32" t="n">
        <v>12</v>
      </c>
      <c r="C13" s="32" t="s">
        <v>159</v>
      </c>
      <c r="D13" s="32" t="s">
        <v>141</v>
      </c>
      <c r="E13" s="79" t="n">
        <v>2</v>
      </c>
      <c r="F13" s="20" t="n">
        <v>2200</v>
      </c>
      <c r="G13" s="33" t="n">
        <f aca="false">E13*F13</f>
        <v>4400</v>
      </c>
      <c r="H13" s="19" t="n">
        <v>0.68</v>
      </c>
      <c r="I13" s="33" t="n">
        <f aca="false">G13*(1+H13)</f>
        <v>7392</v>
      </c>
    </row>
    <row r="14" customFormat="false" ht="15" hidden="false" customHeight="true" outlineLevel="0" collapsed="false">
      <c r="A14" s="32" t="n">
        <v>2026</v>
      </c>
      <c r="B14" s="32" t="n">
        <v>1</v>
      </c>
      <c r="C14" s="32" t="s">
        <v>160</v>
      </c>
      <c r="D14" s="32" t="s">
        <v>141</v>
      </c>
      <c r="E14" s="79" t="n">
        <v>2</v>
      </c>
      <c r="F14" s="20" t="n">
        <v>2200</v>
      </c>
      <c r="G14" s="33" t="n">
        <f aca="false">E14*F14</f>
        <v>4400</v>
      </c>
      <c r="H14" s="19" t="n">
        <v>0.68</v>
      </c>
      <c r="I14" s="33" t="n">
        <f aca="false">G14*(1+H14)</f>
        <v>7392</v>
      </c>
    </row>
    <row r="15" customFormat="false" ht="15" hidden="false" customHeight="true" outlineLevel="0" collapsed="false">
      <c r="A15" s="32" t="n">
        <v>2026</v>
      </c>
      <c r="B15" s="32" t="n">
        <v>2</v>
      </c>
      <c r="C15" s="32" t="s">
        <v>161</v>
      </c>
      <c r="D15" s="32" t="s">
        <v>141</v>
      </c>
      <c r="E15" s="79" t="n">
        <v>2</v>
      </c>
      <c r="F15" s="20" t="n">
        <v>2200</v>
      </c>
      <c r="G15" s="33" t="n">
        <f aca="false">E15*F15</f>
        <v>4400</v>
      </c>
      <c r="H15" s="19" t="n">
        <v>0.68</v>
      </c>
      <c r="I15" s="33" t="n">
        <f aca="false">G15*(1+H15)</f>
        <v>7392</v>
      </c>
    </row>
    <row r="16" customFormat="false" ht="15" hidden="false" customHeight="true" outlineLevel="0" collapsed="false">
      <c r="A16" s="32" t="n">
        <v>2026</v>
      </c>
      <c r="B16" s="32" t="n">
        <v>3</v>
      </c>
      <c r="C16" s="32" t="s">
        <v>162</v>
      </c>
      <c r="D16" s="32" t="s">
        <v>141</v>
      </c>
      <c r="E16" s="79" t="n">
        <v>2</v>
      </c>
      <c r="F16" s="20" t="n">
        <v>2200</v>
      </c>
      <c r="G16" s="33" t="n">
        <f aca="false">E16*F16</f>
        <v>4400</v>
      </c>
      <c r="H16" s="19" t="n">
        <v>0.68</v>
      </c>
      <c r="I16" s="33" t="n">
        <f aca="false">G16*(1+H16)</f>
        <v>7392</v>
      </c>
    </row>
    <row r="17" customFormat="false" ht="15" hidden="false" customHeight="true" outlineLevel="0" collapsed="false">
      <c r="A17" s="32" t="n">
        <v>2026</v>
      </c>
      <c r="B17" s="32" t="n">
        <v>4</v>
      </c>
      <c r="C17" s="32" t="s">
        <v>163</v>
      </c>
      <c r="D17" s="32" t="s">
        <v>141</v>
      </c>
      <c r="E17" s="79" t="n">
        <v>2</v>
      </c>
      <c r="F17" s="20" t="n">
        <v>2200</v>
      </c>
      <c r="G17" s="33" t="n">
        <f aca="false">E17*F17</f>
        <v>4400</v>
      </c>
      <c r="H17" s="19" t="n">
        <v>0.68</v>
      </c>
      <c r="I17" s="33" t="n">
        <f aca="false">G17*(1+H17)</f>
        <v>7392</v>
      </c>
    </row>
    <row r="18" customFormat="false" ht="15" hidden="false" customHeight="true" outlineLevel="0" collapsed="false">
      <c r="A18" s="32" t="n">
        <v>2026</v>
      </c>
      <c r="B18" s="32" t="n">
        <v>5</v>
      </c>
      <c r="C18" s="32" t="s">
        <v>164</v>
      </c>
      <c r="D18" s="32" t="s">
        <v>141</v>
      </c>
      <c r="E18" s="79" t="n">
        <v>2</v>
      </c>
      <c r="F18" s="20" t="n">
        <v>2200</v>
      </c>
      <c r="G18" s="33" t="n">
        <f aca="false">E18*F18</f>
        <v>4400</v>
      </c>
      <c r="H18" s="19" t="n">
        <v>0.68</v>
      </c>
      <c r="I18" s="33" t="n">
        <f aca="false">G18*(1+H18)</f>
        <v>7392</v>
      </c>
    </row>
    <row r="19" customFormat="false" ht="15" hidden="false" customHeight="true" outlineLevel="0" collapsed="false">
      <c r="A19" s="32" t="n">
        <v>2026</v>
      </c>
      <c r="B19" s="32" t="n">
        <v>6</v>
      </c>
      <c r="C19" s="32" t="s">
        <v>165</v>
      </c>
      <c r="D19" s="32" t="s">
        <v>141</v>
      </c>
      <c r="E19" s="79" t="n">
        <v>2</v>
      </c>
      <c r="F19" s="20" t="n">
        <v>2200</v>
      </c>
      <c r="G19" s="33" t="n">
        <f aca="false">E19*F19</f>
        <v>4400</v>
      </c>
      <c r="H19" s="19" t="n">
        <v>0.68</v>
      </c>
      <c r="I19" s="33" t="n">
        <f aca="false">G19*(1+H19)</f>
        <v>7392</v>
      </c>
    </row>
    <row r="20" customFormat="false" ht="15" hidden="false" customHeight="true" outlineLevel="0" collapsed="false">
      <c r="A20" s="32" t="n">
        <v>2026</v>
      </c>
      <c r="B20" s="32" t="n">
        <v>7</v>
      </c>
      <c r="C20" s="32" t="s">
        <v>166</v>
      </c>
      <c r="D20" s="32" t="s">
        <v>141</v>
      </c>
      <c r="E20" s="79" t="n">
        <v>2</v>
      </c>
      <c r="F20" s="20" t="n">
        <v>2200</v>
      </c>
      <c r="G20" s="33" t="n">
        <f aca="false">E20*F20</f>
        <v>4400</v>
      </c>
      <c r="H20" s="19" t="n">
        <v>0.68</v>
      </c>
      <c r="I20" s="33" t="n">
        <f aca="false">G20*(1+H20)</f>
        <v>7392</v>
      </c>
    </row>
    <row r="21" customFormat="false" ht="15" hidden="false" customHeight="true" outlineLevel="0" collapsed="false">
      <c r="A21" s="32" t="n">
        <v>2026</v>
      </c>
      <c r="B21" s="32" t="n">
        <v>8</v>
      </c>
      <c r="C21" s="32" t="s">
        <v>167</v>
      </c>
      <c r="D21" s="32" t="s">
        <v>141</v>
      </c>
      <c r="E21" s="79" t="n">
        <v>2</v>
      </c>
      <c r="F21" s="20" t="n">
        <v>2200</v>
      </c>
      <c r="G21" s="33" t="n">
        <f aca="false">E21*F21</f>
        <v>4400</v>
      </c>
      <c r="H21" s="19" t="n">
        <v>0.68</v>
      </c>
      <c r="I21" s="33" t="n">
        <f aca="false">G21*(1+H21)</f>
        <v>7392</v>
      </c>
    </row>
    <row r="22" customFormat="false" ht="15" hidden="false" customHeight="true" outlineLevel="0" collapsed="false">
      <c r="A22" s="32" t="n">
        <v>2026</v>
      </c>
      <c r="B22" s="32" t="n">
        <v>9</v>
      </c>
      <c r="C22" s="32" t="s">
        <v>168</v>
      </c>
      <c r="D22" s="32" t="s">
        <v>141</v>
      </c>
      <c r="E22" s="79" t="n">
        <v>2</v>
      </c>
      <c r="F22" s="20" t="n">
        <v>2200</v>
      </c>
      <c r="G22" s="33" t="n">
        <f aca="false">E22*F22</f>
        <v>4400</v>
      </c>
      <c r="H22" s="19" t="n">
        <v>0.68</v>
      </c>
      <c r="I22" s="33" t="n">
        <f aca="false">G22*(1+H22)</f>
        <v>7392</v>
      </c>
    </row>
    <row r="23" customFormat="false" ht="15" hidden="false" customHeight="true" outlineLevel="0" collapsed="false">
      <c r="A23" s="32" t="n">
        <v>2026</v>
      </c>
      <c r="B23" s="32" t="n">
        <v>10</v>
      </c>
      <c r="C23" s="32" t="s">
        <v>169</v>
      </c>
      <c r="D23" s="32" t="s">
        <v>141</v>
      </c>
      <c r="E23" s="79" t="n">
        <v>2</v>
      </c>
      <c r="F23" s="20" t="n">
        <v>2200</v>
      </c>
      <c r="G23" s="33" t="n">
        <f aca="false">E23*F23</f>
        <v>4400</v>
      </c>
      <c r="H23" s="19" t="n">
        <v>0.68</v>
      </c>
      <c r="I23" s="33" t="n">
        <f aca="false">G23*(1+H23)</f>
        <v>7392</v>
      </c>
    </row>
    <row r="24" customFormat="false" ht="15" hidden="false" customHeight="true" outlineLevel="0" collapsed="false">
      <c r="A24" s="32" t="n">
        <v>2026</v>
      </c>
      <c r="B24" s="32" t="n">
        <v>11</v>
      </c>
      <c r="C24" s="32" t="s">
        <v>170</v>
      </c>
      <c r="D24" s="32" t="s">
        <v>141</v>
      </c>
      <c r="E24" s="79" t="n">
        <v>2</v>
      </c>
      <c r="F24" s="20" t="n">
        <v>2200</v>
      </c>
      <c r="G24" s="33" t="n">
        <f aca="false">E24*F24</f>
        <v>4400</v>
      </c>
      <c r="H24" s="19" t="n">
        <v>0.68</v>
      </c>
      <c r="I24" s="33" t="n">
        <f aca="false">G24*(1+H24)</f>
        <v>7392</v>
      </c>
    </row>
    <row r="25" customFormat="false" ht="15" hidden="false" customHeight="true" outlineLevel="0" collapsed="false">
      <c r="A25" s="32" t="n">
        <v>2026</v>
      </c>
      <c r="B25" s="32" t="n">
        <v>12</v>
      </c>
      <c r="C25" s="32" t="s">
        <v>171</v>
      </c>
      <c r="D25" s="32" t="s">
        <v>141</v>
      </c>
      <c r="E25" s="79" t="n">
        <v>2</v>
      </c>
      <c r="F25" s="20" t="n">
        <v>2200</v>
      </c>
      <c r="G25" s="33" t="n">
        <f aca="false">E25*F25</f>
        <v>4400</v>
      </c>
      <c r="H25" s="19" t="n">
        <v>0.68</v>
      </c>
      <c r="I25" s="33" t="n">
        <f aca="false">G25*(1+H25)</f>
        <v>7392</v>
      </c>
    </row>
    <row r="26" customFormat="false" ht="15" hidden="false" customHeight="true" outlineLevel="0" collapsed="false">
      <c r="A26" s="32" t="n">
        <v>2027</v>
      </c>
      <c r="B26" s="32" t="n">
        <v>1</v>
      </c>
      <c r="C26" s="32" t="s">
        <v>172</v>
      </c>
      <c r="D26" s="32" t="s">
        <v>141</v>
      </c>
      <c r="E26" s="79" t="n">
        <v>2</v>
      </c>
      <c r="F26" s="20" t="n">
        <v>2200</v>
      </c>
      <c r="G26" s="33" t="n">
        <f aca="false">E26*F26</f>
        <v>4400</v>
      </c>
      <c r="H26" s="19" t="n">
        <v>0.68</v>
      </c>
      <c r="I26" s="33" t="n">
        <f aca="false">G26*(1+H26)</f>
        <v>7392</v>
      </c>
    </row>
    <row r="27" customFormat="false" ht="15" hidden="false" customHeight="true" outlineLevel="0" collapsed="false">
      <c r="A27" s="32" t="n">
        <v>2027</v>
      </c>
      <c r="B27" s="32" t="n">
        <v>2</v>
      </c>
      <c r="C27" s="32" t="s">
        <v>173</v>
      </c>
      <c r="D27" s="32" t="s">
        <v>141</v>
      </c>
      <c r="E27" s="79" t="n">
        <v>2</v>
      </c>
      <c r="F27" s="20" t="n">
        <v>2200</v>
      </c>
      <c r="G27" s="33" t="n">
        <f aca="false">E27*F27</f>
        <v>4400</v>
      </c>
      <c r="H27" s="19" t="n">
        <v>0.68</v>
      </c>
      <c r="I27" s="33" t="n">
        <f aca="false">G27*(1+H27)</f>
        <v>7392</v>
      </c>
    </row>
    <row r="28" customFormat="false" ht="15" hidden="false" customHeight="true" outlineLevel="0" collapsed="false">
      <c r="A28" s="32" t="n">
        <v>2027</v>
      </c>
      <c r="B28" s="32" t="n">
        <v>3</v>
      </c>
      <c r="C28" s="32" t="s">
        <v>174</v>
      </c>
      <c r="D28" s="32" t="s">
        <v>141</v>
      </c>
      <c r="E28" s="79" t="n">
        <v>2</v>
      </c>
      <c r="F28" s="20" t="n">
        <v>2200</v>
      </c>
      <c r="G28" s="33" t="n">
        <f aca="false">E28*F28</f>
        <v>4400</v>
      </c>
      <c r="H28" s="19" t="n">
        <v>0.68</v>
      </c>
      <c r="I28" s="33" t="n">
        <f aca="false">G28*(1+H28)</f>
        <v>7392</v>
      </c>
    </row>
    <row r="29" customFormat="false" ht="15" hidden="false" customHeight="true" outlineLevel="0" collapsed="false">
      <c r="A29" s="32" t="n">
        <v>2027</v>
      </c>
      <c r="B29" s="32" t="n">
        <v>4</v>
      </c>
      <c r="C29" s="32" t="s">
        <v>175</v>
      </c>
      <c r="D29" s="32" t="s">
        <v>141</v>
      </c>
      <c r="E29" s="79" t="n">
        <v>2</v>
      </c>
      <c r="F29" s="20" t="n">
        <v>2200</v>
      </c>
      <c r="G29" s="33" t="n">
        <f aca="false">E29*F29</f>
        <v>4400</v>
      </c>
      <c r="H29" s="19" t="n">
        <v>0.68</v>
      </c>
      <c r="I29" s="33" t="n">
        <f aca="false">G29*(1+H29)</f>
        <v>7392</v>
      </c>
    </row>
    <row r="30" customFormat="false" ht="15" hidden="false" customHeight="true" outlineLevel="0" collapsed="false">
      <c r="A30" s="32" t="n">
        <v>2027</v>
      </c>
      <c r="B30" s="32" t="n">
        <v>5</v>
      </c>
      <c r="C30" s="32" t="s">
        <v>176</v>
      </c>
      <c r="D30" s="32" t="s">
        <v>141</v>
      </c>
      <c r="E30" s="79" t="n">
        <v>2</v>
      </c>
      <c r="F30" s="20" t="n">
        <v>2200</v>
      </c>
      <c r="G30" s="33" t="n">
        <f aca="false">E30*F30</f>
        <v>4400</v>
      </c>
      <c r="H30" s="19" t="n">
        <v>0.68</v>
      </c>
      <c r="I30" s="33" t="n">
        <f aca="false">G30*(1+H30)</f>
        <v>7392</v>
      </c>
    </row>
    <row r="31" customFormat="false" ht="15" hidden="false" customHeight="true" outlineLevel="0" collapsed="false">
      <c r="A31" s="32" t="n">
        <v>2027</v>
      </c>
      <c r="B31" s="32" t="n">
        <v>6</v>
      </c>
      <c r="C31" s="32" t="s">
        <v>177</v>
      </c>
      <c r="D31" s="32" t="s">
        <v>141</v>
      </c>
      <c r="E31" s="79" t="n">
        <v>2</v>
      </c>
      <c r="F31" s="20" t="n">
        <v>2200</v>
      </c>
      <c r="G31" s="33" t="n">
        <f aca="false">E31*F31</f>
        <v>4400</v>
      </c>
      <c r="H31" s="19" t="n">
        <v>0.68</v>
      </c>
      <c r="I31" s="33" t="n">
        <f aca="false">G31*(1+H31)</f>
        <v>7392</v>
      </c>
    </row>
    <row r="32" customFormat="false" ht="15" hidden="false" customHeight="true" outlineLevel="0" collapsed="false">
      <c r="A32" s="32" t="n">
        <v>2027</v>
      </c>
      <c r="B32" s="32" t="n">
        <v>7</v>
      </c>
      <c r="C32" s="32" t="s">
        <v>178</v>
      </c>
      <c r="D32" s="32" t="s">
        <v>141</v>
      </c>
      <c r="E32" s="79" t="n">
        <v>2</v>
      </c>
      <c r="F32" s="20" t="n">
        <v>2200</v>
      </c>
      <c r="G32" s="33" t="n">
        <f aca="false">E32*F32</f>
        <v>4400</v>
      </c>
      <c r="H32" s="19" t="n">
        <v>0.68</v>
      </c>
      <c r="I32" s="33" t="n">
        <f aca="false">G32*(1+H32)</f>
        <v>7392</v>
      </c>
    </row>
    <row r="33" customFormat="false" ht="15" hidden="false" customHeight="true" outlineLevel="0" collapsed="false">
      <c r="A33" s="32" t="n">
        <v>2027</v>
      </c>
      <c r="B33" s="32" t="n">
        <v>8</v>
      </c>
      <c r="C33" s="32" t="s">
        <v>179</v>
      </c>
      <c r="D33" s="32" t="s">
        <v>141</v>
      </c>
      <c r="E33" s="79" t="n">
        <v>2</v>
      </c>
      <c r="F33" s="20" t="n">
        <v>2200</v>
      </c>
      <c r="G33" s="33" t="n">
        <f aca="false">E33*F33</f>
        <v>4400</v>
      </c>
      <c r="H33" s="19" t="n">
        <v>0.68</v>
      </c>
      <c r="I33" s="33" t="n">
        <f aca="false">G33*(1+H33)</f>
        <v>7392</v>
      </c>
    </row>
    <row r="34" customFormat="false" ht="15" hidden="false" customHeight="true" outlineLevel="0" collapsed="false">
      <c r="A34" s="32" t="n">
        <v>2027</v>
      </c>
      <c r="B34" s="32" t="n">
        <v>9</v>
      </c>
      <c r="C34" s="32" t="s">
        <v>180</v>
      </c>
      <c r="D34" s="32" t="s">
        <v>141</v>
      </c>
      <c r="E34" s="79" t="n">
        <v>2</v>
      </c>
      <c r="F34" s="20" t="n">
        <v>2200</v>
      </c>
      <c r="G34" s="33" t="n">
        <f aca="false">E34*F34</f>
        <v>4400</v>
      </c>
      <c r="H34" s="19" t="n">
        <v>0.68</v>
      </c>
      <c r="I34" s="33" t="n">
        <f aca="false">G34*(1+H34)</f>
        <v>7392</v>
      </c>
    </row>
    <row r="35" customFormat="false" ht="15" hidden="false" customHeight="true" outlineLevel="0" collapsed="false">
      <c r="A35" s="32" t="n">
        <v>2027</v>
      </c>
      <c r="B35" s="32" t="n">
        <v>10</v>
      </c>
      <c r="C35" s="32" t="s">
        <v>181</v>
      </c>
      <c r="D35" s="32" t="s">
        <v>141</v>
      </c>
      <c r="E35" s="79" t="n">
        <v>2</v>
      </c>
      <c r="F35" s="20" t="n">
        <v>2200</v>
      </c>
      <c r="G35" s="33" t="n">
        <f aca="false">E35*F35</f>
        <v>4400</v>
      </c>
      <c r="H35" s="19" t="n">
        <v>0.68</v>
      </c>
      <c r="I35" s="33" t="n">
        <f aca="false">G35*(1+H35)</f>
        <v>7392</v>
      </c>
    </row>
    <row r="36" customFormat="false" ht="15" hidden="false" customHeight="true" outlineLevel="0" collapsed="false">
      <c r="A36" s="32" t="n">
        <v>2027</v>
      </c>
      <c r="B36" s="32" t="n">
        <v>11</v>
      </c>
      <c r="C36" s="32" t="s">
        <v>182</v>
      </c>
      <c r="D36" s="32" t="s">
        <v>141</v>
      </c>
      <c r="E36" s="79" t="n">
        <v>2</v>
      </c>
      <c r="F36" s="20" t="n">
        <v>2200</v>
      </c>
      <c r="G36" s="33" t="n">
        <f aca="false">E36*F36</f>
        <v>4400</v>
      </c>
      <c r="H36" s="19" t="n">
        <v>0.68</v>
      </c>
      <c r="I36" s="33" t="n">
        <f aca="false">G36*(1+H36)</f>
        <v>7392</v>
      </c>
    </row>
    <row r="37" customFormat="false" ht="15" hidden="false" customHeight="true" outlineLevel="0" collapsed="false">
      <c r="A37" s="32" t="n">
        <v>2027</v>
      </c>
      <c r="B37" s="32" t="n">
        <v>12</v>
      </c>
      <c r="C37" s="32" t="s">
        <v>183</v>
      </c>
      <c r="D37" s="32" t="s">
        <v>141</v>
      </c>
      <c r="E37" s="79" t="n">
        <v>2</v>
      </c>
      <c r="F37" s="20" t="n">
        <v>2200</v>
      </c>
      <c r="G37" s="33" t="n">
        <f aca="false">E37*F37</f>
        <v>4400</v>
      </c>
      <c r="H37" s="19" t="n">
        <v>0.68</v>
      </c>
      <c r="I37" s="33" t="n">
        <f aca="false">G37*(1+H37)</f>
        <v>7392</v>
      </c>
    </row>
    <row r="38" customFormat="false" ht="15" hidden="false" customHeight="true" outlineLevel="0" collapsed="false">
      <c r="A38" s="32" t="n">
        <v>2025</v>
      </c>
      <c r="B38" s="32" t="n">
        <v>1</v>
      </c>
      <c r="C38" s="32" t="s">
        <v>148</v>
      </c>
      <c r="D38" s="32" t="s">
        <v>142</v>
      </c>
      <c r="E38" s="79" t="n">
        <v>3</v>
      </c>
      <c r="F38" s="20" t="n">
        <v>1900</v>
      </c>
      <c r="G38" s="33" t="n">
        <f aca="false">E38*F38</f>
        <v>5700</v>
      </c>
      <c r="H38" s="19" t="n">
        <v>0.68</v>
      </c>
      <c r="I38" s="33" t="n">
        <f aca="false">G38*(1+H38)</f>
        <v>9576</v>
      </c>
    </row>
    <row r="39" customFormat="false" ht="15" hidden="false" customHeight="true" outlineLevel="0" collapsed="false">
      <c r="A39" s="32" t="n">
        <v>2025</v>
      </c>
      <c r="B39" s="32" t="n">
        <v>2</v>
      </c>
      <c r="C39" s="32" t="s">
        <v>149</v>
      </c>
      <c r="D39" s="32" t="s">
        <v>142</v>
      </c>
      <c r="E39" s="79" t="n">
        <v>3</v>
      </c>
      <c r="F39" s="20" t="n">
        <v>1900</v>
      </c>
      <c r="G39" s="33" t="n">
        <f aca="false">E39*F39</f>
        <v>5700</v>
      </c>
      <c r="H39" s="19" t="n">
        <v>0.68</v>
      </c>
      <c r="I39" s="33" t="n">
        <f aca="false">G39*(1+H39)</f>
        <v>9576</v>
      </c>
    </row>
    <row r="40" customFormat="false" ht="15" hidden="false" customHeight="true" outlineLevel="0" collapsed="false">
      <c r="A40" s="32" t="n">
        <v>2025</v>
      </c>
      <c r="B40" s="32" t="n">
        <v>3</v>
      </c>
      <c r="C40" s="32" t="s">
        <v>150</v>
      </c>
      <c r="D40" s="32" t="s">
        <v>142</v>
      </c>
      <c r="E40" s="79" t="n">
        <v>3</v>
      </c>
      <c r="F40" s="20" t="n">
        <v>1900</v>
      </c>
      <c r="G40" s="33" t="n">
        <f aca="false">E40*F40</f>
        <v>5700</v>
      </c>
      <c r="H40" s="19" t="n">
        <v>0.68</v>
      </c>
      <c r="I40" s="33" t="n">
        <f aca="false">G40*(1+H40)</f>
        <v>9576</v>
      </c>
    </row>
    <row r="41" customFormat="false" ht="15" hidden="false" customHeight="true" outlineLevel="0" collapsed="false">
      <c r="A41" s="32" t="n">
        <v>2025</v>
      </c>
      <c r="B41" s="32" t="n">
        <v>4</v>
      </c>
      <c r="C41" s="32" t="s">
        <v>151</v>
      </c>
      <c r="D41" s="32" t="s">
        <v>142</v>
      </c>
      <c r="E41" s="79" t="n">
        <v>3</v>
      </c>
      <c r="F41" s="20" t="n">
        <v>1900</v>
      </c>
      <c r="G41" s="33" t="n">
        <f aca="false">E41*F41</f>
        <v>5700</v>
      </c>
      <c r="H41" s="19" t="n">
        <v>0.68</v>
      </c>
      <c r="I41" s="33" t="n">
        <f aca="false">G41*(1+H41)</f>
        <v>9576</v>
      </c>
    </row>
    <row r="42" customFormat="false" ht="15" hidden="false" customHeight="true" outlineLevel="0" collapsed="false">
      <c r="A42" s="32" t="n">
        <v>2025</v>
      </c>
      <c r="B42" s="32" t="n">
        <v>5</v>
      </c>
      <c r="C42" s="32" t="s">
        <v>152</v>
      </c>
      <c r="D42" s="32" t="s">
        <v>142</v>
      </c>
      <c r="E42" s="79" t="n">
        <v>3</v>
      </c>
      <c r="F42" s="20" t="n">
        <v>1900</v>
      </c>
      <c r="G42" s="33" t="n">
        <f aca="false">E42*F42</f>
        <v>5700</v>
      </c>
      <c r="H42" s="19" t="n">
        <v>0.68</v>
      </c>
      <c r="I42" s="33" t="n">
        <f aca="false">G42*(1+H42)</f>
        <v>9576</v>
      </c>
    </row>
    <row r="43" customFormat="false" ht="15" hidden="false" customHeight="true" outlineLevel="0" collapsed="false">
      <c r="A43" s="32" t="n">
        <v>2025</v>
      </c>
      <c r="B43" s="32" t="n">
        <v>6</v>
      </c>
      <c r="C43" s="32" t="s">
        <v>153</v>
      </c>
      <c r="D43" s="32" t="s">
        <v>142</v>
      </c>
      <c r="E43" s="79" t="n">
        <v>3</v>
      </c>
      <c r="F43" s="20" t="n">
        <v>1900</v>
      </c>
      <c r="G43" s="33" t="n">
        <f aca="false">E43*F43</f>
        <v>5700</v>
      </c>
      <c r="H43" s="19" t="n">
        <v>0.68</v>
      </c>
      <c r="I43" s="33" t="n">
        <f aca="false">G43*(1+H43)</f>
        <v>9576</v>
      </c>
    </row>
    <row r="44" customFormat="false" ht="15" hidden="false" customHeight="true" outlineLevel="0" collapsed="false">
      <c r="A44" s="32" t="n">
        <v>2025</v>
      </c>
      <c r="B44" s="32" t="n">
        <v>7</v>
      </c>
      <c r="C44" s="32" t="s">
        <v>154</v>
      </c>
      <c r="D44" s="32" t="s">
        <v>142</v>
      </c>
      <c r="E44" s="79" t="n">
        <v>3</v>
      </c>
      <c r="F44" s="20" t="n">
        <v>1900</v>
      </c>
      <c r="G44" s="33" t="n">
        <f aca="false">E44*F44</f>
        <v>5700</v>
      </c>
      <c r="H44" s="19" t="n">
        <v>0.68</v>
      </c>
      <c r="I44" s="33" t="n">
        <f aca="false">G44*(1+H44)</f>
        <v>9576</v>
      </c>
    </row>
    <row r="45" customFormat="false" ht="15" hidden="false" customHeight="true" outlineLevel="0" collapsed="false">
      <c r="A45" s="32" t="n">
        <v>2025</v>
      </c>
      <c r="B45" s="32" t="n">
        <v>8</v>
      </c>
      <c r="C45" s="32" t="s">
        <v>155</v>
      </c>
      <c r="D45" s="32" t="s">
        <v>142</v>
      </c>
      <c r="E45" s="79" t="n">
        <v>3</v>
      </c>
      <c r="F45" s="20" t="n">
        <v>1900</v>
      </c>
      <c r="G45" s="33" t="n">
        <f aca="false">E45*F45</f>
        <v>5700</v>
      </c>
      <c r="H45" s="19" t="n">
        <v>0.68</v>
      </c>
      <c r="I45" s="33" t="n">
        <f aca="false">G45*(1+H45)</f>
        <v>9576</v>
      </c>
    </row>
    <row r="46" customFormat="false" ht="15" hidden="false" customHeight="true" outlineLevel="0" collapsed="false">
      <c r="A46" s="32" t="n">
        <v>2025</v>
      </c>
      <c r="B46" s="32" t="n">
        <v>9</v>
      </c>
      <c r="C46" s="32" t="s">
        <v>156</v>
      </c>
      <c r="D46" s="32" t="s">
        <v>142</v>
      </c>
      <c r="E46" s="79" t="n">
        <v>3</v>
      </c>
      <c r="F46" s="20" t="n">
        <v>1900</v>
      </c>
      <c r="G46" s="33" t="n">
        <f aca="false">E46*F46</f>
        <v>5700</v>
      </c>
      <c r="H46" s="19" t="n">
        <v>0.68</v>
      </c>
      <c r="I46" s="33" t="n">
        <f aca="false">G46*(1+H46)</f>
        <v>9576</v>
      </c>
    </row>
    <row r="47" customFormat="false" ht="15" hidden="false" customHeight="true" outlineLevel="0" collapsed="false">
      <c r="A47" s="32" t="n">
        <v>2025</v>
      </c>
      <c r="B47" s="32" t="n">
        <v>10</v>
      </c>
      <c r="C47" s="32" t="s">
        <v>157</v>
      </c>
      <c r="D47" s="32" t="s">
        <v>142</v>
      </c>
      <c r="E47" s="79" t="n">
        <v>3</v>
      </c>
      <c r="F47" s="20" t="n">
        <v>1900</v>
      </c>
      <c r="G47" s="33" t="n">
        <f aca="false">E47*F47</f>
        <v>5700</v>
      </c>
      <c r="H47" s="19" t="n">
        <v>0.68</v>
      </c>
      <c r="I47" s="33" t="n">
        <f aca="false">G47*(1+H47)</f>
        <v>9576</v>
      </c>
    </row>
    <row r="48" customFormat="false" ht="15" hidden="false" customHeight="true" outlineLevel="0" collapsed="false">
      <c r="A48" s="32" t="n">
        <v>2025</v>
      </c>
      <c r="B48" s="32" t="n">
        <v>11</v>
      </c>
      <c r="C48" s="32" t="s">
        <v>158</v>
      </c>
      <c r="D48" s="32" t="s">
        <v>142</v>
      </c>
      <c r="E48" s="79" t="n">
        <v>3</v>
      </c>
      <c r="F48" s="20" t="n">
        <v>1900</v>
      </c>
      <c r="G48" s="33" t="n">
        <f aca="false">E48*F48</f>
        <v>5700</v>
      </c>
      <c r="H48" s="19" t="n">
        <v>0.68</v>
      </c>
      <c r="I48" s="33" t="n">
        <f aca="false">G48*(1+H48)</f>
        <v>9576</v>
      </c>
    </row>
    <row r="49" customFormat="false" ht="15" hidden="false" customHeight="true" outlineLevel="0" collapsed="false">
      <c r="A49" s="32" t="n">
        <v>2025</v>
      </c>
      <c r="B49" s="32" t="n">
        <v>12</v>
      </c>
      <c r="C49" s="32" t="s">
        <v>159</v>
      </c>
      <c r="D49" s="32" t="s">
        <v>142</v>
      </c>
      <c r="E49" s="79" t="n">
        <v>3</v>
      </c>
      <c r="F49" s="20" t="n">
        <v>1900</v>
      </c>
      <c r="G49" s="33" t="n">
        <f aca="false">E49*F49</f>
        <v>5700</v>
      </c>
      <c r="H49" s="19" t="n">
        <v>0.68</v>
      </c>
      <c r="I49" s="33" t="n">
        <f aca="false">G49*(1+H49)</f>
        <v>9576</v>
      </c>
    </row>
    <row r="50" customFormat="false" ht="15" hidden="false" customHeight="true" outlineLevel="0" collapsed="false">
      <c r="A50" s="32" t="n">
        <v>2026</v>
      </c>
      <c r="B50" s="32" t="n">
        <v>1</v>
      </c>
      <c r="C50" s="32" t="s">
        <v>160</v>
      </c>
      <c r="D50" s="32" t="s">
        <v>142</v>
      </c>
      <c r="E50" s="79" t="n">
        <v>3</v>
      </c>
      <c r="F50" s="20" t="n">
        <v>1900</v>
      </c>
      <c r="G50" s="33" t="n">
        <f aca="false">E50*F50</f>
        <v>5700</v>
      </c>
      <c r="H50" s="19" t="n">
        <v>0.68</v>
      </c>
      <c r="I50" s="33" t="n">
        <f aca="false">G50*(1+H50)</f>
        <v>9576</v>
      </c>
    </row>
    <row r="51" customFormat="false" ht="15" hidden="false" customHeight="true" outlineLevel="0" collapsed="false">
      <c r="A51" s="32" t="n">
        <v>2026</v>
      </c>
      <c r="B51" s="32" t="n">
        <v>2</v>
      </c>
      <c r="C51" s="32" t="s">
        <v>161</v>
      </c>
      <c r="D51" s="32" t="s">
        <v>142</v>
      </c>
      <c r="E51" s="79" t="n">
        <v>3</v>
      </c>
      <c r="F51" s="20" t="n">
        <v>1900</v>
      </c>
      <c r="G51" s="33" t="n">
        <f aca="false">E51*F51</f>
        <v>5700</v>
      </c>
      <c r="H51" s="19" t="n">
        <v>0.68</v>
      </c>
      <c r="I51" s="33" t="n">
        <f aca="false">G51*(1+H51)</f>
        <v>9576</v>
      </c>
    </row>
    <row r="52" customFormat="false" ht="15" hidden="false" customHeight="true" outlineLevel="0" collapsed="false">
      <c r="A52" s="32" t="n">
        <v>2026</v>
      </c>
      <c r="B52" s="32" t="n">
        <v>3</v>
      </c>
      <c r="C52" s="32" t="s">
        <v>162</v>
      </c>
      <c r="D52" s="32" t="s">
        <v>142</v>
      </c>
      <c r="E52" s="79" t="n">
        <v>3</v>
      </c>
      <c r="F52" s="20" t="n">
        <v>1900</v>
      </c>
      <c r="G52" s="33" t="n">
        <f aca="false">E52*F52</f>
        <v>5700</v>
      </c>
      <c r="H52" s="19" t="n">
        <v>0.68</v>
      </c>
      <c r="I52" s="33" t="n">
        <f aca="false">G52*(1+H52)</f>
        <v>9576</v>
      </c>
    </row>
    <row r="53" customFormat="false" ht="15" hidden="false" customHeight="true" outlineLevel="0" collapsed="false">
      <c r="A53" s="32" t="n">
        <v>2026</v>
      </c>
      <c r="B53" s="32" t="n">
        <v>4</v>
      </c>
      <c r="C53" s="32" t="s">
        <v>163</v>
      </c>
      <c r="D53" s="32" t="s">
        <v>142</v>
      </c>
      <c r="E53" s="79" t="n">
        <v>3</v>
      </c>
      <c r="F53" s="20" t="n">
        <v>1900</v>
      </c>
      <c r="G53" s="33" t="n">
        <f aca="false">E53*F53</f>
        <v>5700</v>
      </c>
      <c r="H53" s="19" t="n">
        <v>0.68</v>
      </c>
      <c r="I53" s="33" t="n">
        <f aca="false">G53*(1+H53)</f>
        <v>9576</v>
      </c>
    </row>
    <row r="54" customFormat="false" ht="15" hidden="false" customHeight="true" outlineLevel="0" collapsed="false">
      <c r="A54" s="32" t="n">
        <v>2026</v>
      </c>
      <c r="B54" s="32" t="n">
        <v>5</v>
      </c>
      <c r="C54" s="32" t="s">
        <v>164</v>
      </c>
      <c r="D54" s="32" t="s">
        <v>142</v>
      </c>
      <c r="E54" s="79" t="n">
        <v>3</v>
      </c>
      <c r="F54" s="20" t="n">
        <v>1900</v>
      </c>
      <c r="G54" s="33" t="n">
        <f aca="false">E54*F54</f>
        <v>5700</v>
      </c>
      <c r="H54" s="19" t="n">
        <v>0.68</v>
      </c>
      <c r="I54" s="33" t="n">
        <f aca="false">G54*(1+H54)</f>
        <v>9576</v>
      </c>
    </row>
    <row r="55" customFormat="false" ht="15" hidden="false" customHeight="true" outlineLevel="0" collapsed="false">
      <c r="A55" s="32" t="n">
        <v>2026</v>
      </c>
      <c r="B55" s="32" t="n">
        <v>6</v>
      </c>
      <c r="C55" s="32" t="s">
        <v>165</v>
      </c>
      <c r="D55" s="32" t="s">
        <v>142</v>
      </c>
      <c r="E55" s="79" t="n">
        <v>3</v>
      </c>
      <c r="F55" s="20" t="n">
        <v>1900</v>
      </c>
      <c r="G55" s="33" t="n">
        <f aca="false">E55*F55</f>
        <v>5700</v>
      </c>
      <c r="H55" s="19" t="n">
        <v>0.68</v>
      </c>
      <c r="I55" s="33" t="n">
        <f aca="false">G55*(1+H55)</f>
        <v>9576</v>
      </c>
    </row>
    <row r="56" customFormat="false" ht="15" hidden="false" customHeight="true" outlineLevel="0" collapsed="false">
      <c r="A56" s="32" t="n">
        <v>2026</v>
      </c>
      <c r="B56" s="32" t="n">
        <v>7</v>
      </c>
      <c r="C56" s="32" t="s">
        <v>166</v>
      </c>
      <c r="D56" s="32" t="s">
        <v>142</v>
      </c>
      <c r="E56" s="79" t="n">
        <v>3</v>
      </c>
      <c r="F56" s="20" t="n">
        <v>1900</v>
      </c>
      <c r="G56" s="33" t="n">
        <f aca="false">E56*F56</f>
        <v>5700</v>
      </c>
      <c r="H56" s="19" t="n">
        <v>0.68</v>
      </c>
      <c r="I56" s="33" t="n">
        <f aca="false">G56*(1+H56)</f>
        <v>9576</v>
      </c>
    </row>
    <row r="57" customFormat="false" ht="15" hidden="false" customHeight="true" outlineLevel="0" collapsed="false">
      <c r="A57" s="32" t="n">
        <v>2026</v>
      </c>
      <c r="B57" s="32" t="n">
        <v>8</v>
      </c>
      <c r="C57" s="32" t="s">
        <v>167</v>
      </c>
      <c r="D57" s="32" t="s">
        <v>142</v>
      </c>
      <c r="E57" s="79" t="n">
        <v>3</v>
      </c>
      <c r="F57" s="20" t="n">
        <v>1900</v>
      </c>
      <c r="G57" s="33" t="n">
        <f aca="false">E57*F57</f>
        <v>5700</v>
      </c>
      <c r="H57" s="19" t="n">
        <v>0.68</v>
      </c>
      <c r="I57" s="33" t="n">
        <f aca="false">G57*(1+H57)</f>
        <v>9576</v>
      </c>
    </row>
    <row r="58" customFormat="false" ht="15" hidden="false" customHeight="true" outlineLevel="0" collapsed="false">
      <c r="A58" s="32" t="n">
        <v>2026</v>
      </c>
      <c r="B58" s="32" t="n">
        <v>9</v>
      </c>
      <c r="C58" s="32" t="s">
        <v>168</v>
      </c>
      <c r="D58" s="32" t="s">
        <v>142</v>
      </c>
      <c r="E58" s="79" t="n">
        <v>3</v>
      </c>
      <c r="F58" s="20" t="n">
        <v>1900</v>
      </c>
      <c r="G58" s="33" t="n">
        <f aca="false">E58*F58</f>
        <v>5700</v>
      </c>
      <c r="H58" s="19" t="n">
        <v>0.68</v>
      </c>
      <c r="I58" s="33" t="n">
        <f aca="false">G58*(1+H58)</f>
        <v>9576</v>
      </c>
    </row>
    <row r="59" customFormat="false" ht="15" hidden="false" customHeight="true" outlineLevel="0" collapsed="false">
      <c r="A59" s="32" t="n">
        <v>2026</v>
      </c>
      <c r="B59" s="32" t="n">
        <v>10</v>
      </c>
      <c r="C59" s="32" t="s">
        <v>169</v>
      </c>
      <c r="D59" s="32" t="s">
        <v>142</v>
      </c>
      <c r="E59" s="79" t="n">
        <v>3</v>
      </c>
      <c r="F59" s="20" t="n">
        <v>1900</v>
      </c>
      <c r="G59" s="33" t="n">
        <f aca="false">E59*F59</f>
        <v>5700</v>
      </c>
      <c r="H59" s="19" t="n">
        <v>0.68</v>
      </c>
      <c r="I59" s="33" t="n">
        <f aca="false">G59*(1+H59)</f>
        <v>9576</v>
      </c>
    </row>
    <row r="60" customFormat="false" ht="15" hidden="false" customHeight="true" outlineLevel="0" collapsed="false">
      <c r="A60" s="32" t="n">
        <v>2026</v>
      </c>
      <c r="B60" s="32" t="n">
        <v>11</v>
      </c>
      <c r="C60" s="32" t="s">
        <v>170</v>
      </c>
      <c r="D60" s="32" t="s">
        <v>142</v>
      </c>
      <c r="E60" s="79" t="n">
        <v>3</v>
      </c>
      <c r="F60" s="20" t="n">
        <v>1900</v>
      </c>
      <c r="G60" s="33" t="n">
        <f aca="false">E60*F60</f>
        <v>5700</v>
      </c>
      <c r="H60" s="19" t="n">
        <v>0.68</v>
      </c>
      <c r="I60" s="33" t="n">
        <f aca="false">G60*(1+H60)</f>
        <v>9576</v>
      </c>
    </row>
    <row r="61" customFormat="false" ht="15" hidden="false" customHeight="true" outlineLevel="0" collapsed="false">
      <c r="A61" s="32" t="n">
        <v>2026</v>
      </c>
      <c r="B61" s="32" t="n">
        <v>12</v>
      </c>
      <c r="C61" s="32" t="s">
        <v>171</v>
      </c>
      <c r="D61" s="32" t="s">
        <v>142</v>
      </c>
      <c r="E61" s="79" t="n">
        <v>3</v>
      </c>
      <c r="F61" s="20" t="n">
        <v>1900</v>
      </c>
      <c r="G61" s="33" t="n">
        <f aca="false">E61*F61</f>
        <v>5700</v>
      </c>
      <c r="H61" s="19" t="n">
        <v>0.68</v>
      </c>
      <c r="I61" s="33" t="n">
        <f aca="false">G61*(1+H61)</f>
        <v>9576</v>
      </c>
    </row>
    <row r="62" customFormat="false" ht="15" hidden="false" customHeight="true" outlineLevel="0" collapsed="false">
      <c r="A62" s="32" t="n">
        <v>2027</v>
      </c>
      <c r="B62" s="32" t="n">
        <v>1</v>
      </c>
      <c r="C62" s="32" t="s">
        <v>172</v>
      </c>
      <c r="D62" s="32" t="s">
        <v>142</v>
      </c>
      <c r="E62" s="79" t="n">
        <v>4</v>
      </c>
      <c r="F62" s="20" t="n">
        <v>1900</v>
      </c>
      <c r="G62" s="33" t="n">
        <f aca="false">E62*F62</f>
        <v>7600</v>
      </c>
      <c r="H62" s="19" t="n">
        <v>0.68</v>
      </c>
      <c r="I62" s="33" t="n">
        <f aca="false">G62*(1+H62)</f>
        <v>12768</v>
      </c>
    </row>
    <row r="63" customFormat="false" ht="15" hidden="false" customHeight="true" outlineLevel="0" collapsed="false">
      <c r="A63" s="32" t="n">
        <v>2027</v>
      </c>
      <c r="B63" s="32" t="n">
        <v>2</v>
      </c>
      <c r="C63" s="32" t="s">
        <v>173</v>
      </c>
      <c r="D63" s="32" t="s">
        <v>142</v>
      </c>
      <c r="E63" s="79" t="n">
        <v>4</v>
      </c>
      <c r="F63" s="20" t="n">
        <v>1900</v>
      </c>
      <c r="G63" s="33" t="n">
        <f aca="false">E63*F63</f>
        <v>7600</v>
      </c>
      <c r="H63" s="19" t="n">
        <v>0.68</v>
      </c>
      <c r="I63" s="33" t="n">
        <f aca="false">G63*(1+H63)</f>
        <v>12768</v>
      </c>
    </row>
    <row r="64" customFormat="false" ht="15" hidden="false" customHeight="true" outlineLevel="0" collapsed="false">
      <c r="A64" s="32" t="n">
        <v>2027</v>
      </c>
      <c r="B64" s="32" t="n">
        <v>3</v>
      </c>
      <c r="C64" s="32" t="s">
        <v>174</v>
      </c>
      <c r="D64" s="32" t="s">
        <v>142</v>
      </c>
      <c r="E64" s="79" t="n">
        <v>4</v>
      </c>
      <c r="F64" s="20" t="n">
        <v>1900</v>
      </c>
      <c r="G64" s="33" t="n">
        <f aca="false">E64*F64</f>
        <v>7600</v>
      </c>
      <c r="H64" s="19" t="n">
        <v>0.68</v>
      </c>
      <c r="I64" s="33" t="n">
        <f aca="false">G64*(1+H64)</f>
        <v>12768</v>
      </c>
    </row>
    <row r="65" customFormat="false" ht="15" hidden="false" customHeight="true" outlineLevel="0" collapsed="false">
      <c r="A65" s="32" t="n">
        <v>2027</v>
      </c>
      <c r="B65" s="32" t="n">
        <v>4</v>
      </c>
      <c r="C65" s="32" t="s">
        <v>175</v>
      </c>
      <c r="D65" s="32" t="s">
        <v>142</v>
      </c>
      <c r="E65" s="79" t="n">
        <v>4</v>
      </c>
      <c r="F65" s="20" t="n">
        <v>1900</v>
      </c>
      <c r="G65" s="33" t="n">
        <f aca="false">E65*F65</f>
        <v>7600</v>
      </c>
      <c r="H65" s="19" t="n">
        <v>0.68</v>
      </c>
      <c r="I65" s="33" t="n">
        <f aca="false">G65*(1+H65)</f>
        <v>12768</v>
      </c>
    </row>
    <row r="66" customFormat="false" ht="15" hidden="false" customHeight="true" outlineLevel="0" collapsed="false">
      <c r="A66" s="32" t="n">
        <v>2027</v>
      </c>
      <c r="B66" s="32" t="n">
        <v>5</v>
      </c>
      <c r="C66" s="32" t="s">
        <v>176</v>
      </c>
      <c r="D66" s="32" t="s">
        <v>142</v>
      </c>
      <c r="E66" s="79" t="n">
        <v>4</v>
      </c>
      <c r="F66" s="20" t="n">
        <v>1900</v>
      </c>
      <c r="G66" s="33" t="n">
        <f aca="false">E66*F66</f>
        <v>7600</v>
      </c>
      <c r="H66" s="19" t="n">
        <v>0.68</v>
      </c>
      <c r="I66" s="33" t="n">
        <f aca="false">G66*(1+H66)</f>
        <v>12768</v>
      </c>
    </row>
    <row r="67" customFormat="false" ht="15" hidden="false" customHeight="true" outlineLevel="0" collapsed="false">
      <c r="A67" s="32" t="n">
        <v>2027</v>
      </c>
      <c r="B67" s="32" t="n">
        <v>6</v>
      </c>
      <c r="C67" s="32" t="s">
        <v>177</v>
      </c>
      <c r="D67" s="32" t="s">
        <v>142</v>
      </c>
      <c r="E67" s="79" t="n">
        <v>4</v>
      </c>
      <c r="F67" s="20" t="n">
        <v>1900</v>
      </c>
      <c r="G67" s="33" t="n">
        <f aca="false">E67*F67</f>
        <v>7600</v>
      </c>
      <c r="H67" s="19" t="n">
        <v>0.68</v>
      </c>
      <c r="I67" s="33" t="n">
        <f aca="false">G67*(1+H67)</f>
        <v>12768</v>
      </c>
    </row>
    <row r="68" customFormat="false" ht="15" hidden="false" customHeight="true" outlineLevel="0" collapsed="false">
      <c r="A68" s="32" t="n">
        <v>2027</v>
      </c>
      <c r="B68" s="32" t="n">
        <v>7</v>
      </c>
      <c r="C68" s="32" t="s">
        <v>178</v>
      </c>
      <c r="D68" s="32" t="s">
        <v>142</v>
      </c>
      <c r="E68" s="79" t="n">
        <v>4</v>
      </c>
      <c r="F68" s="20" t="n">
        <v>1900</v>
      </c>
      <c r="G68" s="33" t="n">
        <f aca="false">E68*F68</f>
        <v>7600</v>
      </c>
      <c r="H68" s="19" t="n">
        <v>0.68</v>
      </c>
      <c r="I68" s="33" t="n">
        <f aca="false">G68*(1+H68)</f>
        <v>12768</v>
      </c>
    </row>
    <row r="69" customFormat="false" ht="15" hidden="false" customHeight="true" outlineLevel="0" collapsed="false">
      <c r="A69" s="32" t="n">
        <v>2027</v>
      </c>
      <c r="B69" s="32" t="n">
        <v>8</v>
      </c>
      <c r="C69" s="32" t="s">
        <v>179</v>
      </c>
      <c r="D69" s="32" t="s">
        <v>142</v>
      </c>
      <c r="E69" s="79" t="n">
        <v>4</v>
      </c>
      <c r="F69" s="20" t="n">
        <v>1900</v>
      </c>
      <c r="G69" s="33" t="n">
        <f aca="false">E69*F69</f>
        <v>7600</v>
      </c>
      <c r="H69" s="19" t="n">
        <v>0.68</v>
      </c>
      <c r="I69" s="33" t="n">
        <f aca="false">G69*(1+H69)</f>
        <v>12768</v>
      </c>
    </row>
    <row r="70" customFormat="false" ht="15" hidden="false" customHeight="true" outlineLevel="0" collapsed="false">
      <c r="A70" s="32" t="n">
        <v>2027</v>
      </c>
      <c r="B70" s="32" t="n">
        <v>9</v>
      </c>
      <c r="C70" s="32" t="s">
        <v>180</v>
      </c>
      <c r="D70" s="32" t="s">
        <v>142</v>
      </c>
      <c r="E70" s="79" t="n">
        <v>4</v>
      </c>
      <c r="F70" s="20" t="n">
        <v>1900</v>
      </c>
      <c r="G70" s="33" t="n">
        <f aca="false">E70*F70</f>
        <v>7600</v>
      </c>
      <c r="H70" s="19" t="n">
        <v>0.68</v>
      </c>
      <c r="I70" s="33" t="n">
        <f aca="false">G70*(1+H70)</f>
        <v>12768</v>
      </c>
    </row>
    <row r="71" customFormat="false" ht="15" hidden="false" customHeight="true" outlineLevel="0" collapsed="false">
      <c r="A71" s="32" t="n">
        <v>2027</v>
      </c>
      <c r="B71" s="32" t="n">
        <v>10</v>
      </c>
      <c r="C71" s="32" t="s">
        <v>181</v>
      </c>
      <c r="D71" s="32" t="s">
        <v>142</v>
      </c>
      <c r="E71" s="79" t="n">
        <v>4</v>
      </c>
      <c r="F71" s="20" t="n">
        <v>1900</v>
      </c>
      <c r="G71" s="33" t="n">
        <f aca="false">E71*F71</f>
        <v>7600</v>
      </c>
      <c r="H71" s="19" t="n">
        <v>0.68</v>
      </c>
      <c r="I71" s="33" t="n">
        <f aca="false">G71*(1+H71)</f>
        <v>12768</v>
      </c>
    </row>
    <row r="72" customFormat="false" ht="15" hidden="false" customHeight="true" outlineLevel="0" collapsed="false">
      <c r="A72" s="32" t="n">
        <v>2027</v>
      </c>
      <c r="B72" s="32" t="n">
        <v>11</v>
      </c>
      <c r="C72" s="32" t="s">
        <v>182</v>
      </c>
      <c r="D72" s="32" t="s">
        <v>142</v>
      </c>
      <c r="E72" s="79" t="n">
        <v>4</v>
      </c>
      <c r="F72" s="20" t="n">
        <v>1900</v>
      </c>
      <c r="G72" s="33" t="n">
        <f aca="false">E72*F72</f>
        <v>7600</v>
      </c>
      <c r="H72" s="19" t="n">
        <v>0.68</v>
      </c>
      <c r="I72" s="33" t="n">
        <f aca="false">G72*(1+H72)</f>
        <v>12768</v>
      </c>
    </row>
    <row r="73" customFormat="false" ht="15" hidden="false" customHeight="true" outlineLevel="0" collapsed="false">
      <c r="A73" s="32" t="n">
        <v>2027</v>
      </c>
      <c r="B73" s="32" t="n">
        <v>12</v>
      </c>
      <c r="C73" s="32" t="s">
        <v>183</v>
      </c>
      <c r="D73" s="32" t="s">
        <v>142</v>
      </c>
      <c r="E73" s="79" t="n">
        <v>4</v>
      </c>
      <c r="F73" s="20" t="n">
        <v>1900</v>
      </c>
      <c r="G73" s="33" t="n">
        <f aca="false">E73*F73</f>
        <v>7600</v>
      </c>
      <c r="H73" s="19" t="n">
        <v>0.68</v>
      </c>
      <c r="I73" s="33" t="n">
        <f aca="false">G73*(1+H73)</f>
        <v>12768</v>
      </c>
    </row>
    <row r="74" customFormat="false" ht="15" hidden="false" customHeight="true" outlineLevel="0" collapsed="false">
      <c r="A74" s="32" t="n">
        <v>2025</v>
      </c>
      <c r="B74" s="32" t="n">
        <v>1</v>
      </c>
      <c r="C74" s="32" t="s">
        <v>148</v>
      </c>
      <c r="D74" s="32" t="s">
        <v>143</v>
      </c>
      <c r="E74" s="79" t="n">
        <v>1</v>
      </c>
      <c r="F74" s="20" t="n">
        <v>2000</v>
      </c>
      <c r="G74" s="33" t="n">
        <f aca="false">E74*F74</f>
        <v>2000</v>
      </c>
      <c r="H74" s="19" t="n">
        <v>0.68</v>
      </c>
      <c r="I74" s="33" t="n">
        <f aca="false">G74*(1+H74)</f>
        <v>3360</v>
      </c>
    </row>
    <row r="75" customFormat="false" ht="15" hidden="false" customHeight="true" outlineLevel="0" collapsed="false">
      <c r="A75" s="32" t="n">
        <v>2025</v>
      </c>
      <c r="B75" s="32" t="n">
        <v>2</v>
      </c>
      <c r="C75" s="32" t="s">
        <v>149</v>
      </c>
      <c r="D75" s="32" t="s">
        <v>143</v>
      </c>
      <c r="E75" s="79" t="n">
        <v>1</v>
      </c>
      <c r="F75" s="20" t="n">
        <v>2000</v>
      </c>
      <c r="G75" s="33" t="n">
        <f aca="false">E75*F75</f>
        <v>2000</v>
      </c>
      <c r="H75" s="19" t="n">
        <v>0.68</v>
      </c>
      <c r="I75" s="33" t="n">
        <f aca="false">G75*(1+H75)</f>
        <v>3360</v>
      </c>
    </row>
    <row r="76" customFormat="false" ht="15" hidden="false" customHeight="true" outlineLevel="0" collapsed="false">
      <c r="A76" s="32" t="n">
        <v>2025</v>
      </c>
      <c r="B76" s="32" t="n">
        <v>3</v>
      </c>
      <c r="C76" s="32" t="s">
        <v>150</v>
      </c>
      <c r="D76" s="32" t="s">
        <v>143</v>
      </c>
      <c r="E76" s="79" t="n">
        <v>1</v>
      </c>
      <c r="F76" s="20" t="n">
        <v>2000</v>
      </c>
      <c r="G76" s="33" t="n">
        <f aca="false">E76*F76</f>
        <v>2000</v>
      </c>
      <c r="H76" s="19" t="n">
        <v>0.68</v>
      </c>
      <c r="I76" s="33" t="n">
        <f aca="false">G76*(1+H76)</f>
        <v>3360</v>
      </c>
    </row>
    <row r="77" customFormat="false" ht="15" hidden="false" customHeight="true" outlineLevel="0" collapsed="false">
      <c r="A77" s="32" t="n">
        <v>2025</v>
      </c>
      <c r="B77" s="32" t="n">
        <v>4</v>
      </c>
      <c r="C77" s="32" t="s">
        <v>151</v>
      </c>
      <c r="D77" s="32" t="s">
        <v>143</v>
      </c>
      <c r="E77" s="79" t="n">
        <v>1</v>
      </c>
      <c r="F77" s="20" t="n">
        <v>2000</v>
      </c>
      <c r="G77" s="33" t="n">
        <f aca="false">E77*F77</f>
        <v>2000</v>
      </c>
      <c r="H77" s="19" t="n">
        <v>0.68</v>
      </c>
      <c r="I77" s="33" t="n">
        <f aca="false">G77*(1+H77)</f>
        <v>3360</v>
      </c>
    </row>
    <row r="78" customFormat="false" ht="15" hidden="false" customHeight="true" outlineLevel="0" collapsed="false">
      <c r="A78" s="32" t="n">
        <v>2025</v>
      </c>
      <c r="B78" s="32" t="n">
        <v>5</v>
      </c>
      <c r="C78" s="32" t="s">
        <v>152</v>
      </c>
      <c r="D78" s="32" t="s">
        <v>143</v>
      </c>
      <c r="E78" s="79" t="n">
        <v>1</v>
      </c>
      <c r="F78" s="20" t="n">
        <v>2000</v>
      </c>
      <c r="G78" s="33" t="n">
        <f aca="false">E78*F78</f>
        <v>2000</v>
      </c>
      <c r="H78" s="19" t="n">
        <v>0.68</v>
      </c>
      <c r="I78" s="33" t="n">
        <f aca="false">G78*(1+H78)</f>
        <v>3360</v>
      </c>
    </row>
    <row r="79" customFormat="false" ht="15" hidden="false" customHeight="true" outlineLevel="0" collapsed="false">
      <c r="A79" s="32" t="n">
        <v>2025</v>
      </c>
      <c r="B79" s="32" t="n">
        <v>6</v>
      </c>
      <c r="C79" s="32" t="s">
        <v>153</v>
      </c>
      <c r="D79" s="32" t="s">
        <v>143</v>
      </c>
      <c r="E79" s="79" t="n">
        <v>1</v>
      </c>
      <c r="F79" s="20" t="n">
        <v>2000</v>
      </c>
      <c r="G79" s="33" t="n">
        <f aca="false">E79*F79</f>
        <v>2000</v>
      </c>
      <c r="H79" s="19" t="n">
        <v>0.68</v>
      </c>
      <c r="I79" s="33" t="n">
        <f aca="false">G79*(1+H79)</f>
        <v>3360</v>
      </c>
    </row>
    <row r="80" customFormat="false" ht="15" hidden="false" customHeight="true" outlineLevel="0" collapsed="false">
      <c r="A80" s="32" t="n">
        <v>2025</v>
      </c>
      <c r="B80" s="32" t="n">
        <v>7</v>
      </c>
      <c r="C80" s="32" t="s">
        <v>154</v>
      </c>
      <c r="D80" s="32" t="s">
        <v>143</v>
      </c>
      <c r="E80" s="79" t="n">
        <v>1</v>
      </c>
      <c r="F80" s="20" t="n">
        <v>2000</v>
      </c>
      <c r="G80" s="33" t="n">
        <f aca="false">E80*F80</f>
        <v>2000</v>
      </c>
      <c r="H80" s="19" t="n">
        <v>0.68</v>
      </c>
      <c r="I80" s="33" t="n">
        <f aca="false">G80*(1+H80)</f>
        <v>3360</v>
      </c>
    </row>
    <row r="81" customFormat="false" ht="15" hidden="false" customHeight="true" outlineLevel="0" collapsed="false">
      <c r="A81" s="32" t="n">
        <v>2025</v>
      </c>
      <c r="B81" s="32" t="n">
        <v>8</v>
      </c>
      <c r="C81" s="32" t="s">
        <v>155</v>
      </c>
      <c r="D81" s="32" t="s">
        <v>143</v>
      </c>
      <c r="E81" s="79" t="n">
        <v>1</v>
      </c>
      <c r="F81" s="20" t="n">
        <v>2000</v>
      </c>
      <c r="G81" s="33" t="n">
        <f aca="false">E81*F81</f>
        <v>2000</v>
      </c>
      <c r="H81" s="19" t="n">
        <v>0.68</v>
      </c>
      <c r="I81" s="33" t="n">
        <f aca="false">G81*(1+H81)</f>
        <v>3360</v>
      </c>
    </row>
    <row r="82" customFormat="false" ht="15" hidden="false" customHeight="true" outlineLevel="0" collapsed="false">
      <c r="A82" s="32" t="n">
        <v>2025</v>
      </c>
      <c r="B82" s="32" t="n">
        <v>9</v>
      </c>
      <c r="C82" s="32" t="s">
        <v>156</v>
      </c>
      <c r="D82" s="32" t="s">
        <v>143</v>
      </c>
      <c r="E82" s="79" t="n">
        <v>1</v>
      </c>
      <c r="F82" s="20" t="n">
        <v>2000</v>
      </c>
      <c r="G82" s="33" t="n">
        <f aca="false">E82*F82</f>
        <v>2000</v>
      </c>
      <c r="H82" s="19" t="n">
        <v>0.68</v>
      </c>
      <c r="I82" s="33" t="n">
        <f aca="false">G82*(1+H82)</f>
        <v>3360</v>
      </c>
    </row>
    <row r="83" customFormat="false" ht="15" hidden="false" customHeight="true" outlineLevel="0" collapsed="false">
      <c r="A83" s="32" t="n">
        <v>2025</v>
      </c>
      <c r="B83" s="32" t="n">
        <v>10</v>
      </c>
      <c r="C83" s="32" t="s">
        <v>157</v>
      </c>
      <c r="D83" s="32" t="s">
        <v>143</v>
      </c>
      <c r="E83" s="79" t="n">
        <v>1</v>
      </c>
      <c r="F83" s="20" t="n">
        <v>2000</v>
      </c>
      <c r="G83" s="33" t="n">
        <f aca="false">E83*F83</f>
        <v>2000</v>
      </c>
      <c r="H83" s="19" t="n">
        <v>0.68</v>
      </c>
      <c r="I83" s="33" t="n">
        <f aca="false">G83*(1+H83)</f>
        <v>3360</v>
      </c>
    </row>
    <row r="84" customFormat="false" ht="15" hidden="false" customHeight="true" outlineLevel="0" collapsed="false">
      <c r="A84" s="32" t="n">
        <v>2025</v>
      </c>
      <c r="B84" s="32" t="n">
        <v>11</v>
      </c>
      <c r="C84" s="32" t="s">
        <v>158</v>
      </c>
      <c r="D84" s="32" t="s">
        <v>143</v>
      </c>
      <c r="E84" s="79" t="n">
        <v>1</v>
      </c>
      <c r="F84" s="20" t="n">
        <v>2000</v>
      </c>
      <c r="G84" s="33" t="n">
        <f aca="false">E84*F84</f>
        <v>2000</v>
      </c>
      <c r="H84" s="19" t="n">
        <v>0.68</v>
      </c>
      <c r="I84" s="33" t="n">
        <f aca="false">G84*(1+H84)</f>
        <v>3360</v>
      </c>
    </row>
    <row r="85" customFormat="false" ht="15" hidden="false" customHeight="true" outlineLevel="0" collapsed="false">
      <c r="A85" s="32" t="n">
        <v>2025</v>
      </c>
      <c r="B85" s="32" t="n">
        <v>12</v>
      </c>
      <c r="C85" s="32" t="s">
        <v>159</v>
      </c>
      <c r="D85" s="32" t="s">
        <v>143</v>
      </c>
      <c r="E85" s="79" t="n">
        <v>1</v>
      </c>
      <c r="F85" s="20" t="n">
        <v>2000</v>
      </c>
      <c r="G85" s="33" t="n">
        <f aca="false">E85*F85</f>
        <v>2000</v>
      </c>
      <c r="H85" s="19" t="n">
        <v>0.68</v>
      </c>
      <c r="I85" s="33" t="n">
        <f aca="false">G85*(1+H85)</f>
        <v>3360</v>
      </c>
    </row>
    <row r="86" customFormat="false" ht="15" hidden="false" customHeight="true" outlineLevel="0" collapsed="false">
      <c r="A86" s="32" t="n">
        <v>2026</v>
      </c>
      <c r="B86" s="32" t="n">
        <v>1</v>
      </c>
      <c r="C86" s="32" t="s">
        <v>160</v>
      </c>
      <c r="D86" s="32" t="s">
        <v>143</v>
      </c>
      <c r="E86" s="79" t="n">
        <v>1</v>
      </c>
      <c r="F86" s="20" t="n">
        <v>2000</v>
      </c>
      <c r="G86" s="33" t="n">
        <f aca="false">E86*F86</f>
        <v>2000</v>
      </c>
      <c r="H86" s="19" t="n">
        <v>0.68</v>
      </c>
      <c r="I86" s="33" t="n">
        <f aca="false">G86*(1+H86)</f>
        <v>3360</v>
      </c>
    </row>
    <row r="87" customFormat="false" ht="15" hidden="false" customHeight="true" outlineLevel="0" collapsed="false">
      <c r="A87" s="32" t="n">
        <v>2026</v>
      </c>
      <c r="B87" s="32" t="n">
        <v>2</v>
      </c>
      <c r="C87" s="32" t="s">
        <v>161</v>
      </c>
      <c r="D87" s="32" t="s">
        <v>143</v>
      </c>
      <c r="E87" s="79" t="n">
        <v>1</v>
      </c>
      <c r="F87" s="20" t="n">
        <v>2000</v>
      </c>
      <c r="G87" s="33" t="n">
        <f aca="false">E87*F87</f>
        <v>2000</v>
      </c>
      <c r="H87" s="19" t="n">
        <v>0.68</v>
      </c>
      <c r="I87" s="33" t="n">
        <f aca="false">G87*(1+H87)</f>
        <v>3360</v>
      </c>
    </row>
    <row r="88" customFormat="false" ht="15" hidden="false" customHeight="true" outlineLevel="0" collapsed="false">
      <c r="A88" s="32" t="n">
        <v>2026</v>
      </c>
      <c r="B88" s="32" t="n">
        <v>3</v>
      </c>
      <c r="C88" s="32" t="s">
        <v>162</v>
      </c>
      <c r="D88" s="32" t="s">
        <v>143</v>
      </c>
      <c r="E88" s="79" t="n">
        <v>1</v>
      </c>
      <c r="F88" s="20" t="n">
        <v>2000</v>
      </c>
      <c r="G88" s="33" t="n">
        <f aca="false">E88*F88</f>
        <v>2000</v>
      </c>
      <c r="H88" s="19" t="n">
        <v>0.68</v>
      </c>
      <c r="I88" s="33" t="n">
        <f aca="false">G88*(1+H88)</f>
        <v>3360</v>
      </c>
    </row>
    <row r="89" customFormat="false" ht="15" hidden="false" customHeight="true" outlineLevel="0" collapsed="false">
      <c r="A89" s="32" t="n">
        <v>2026</v>
      </c>
      <c r="B89" s="32" t="n">
        <v>4</v>
      </c>
      <c r="C89" s="32" t="s">
        <v>163</v>
      </c>
      <c r="D89" s="32" t="s">
        <v>143</v>
      </c>
      <c r="E89" s="79" t="n">
        <v>1</v>
      </c>
      <c r="F89" s="20" t="n">
        <v>2000</v>
      </c>
      <c r="G89" s="33" t="n">
        <f aca="false">E89*F89</f>
        <v>2000</v>
      </c>
      <c r="H89" s="19" t="n">
        <v>0.68</v>
      </c>
      <c r="I89" s="33" t="n">
        <f aca="false">G89*(1+H89)</f>
        <v>3360</v>
      </c>
    </row>
    <row r="90" customFormat="false" ht="15" hidden="false" customHeight="true" outlineLevel="0" collapsed="false">
      <c r="A90" s="32" t="n">
        <v>2026</v>
      </c>
      <c r="B90" s="32" t="n">
        <v>5</v>
      </c>
      <c r="C90" s="32" t="s">
        <v>164</v>
      </c>
      <c r="D90" s="32" t="s">
        <v>143</v>
      </c>
      <c r="E90" s="79" t="n">
        <v>1</v>
      </c>
      <c r="F90" s="20" t="n">
        <v>2000</v>
      </c>
      <c r="G90" s="33" t="n">
        <f aca="false">E90*F90</f>
        <v>2000</v>
      </c>
      <c r="H90" s="19" t="n">
        <v>0.68</v>
      </c>
      <c r="I90" s="33" t="n">
        <f aca="false">G90*(1+H90)</f>
        <v>3360</v>
      </c>
    </row>
    <row r="91" customFormat="false" ht="15" hidden="false" customHeight="true" outlineLevel="0" collapsed="false">
      <c r="A91" s="32" t="n">
        <v>2026</v>
      </c>
      <c r="B91" s="32" t="n">
        <v>6</v>
      </c>
      <c r="C91" s="32" t="s">
        <v>165</v>
      </c>
      <c r="D91" s="32" t="s">
        <v>143</v>
      </c>
      <c r="E91" s="79" t="n">
        <v>1</v>
      </c>
      <c r="F91" s="20" t="n">
        <v>2000</v>
      </c>
      <c r="G91" s="33" t="n">
        <f aca="false">E91*F91</f>
        <v>2000</v>
      </c>
      <c r="H91" s="19" t="n">
        <v>0.68</v>
      </c>
      <c r="I91" s="33" t="n">
        <f aca="false">G91*(1+H91)</f>
        <v>3360</v>
      </c>
    </row>
    <row r="92" customFormat="false" ht="15" hidden="false" customHeight="true" outlineLevel="0" collapsed="false">
      <c r="A92" s="32" t="n">
        <v>2026</v>
      </c>
      <c r="B92" s="32" t="n">
        <v>7</v>
      </c>
      <c r="C92" s="32" t="s">
        <v>166</v>
      </c>
      <c r="D92" s="32" t="s">
        <v>143</v>
      </c>
      <c r="E92" s="79" t="n">
        <v>1</v>
      </c>
      <c r="F92" s="20" t="n">
        <v>2000</v>
      </c>
      <c r="G92" s="33" t="n">
        <f aca="false">E92*F92</f>
        <v>2000</v>
      </c>
      <c r="H92" s="19" t="n">
        <v>0.68</v>
      </c>
      <c r="I92" s="33" t="n">
        <f aca="false">G92*(1+H92)</f>
        <v>3360</v>
      </c>
    </row>
    <row r="93" customFormat="false" ht="15" hidden="false" customHeight="true" outlineLevel="0" collapsed="false">
      <c r="A93" s="32" t="n">
        <v>2026</v>
      </c>
      <c r="B93" s="32" t="n">
        <v>8</v>
      </c>
      <c r="C93" s="32" t="s">
        <v>167</v>
      </c>
      <c r="D93" s="32" t="s">
        <v>143</v>
      </c>
      <c r="E93" s="79" t="n">
        <v>1</v>
      </c>
      <c r="F93" s="20" t="n">
        <v>2000</v>
      </c>
      <c r="G93" s="33" t="n">
        <f aca="false">E93*F93</f>
        <v>2000</v>
      </c>
      <c r="H93" s="19" t="n">
        <v>0.68</v>
      </c>
      <c r="I93" s="33" t="n">
        <f aca="false">G93*(1+H93)</f>
        <v>3360</v>
      </c>
    </row>
    <row r="94" customFormat="false" ht="15" hidden="false" customHeight="true" outlineLevel="0" collapsed="false">
      <c r="A94" s="32" t="n">
        <v>2026</v>
      </c>
      <c r="B94" s="32" t="n">
        <v>9</v>
      </c>
      <c r="C94" s="32" t="s">
        <v>168</v>
      </c>
      <c r="D94" s="32" t="s">
        <v>143</v>
      </c>
      <c r="E94" s="79" t="n">
        <v>1</v>
      </c>
      <c r="F94" s="20" t="n">
        <v>2000</v>
      </c>
      <c r="G94" s="33" t="n">
        <f aca="false">E94*F94</f>
        <v>2000</v>
      </c>
      <c r="H94" s="19" t="n">
        <v>0.68</v>
      </c>
      <c r="I94" s="33" t="n">
        <f aca="false">G94*(1+H94)</f>
        <v>3360</v>
      </c>
    </row>
    <row r="95" customFormat="false" ht="15" hidden="false" customHeight="true" outlineLevel="0" collapsed="false">
      <c r="A95" s="32" t="n">
        <v>2026</v>
      </c>
      <c r="B95" s="32" t="n">
        <v>10</v>
      </c>
      <c r="C95" s="32" t="s">
        <v>169</v>
      </c>
      <c r="D95" s="32" t="s">
        <v>143</v>
      </c>
      <c r="E95" s="79" t="n">
        <v>1</v>
      </c>
      <c r="F95" s="20" t="n">
        <v>2000</v>
      </c>
      <c r="G95" s="33" t="n">
        <f aca="false">E95*F95</f>
        <v>2000</v>
      </c>
      <c r="H95" s="19" t="n">
        <v>0.68</v>
      </c>
      <c r="I95" s="33" t="n">
        <f aca="false">G95*(1+H95)</f>
        <v>3360</v>
      </c>
    </row>
    <row r="96" customFormat="false" ht="15" hidden="false" customHeight="true" outlineLevel="0" collapsed="false">
      <c r="A96" s="32" t="n">
        <v>2026</v>
      </c>
      <c r="B96" s="32" t="n">
        <v>11</v>
      </c>
      <c r="C96" s="32" t="s">
        <v>170</v>
      </c>
      <c r="D96" s="32" t="s">
        <v>143</v>
      </c>
      <c r="E96" s="79" t="n">
        <v>1</v>
      </c>
      <c r="F96" s="20" t="n">
        <v>2000</v>
      </c>
      <c r="G96" s="33" t="n">
        <f aca="false">E96*F96</f>
        <v>2000</v>
      </c>
      <c r="H96" s="19" t="n">
        <v>0.68</v>
      </c>
      <c r="I96" s="33" t="n">
        <f aca="false">G96*(1+H96)</f>
        <v>3360</v>
      </c>
    </row>
    <row r="97" customFormat="false" ht="15" hidden="false" customHeight="true" outlineLevel="0" collapsed="false">
      <c r="A97" s="32" t="n">
        <v>2026</v>
      </c>
      <c r="B97" s="32" t="n">
        <v>12</v>
      </c>
      <c r="C97" s="32" t="s">
        <v>171</v>
      </c>
      <c r="D97" s="32" t="s">
        <v>143</v>
      </c>
      <c r="E97" s="79" t="n">
        <v>1</v>
      </c>
      <c r="F97" s="20" t="n">
        <v>2000</v>
      </c>
      <c r="G97" s="33" t="n">
        <f aca="false">E97*F97</f>
        <v>2000</v>
      </c>
      <c r="H97" s="19" t="n">
        <v>0.68</v>
      </c>
      <c r="I97" s="33" t="n">
        <f aca="false">G97*(1+H97)</f>
        <v>3360</v>
      </c>
    </row>
    <row r="98" customFormat="false" ht="15" hidden="false" customHeight="true" outlineLevel="0" collapsed="false">
      <c r="A98" s="32" t="n">
        <v>2027</v>
      </c>
      <c r="B98" s="32" t="n">
        <v>1</v>
      </c>
      <c r="C98" s="32" t="s">
        <v>172</v>
      </c>
      <c r="D98" s="32" t="s">
        <v>143</v>
      </c>
      <c r="E98" s="79" t="n">
        <v>1</v>
      </c>
      <c r="F98" s="20" t="n">
        <v>2000</v>
      </c>
      <c r="G98" s="33" t="n">
        <f aca="false">E98*F98</f>
        <v>2000</v>
      </c>
      <c r="H98" s="19" t="n">
        <v>0.68</v>
      </c>
      <c r="I98" s="33" t="n">
        <f aca="false">G98*(1+H98)</f>
        <v>3360</v>
      </c>
    </row>
    <row r="99" customFormat="false" ht="15" hidden="false" customHeight="true" outlineLevel="0" collapsed="false">
      <c r="A99" s="32" t="n">
        <v>2027</v>
      </c>
      <c r="B99" s="32" t="n">
        <v>2</v>
      </c>
      <c r="C99" s="32" t="s">
        <v>173</v>
      </c>
      <c r="D99" s="32" t="s">
        <v>143</v>
      </c>
      <c r="E99" s="79" t="n">
        <v>1</v>
      </c>
      <c r="F99" s="20" t="n">
        <v>2000</v>
      </c>
      <c r="G99" s="33" t="n">
        <f aca="false">E99*F99</f>
        <v>2000</v>
      </c>
      <c r="H99" s="19" t="n">
        <v>0.68</v>
      </c>
      <c r="I99" s="33" t="n">
        <f aca="false">G99*(1+H99)</f>
        <v>3360</v>
      </c>
    </row>
    <row r="100" customFormat="false" ht="15" hidden="false" customHeight="true" outlineLevel="0" collapsed="false">
      <c r="A100" s="32" t="n">
        <v>2027</v>
      </c>
      <c r="B100" s="32" t="n">
        <v>3</v>
      </c>
      <c r="C100" s="32" t="s">
        <v>174</v>
      </c>
      <c r="D100" s="32" t="s">
        <v>143</v>
      </c>
      <c r="E100" s="79" t="n">
        <v>1</v>
      </c>
      <c r="F100" s="20" t="n">
        <v>2000</v>
      </c>
      <c r="G100" s="33" t="n">
        <f aca="false">E100*F100</f>
        <v>2000</v>
      </c>
      <c r="H100" s="19" t="n">
        <v>0.68</v>
      </c>
      <c r="I100" s="33" t="n">
        <f aca="false">G100*(1+H100)</f>
        <v>3360</v>
      </c>
    </row>
    <row r="101" customFormat="false" ht="15" hidden="false" customHeight="true" outlineLevel="0" collapsed="false">
      <c r="A101" s="32" t="n">
        <v>2027</v>
      </c>
      <c r="B101" s="32" t="n">
        <v>4</v>
      </c>
      <c r="C101" s="32" t="s">
        <v>175</v>
      </c>
      <c r="D101" s="32" t="s">
        <v>143</v>
      </c>
      <c r="E101" s="79" t="n">
        <v>1</v>
      </c>
      <c r="F101" s="20" t="n">
        <v>2000</v>
      </c>
      <c r="G101" s="33" t="n">
        <f aca="false">E101*F101</f>
        <v>2000</v>
      </c>
      <c r="H101" s="19" t="n">
        <v>0.68</v>
      </c>
      <c r="I101" s="33" t="n">
        <f aca="false">G101*(1+H101)</f>
        <v>3360</v>
      </c>
    </row>
    <row r="102" customFormat="false" ht="15" hidden="false" customHeight="true" outlineLevel="0" collapsed="false">
      <c r="A102" s="32" t="n">
        <v>2027</v>
      </c>
      <c r="B102" s="32" t="n">
        <v>5</v>
      </c>
      <c r="C102" s="32" t="s">
        <v>176</v>
      </c>
      <c r="D102" s="32" t="s">
        <v>143</v>
      </c>
      <c r="E102" s="79" t="n">
        <v>1</v>
      </c>
      <c r="F102" s="20" t="n">
        <v>2000</v>
      </c>
      <c r="G102" s="33" t="n">
        <f aca="false">E102*F102</f>
        <v>2000</v>
      </c>
      <c r="H102" s="19" t="n">
        <v>0.68</v>
      </c>
      <c r="I102" s="33" t="n">
        <f aca="false">G102*(1+H102)</f>
        <v>3360</v>
      </c>
    </row>
    <row r="103" customFormat="false" ht="15" hidden="false" customHeight="true" outlineLevel="0" collapsed="false">
      <c r="A103" s="32" t="n">
        <v>2027</v>
      </c>
      <c r="B103" s="32" t="n">
        <v>6</v>
      </c>
      <c r="C103" s="32" t="s">
        <v>177</v>
      </c>
      <c r="D103" s="32" t="s">
        <v>143</v>
      </c>
      <c r="E103" s="79" t="n">
        <v>1</v>
      </c>
      <c r="F103" s="20" t="n">
        <v>2000</v>
      </c>
      <c r="G103" s="33" t="n">
        <f aca="false">E103*F103</f>
        <v>2000</v>
      </c>
      <c r="H103" s="19" t="n">
        <v>0.68</v>
      </c>
      <c r="I103" s="33" t="n">
        <f aca="false">G103*(1+H103)</f>
        <v>3360</v>
      </c>
    </row>
    <row r="104" customFormat="false" ht="15" hidden="false" customHeight="true" outlineLevel="0" collapsed="false">
      <c r="A104" s="32" t="n">
        <v>2027</v>
      </c>
      <c r="B104" s="32" t="n">
        <v>7</v>
      </c>
      <c r="C104" s="32" t="s">
        <v>178</v>
      </c>
      <c r="D104" s="32" t="s">
        <v>143</v>
      </c>
      <c r="E104" s="79" t="n">
        <v>1</v>
      </c>
      <c r="F104" s="20" t="n">
        <v>2000</v>
      </c>
      <c r="G104" s="33" t="n">
        <f aca="false">E104*F104</f>
        <v>2000</v>
      </c>
      <c r="H104" s="19" t="n">
        <v>0.68</v>
      </c>
      <c r="I104" s="33" t="n">
        <f aca="false">G104*(1+H104)</f>
        <v>3360</v>
      </c>
    </row>
    <row r="105" customFormat="false" ht="15" hidden="false" customHeight="true" outlineLevel="0" collapsed="false">
      <c r="A105" s="32" t="n">
        <v>2027</v>
      </c>
      <c r="B105" s="32" t="n">
        <v>8</v>
      </c>
      <c r="C105" s="32" t="s">
        <v>179</v>
      </c>
      <c r="D105" s="32" t="s">
        <v>143</v>
      </c>
      <c r="E105" s="79" t="n">
        <v>1</v>
      </c>
      <c r="F105" s="20" t="n">
        <v>2000</v>
      </c>
      <c r="G105" s="33" t="n">
        <f aca="false">E105*F105</f>
        <v>2000</v>
      </c>
      <c r="H105" s="19" t="n">
        <v>0.68</v>
      </c>
      <c r="I105" s="33" t="n">
        <f aca="false">G105*(1+H105)</f>
        <v>3360</v>
      </c>
    </row>
    <row r="106" customFormat="false" ht="15" hidden="false" customHeight="true" outlineLevel="0" collapsed="false">
      <c r="A106" s="32" t="n">
        <v>2027</v>
      </c>
      <c r="B106" s="32" t="n">
        <v>9</v>
      </c>
      <c r="C106" s="32" t="s">
        <v>180</v>
      </c>
      <c r="D106" s="32" t="s">
        <v>143</v>
      </c>
      <c r="E106" s="79" t="n">
        <v>1</v>
      </c>
      <c r="F106" s="20" t="n">
        <v>2000</v>
      </c>
      <c r="G106" s="33" t="n">
        <f aca="false">E106*F106</f>
        <v>2000</v>
      </c>
      <c r="H106" s="19" t="n">
        <v>0.68</v>
      </c>
      <c r="I106" s="33" t="n">
        <f aca="false">G106*(1+H106)</f>
        <v>3360</v>
      </c>
    </row>
    <row r="107" customFormat="false" ht="15" hidden="false" customHeight="true" outlineLevel="0" collapsed="false">
      <c r="A107" s="32" t="n">
        <v>2027</v>
      </c>
      <c r="B107" s="32" t="n">
        <v>10</v>
      </c>
      <c r="C107" s="32" t="s">
        <v>181</v>
      </c>
      <c r="D107" s="32" t="s">
        <v>143</v>
      </c>
      <c r="E107" s="79" t="n">
        <v>1</v>
      </c>
      <c r="F107" s="20" t="n">
        <v>2000</v>
      </c>
      <c r="G107" s="33" t="n">
        <f aca="false">E107*F107</f>
        <v>2000</v>
      </c>
      <c r="H107" s="19" t="n">
        <v>0.68</v>
      </c>
      <c r="I107" s="33" t="n">
        <f aca="false">G107*(1+H107)</f>
        <v>3360</v>
      </c>
    </row>
    <row r="108" customFormat="false" ht="15" hidden="false" customHeight="true" outlineLevel="0" collapsed="false">
      <c r="A108" s="32" t="n">
        <v>2027</v>
      </c>
      <c r="B108" s="32" t="n">
        <v>11</v>
      </c>
      <c r="C108" s="32" t="s">
        <v>182</v>
      </c>
      <c r="D108" s="32" t="s">
        <v>143</v>
      </c>
      <c r="E108" s="79" t="n">
        <v>1</v>
      </c>
      <c r="F108" s="20" t="n">
        <v>2000</v>
      </c>
      <c r="G108" s="33" t="n">
        <f aca="false">E108*F108</f>
        <v>2000</v>
      </c>
      <c r="H108" s="19" t="n">
        <v>0.68</v>
      </c>
      <c r="I108" s="33" t="n">
        <f aca="false">G108*(1+H108)</f>
        <v>3360</v>
      </c>
    </row>
    <row r="109" customFormat="false" ht="15" hidden="false" customHeight="true" outlineLevel="0" collapsed="false">
      <c r="A109" s="32" t="n">
        <v>2027</v>
      </c>
      <c r="B109" s="32" t="n">
        <v>12</v>
      </c>
      <c r="C109" s="32" t="s">
        <v>183</v>
      </c>
      <c r="D109" s="32" t="s">
        <v>143</v>
      </c>
      <c r="E109" s="79" t="n">
        <v>1</v>
      </c>
      <c r="F109" s="20" t="n">
        <v>2000</v>
      </c>
      <c r="G109" s="33" t="n">
        <f aca="false">E109*F109</f>
        <v>2000</v>
      </c>
      <c r="H109" s="19" t="n">
        <v>0.68</v>
      </c>
      <c r="I109" s="33" t="n">
        <f aca="false">G109*(1+H109)</f>
        <v>3360</v>
      </c>
    </row>
    <row r="110" customFormat="false" ht="15" hidden="false" customHeight="true" outlineLevel="0" collapsed="false">
      <c r="A110" s="32" t="n">
        <v>2025</v>
      </c>
      <c r="B110" s="32" t="n">
        <v>1</v>
      </c>
      <c r="C110" s="32" t="s">
        <v>148</v>
      </c>
      <c r="D110" s="32" t="s">
        <v>144</v>
      </c>
      <c r="E110" s="79" t="n">
        <v>2</v>
      </c>
      <c r="F110" s="20" t="n">
        <v>2600</v>
      </c>
      <c r="G110" s="33" t="n">
        <f aca="false">E110*F110</f>
        <v>5200</v>
      </c>
      <c r="H110" s="19" t="n">
        <v>0.68</v>
      </c>
      <c r="I110" s="33" t="n">
        <f aca="false">G110*(1+H110)</f>
        <v>8736</v>
      </c>
    </row>
    <row r="111" customFormat="false" ht="15" hidden="false" customHeight="true" outlineLevel="0" collapsed="false">
      <c r="A111" s="32" t="n">
        <v>2025</v>
      </c>
      <c r="B111" s="32" t="n">
        <v>2</v>
      </c>
      <c r="C111" s="32" t="s">
        <v>149</v>
      </c>
      <c r="D111" s="32" t="s">
        <v>144</v>
      </c>
      <c r="E111" s="79" t="n">
        <v>2</v>
      </c>
      <c r="F111" s="20" t="n">
        <v>2600</v>
      </c>
      <c r="G111" s="33" t="n">
        <f aca="false">E111*F111</f>
        <v>5200</v>
      </c>
      <c r="H111" s="19" t="n">
        <v>0.68</v>
      </c>
      <c r="I111" s="33" t="n">
        <f aca="false">G111*(1+H111)</f>
        <v>8736</v>
      </c>
    </row>
    <row r="112" customFormat="false" ht="15" hidden="false" customHeight="true" outlineLevel="0" collapsed="false">
      <c r="A112" s="32" t="n">
        <v>2025</v>
      </c>
      <c r="B112" s="32" t="n">
        <v>3</v>
      </c>
      <c r="C112" s="32" t="s">
        <v>150</v>
      </c>
      <c r="D112" s="32" t="s">
        <v>144</v>
      </c>
      <c r="E112" s="79" t="n">
        <v>2</v>
      </c>
      <c r="F112" s="20" t="n">
        <v>2600</v>
      </c>
      <c r="G112" s="33" t="n">
        <f aca="false">E112*F112</f>
        <v>5200</v>
      </c>
      <c r="H112" s="19" t="n">
        <v>0.68</v>
      </c>
      <c r="I112" s="33" t="n">
        <f aca="false">G112*(1+H112)</f>
        <v>8736</v>
      </c>
    </row>
    <row r="113" customFormat="false" ht="15" hidden="false" customHeight="true" outlineLevel="0" collapsed="false">
      <c r="A113" s="32" t="n">
        <v>2025</v>
      </c>
      <c r="B113" s="32" t="n">
        <v>4</v>
      </c>
      <c r="C113" s="32" t="s">
        <v>151</v>
      </c>
      <c r="D113" s="32" t="s">
        <v>144</v>
      </c>
      <c r="E113" s="79" t="n">
        <v>2</v>
      </c>
      <c r="F113" s="20" t="n">
        <v>2600</v>
      </c>
      <c r="G113" s="33" t="n">
        <f aca="false">E113*F113</f>
        <v>5200</v>
      </c>
      <c r="H113" s="19" t="n">
        <v>0.68</v>
      </c>
      <c r="I113" s="33" t="n">
        <f aca="false">G113*(1+H113)</f>
        <v>8736</v>
      </c>
    </row>
    <row r="114" customFormat="false" ht="15" hidden="false" customHeight="true" outlineLevel="0" collapsed="false">
      <c r="A114" s="32" t="n">
        <v>2025</v>
      </c>
      <c r="B114" s="32" t="n">
        <v>5</v>
      </c>
      <c r="C114" s="32" t="s">
        <v>152</v>
      </c>
      <c r="D114" s="32" t="s">
        <v>144</v>
      </c>
      <c r="E114" s="79" t="n">
        <v>2</v>
      </c>
      <c r="F114" s="20" t="n">
        <v>2600</v>
      </c>
      <c r="G114" s="33" t="n">
        <f aca="false">E114*F114</f>
        <v>5200</v>
      </c>
      <c r="H114" s="19" t="n">
        <v>0.68</v>
      </c>
      <c r="I114" s="33" t="n">
        <f aca="false">G114*(1+H114)</f>
        <v>8736</v>
      </c>
    </row>
    <row r="115" customFormat="false" ht="15" hidden="false" customHeight="true" outlineLevel="0" collapsed="false">
      <c r="A115" s="32" t="n">
        <v>2025</v>
      </c>
      <c r="B115" s="32" t="n">
        <v>6</v>
      </c>
      <c r="C115" s="32" t="s">
        <v>153</v>
      </c>
      <c r="D115" s="32" t="s">
        <v>144</v>
      </c>
      <c r="E115" s="79" t="n">
        <v>2</v>
      </c>
      <c r="F115" s="20" t="n">
        <v>2600</v>
      </c>
      <c r="G115" s="33" t="n">
        <f aca="false">E115*F115</f>
        <v>5200</v>
      </c>
      <c r="H115" s="19" t="n">
        <v>0.68</v>
      </c>
      <c r="I115" s="33" t="n">
        <f aca="false">G115*(1+H115)</f>
        <v>8736</v>
      </c>
    </row>
    <row r="116" customFormat="false" ht="15" hidden="false" customHeight="true" outlineLevel="0" collapsed="false">
      <c r="A116" s="32" t="n">
        <v>2025</v>
      </c>
      <c r="B116" s="32" t="n">
        <v>7</v>
      </c>
      <c r="C116" s="32" t="s">
        <v>154</v>
      </c>
      <c r="D116" s="32" t="s">
        <v>144</v>
      </c>
      <c r="E116" s="79" t="n">
        <v>2</v>
      </c>
      <c r="F116" s="20" t="n">
        <v>2600</v>
      </c>
      <c r="G116" s="33" t="n">
        <f aca="false">E116*F116</f>
        <v>5200</v>
      </c>
      <c r="H116" s="19" t="n">
        <v>0.68</v>
      </c>
      <c r="I116" s="33" t="n">
        <f aca="false">G116*(1+H116)</f>
        <v>8736</v>
      </c>
    </row>
    <row r="117" customFormat="false" ht="15" hidden="false" customHeight="true" outlineLevel="0" collapsed="false">
      <c r="A117" s="32" t="n">
        <v>2025</v>
      </c>
      <c r="B117" s="32" t="n">
        <v>8</v>
      </c>
      <c r="C117" s="32" t="s">
        <v>155</v>
      </c>
      <c r="D117" s="32" t="s">
        <v>144</v>
      </c>
      <c r="E117" s="79" t="n">
        <v>2</v>
      </c>
      <c r="F117" s="20" t="n">
        <v>2600</v>
      </c>
      <c r="G117" s="33" t="n">
        <f aca="false">E117*F117</f>
        <v>5200</v>
      </c>
      <c r="H117" s="19" t="n">
        <v>0.68</v>
      </c>
      <c r="I117" s="33" t="n">
        <f aca="false">G117*(1+H117)</f>
        <v>8736</v>
      </c>
    </row>
    <row r="118" customFormat="false" ht="15" hidden="false" customHeight="true" outlineLevel="0" collapsed="false">
      <c r="A118" s="32" t="n">
        <v>2025</v>
      </c>
      <c r="B118" s="32" t="n">
        <v>9</v>
      </c>
      <c r="C118" s="32" t="s">
        <v>156</v>
      </c>
      <c r="D118" s="32" t="s">
        <v>144</v>
      </c>
      <c r="E118" s="79" t="n">
        <v>2</v>
      </c>
      <c r="F118" s="20" t="n">
        <v>2600</v>
      </c>
      <c r="G118" s="33" t="n">
        <f aca="false">E118*F118</f>
        <v>5200</v>
      </c>
      <c r="H118" s="19" t="n">
        <v>0.68</v>
      </c>
      <c r="I118" s="33" t="n">
        <f aca="false">G118*(1+H118)</f>
        <v>8736</v>
      </c>
    </row>
    <row r="119" customFormat="false" ht="15" hidden="false" customHeight="true" outlineLevel="0" collapsed="false">
      <c r="A119" s="32" t="n">
        <v>2025</v>
      </c>
      <c r="B119" s="32" t="n">
        <v>10</v>
      </c>
      <c r="C119" s="32" t="s">
        <v>157</v>
      </c>
      <c r="D119" s="32" t="s">
        <v>144</v>
      </c>
      <c r="E119" s="79" t="n">
        <v>2</v>
      </c>
      <c r="F119" s="20" t="n">
        <v>2600</v>
      </c>
      <c r="G119" s="33" t="n">
        <f aca="false">E119*F119</f>
        <v>5200</v>
      </c>
      <c r="H119" s="19" t="n">
        <v>0.68</v>
      </c>
      <c r="I119" s="33" t="n">
        <f aca="false">G119*(1+H119)</f>
        <v>8736</v>
      </c>
    </row>
    <row r="120" customFormat="false" ht="15" hidden="false" customHeight="true" outlineLevel="0" collapsed="false">
      <c r="A120" s="32" t="n">
        <v>2025</v>
      </c>
      <c r="B120" s="32" t="n">
        <v>11</v>
      </c>
      <c r="C120" s="32" t="s">
        <v>158</v>
      </c>
      <c r="D120" s="32" t="s">
        <v>144</v>
      </c>
      <c r="E120" s="79" t="n">
        <v>2</v>
      </c>
      <c r="F120" s="20" t="n">
        <v>2600</v>
      </c>
      <c r="G120" s="33" t="n">
        <f aca="false">E120*F120</f>
        <v>5200</v>
      </c>
      <c r="H120" s="19" t="n">
        <v>0.68</v>
      </c>
      <c r="I120" s="33" t="n">
        <f aca="false">G120*(1+H120)</f>
        <v>8736</v>
      </c>
    </row>
    <row r="121" customFormat="false" ht="15" hidden="false" customHeight="true" outlineLevel="0" collapsed="false">
      <c r="A121" s="32" t="n">
        <v>2025</v>
      </c>
      <c r="B121" s="32" t="n">
        <v>12</v>
      </c>
      <c r="C121" s="32" t="s">
        <v>159</v>
      </c>
      <c r="D121" s="32" t="s">
        <v>144</v>
      </c>
      <c r="E121" s="79" t="n">
        <v>2</v>
      </c>
      <c r="F121" s="20" t="n">
        <v>2600</v>
      </c>
      <c r="G121" s="33" t="n">
        <f aca="false">E121*F121</f>
        <v>5200</v>
      </c>
      <c r="H121" s="19" t="n">
        <v>0.68</v>
      </c>
      <c r="I121" s="33" t="n">
        <f aca="false">G121*(1+H121)</f>
        <v>8736</v>
      </c>
    </row>
    <row r="122" customFormat="false" ht="15" hidden="false" customHeight="true" outlineLevel="0" collapsed="false">
      <c r="A122" s="32" t="n">
        <v>2026</v>
      </c>
      <c r="B122" s="32" t="n">
        <v>1</v>
      </c>
      <c r="C122" s="32" t="s">
        <v>160</v>
      </c>
      <c r="D122" s="32" t="s">
        <v>144</v>
      </c>
      <c r="E122" s="79" t="n">
        <v>3</v>
      </c>
      <c r="F122" s="20" t="n">
        <v>2600</v>
      </c>
      <c r="G122" s="33" t="n">
        <f aca="false">E122*F122</f>
        <v>7800</v>
      </c>
      <c r="H122" s="19" t="n">
        <v>0.68</v>
      </c>
      <c r="I122" s="33" t="n">
        <f aca="false">G122*(1+H122)</f>
        <v>13104</v>
      </c>
    </row>
    <row r="123" customFormat="false" ht="15" hidden="false" customHeight="true" outlineLevel="0" collapsed="false">
      <c r="A123" s="32" t="n">
        <v>2026</v>
      </c>
      <c r="B123" s="32" t="n">
        <v>2</v>
      </c>
      <c r="C123" s="32" t="s">
        <v>161</v>
      </c>
      <c r="D123" s="32" t="s">
        <v>144</v>
      </c>
      <c r="E123" s="79" t="n">
        <v>3</v>
      </c>
      <c r="F123" s="20" t="n">
        <v>2600</v>
      </c>
      <c r="G123" s="33" t="n">
        <f aca="false">E123*F123</f>
        <v>7800</v>
      </c>
      <c r="H123" s="19" t="n">
        <v>0.68</v>
      </c>
      <c r="I123" s="33" t="n">
        <f aca="false">G123*(1+H123)</f>
        <v>13104</v>
      </c>
    </row>
    <row r="124" customFormat="false" ht="15" hidden="false" customHeight="true" outlineLevel="0" collapsed="false">
      <c r="A124" s="32" t="n">
        <v>2026</v>
      </c>
      <c r="B124" s="32" t="n">
        <v>3</v>
      </c>
      <c r="C124" s="32" t="s">
        <v>162</v>
      </c>
      <c r="D124" s="32" t="s">
        <v>144</v>
      </c>
      <c r="E124" s="79" t="n">
        <v>3</v>
      </c>
      <c r="F124" s="20" t="n">
        <v>2600</v>
      </c>
      <c r="G124" s="33" t="n">
        <f aca="false">E124*F124</f>
        <v>7800</v>
      </c>
      <c r="H124" s="19" t="n">
        <v>0.68</v>
      </c>
      <c r="I124" s="33" t="n">
        <f aca="false">G124*(1+H124)</f>
        <v>13104</v>
      </c>
    </row>
    <row r="125" customFormat="false" ht="15" hidden="false" customHeight="true" outlineLevel="0" collapsed="false">
      <c r="A125" s="32" t="n">
        <v>2026</v>
      </c>
      <c r="B125" s="32" t="n">
        <v>4</v>
      </c>
      <c r="C125" s="32" t="s">
        <v>163</v>
      </c>
      <c r="D125" s="32" t="s">
        <v>144</v>
      </c>
      <c r="E125" s="79" t="n">
        <v>3</v>
      </c>
      <c r="F125" s="20" t="n">
        <v>2600</v>
      </c>
      <c r="G125" s="33" t="n">
        <f aca="false">E125*F125</f>
        <v>7800</v>
      </c>
      <c r="H125" s="19" t="n">
        <v>0.68</v>
      </c>
      <c r="I125" s="33" t="n">
        <f aca="false">G125*(1+H125)</f>
        <v>13104</v>
      </c>
    </row>
    <row r="126" customFormat="false" ht="15" hidden="false" customHeight="true" outlineLevel="0" collapsed="false">
      <c r="A126" s="32" t="n">
        <v>2026</v>
      </c>
      <c r="B126" s="32" t="n">
        <v>5</v>
      </c>
      <c r="C126" s="32" t="s">
        <v>164</v>
      </c>
      <c r="D126" s="32" t="s">
        <v>144</v>
      </c>
      <c r="E126" s="79" t="n">
        <v>3</v>
      </c>
      <c r="F126" s="20" t="n">
        <v>2600</v>
      </c>
      <c r="G126" s="33" t="n">
        <f aca="false">E126*F126</f>
        <v>7800</v>
      </c>
      <c r="H126" s="19" t="n">
        <v>0.68</v>
      </c>
      <c r="I126" s="33" t="n">
        <f aca="false">G126*(1+H126)</f>
        <v>13104</v>
      </c>
    </row>
    <row r="127" customFormat="false" ht="15" hidden="false" customHeight="true" outlineLevel="0" collapsed="false">
      <c r="A127" s="32" t="n">
        <v>2026</v>
      </c>
      <c r="B127" s="32" t="n">
        <v>6</v>
      </c>
      <c r="C127" s="32" t="s">
        <v>165</v>
      </c>
      <c r="D127" s="32" t="s">
        <v>144</v>
      </c>
      <c r="E127" s="79" t="n">
        <v>3</v>
      </c>
      <c r="F127" s="20" t="n">
        <v>2600</v>
      </c>
      <c r="G127" s="33" t="n">
        <f aca="false">E127*F127</f>
        <v>7800</v>
      </c>
      <c r="H127" s="19" t="n">
        <v>0.68</v>
      </c>
      <c r="I127" s="33" t="n">
        <f aca="false">G127*(1+H127)</f>
        <v>13104</v>
      </c>
    </row>
    <row r="128" customFormat="false" ht="15" hidden="false" customHeight="true" outlineLevel="0" collapsed="false">
      <c r="A128" s="32" t="n">
        <v>2026</v>
      </c>
      <c r="B128" s="32" t="n">
        <v>7</v>
      </c>
      <c r="C128" s="32" t="s">
        <v>166</v>
      </c>
      <c r="D128" s="32" t="s">
        <v>144</v>
      </c>
      <c r="E128" s="79" t="n">
        <v>3</v>
      </c>
      <c r="F128" s="20" t="n">
        <v>2600</v>
      </c>
      <c r="G128" s="33" t="n">
        <f aca="false">E128*F128</f>
        <v>7800</v>
      </c>
      <c r="H128" s="19" t="n">
        <v>0.68</v>
      </c>
      <c r="I128" s="33" t="n">
        <f aca="false">G128*(1+H128)</f>
        <v>13104</v>
      </c>
    </row>
    <row r="129" customFormat="false" ht="15" hidden="false" customHeight="true" outlineLevel="0" collapsed="false">
      <c r="A129" s="32" t="n">
        <v>2026</v>
      </c>
      <c r="B129" s="32" t="n">
        <v>8</v>
      </c>
      <c r="C129" s="32" t="s">
        <v>167</v>
      </c>
      <c r="D129" s="32" t="s">
        <v>144</v>
      </c>
      <c r="E129" s="79" t="n">
        <v>3</v>
      </c>
      <c r="F129" s="20" t="n">
        <v>2600</v>
      </c>
      <c r="G129" s="33" t="n">
        <f aca="false">E129*F129</f>
        <v>7800</v>
      </c>
      <c r="H129" s="19" t="n">
        <v>0.68</v>
      </c>
      <c r="I129" s="33" t="n">
        <f aca="false">G129*(1+H129)</f>
        <v>13104</v>
      </c>
    </row>
    <row r="130" customFormat="false" ht="15" hidden="false" customHeight="true" outlineLevel="0" collapsed="false">
      <c r="A130" s="32" t="n">
        <v>2026</v>
      </c>
      <c r="B130" s="32" t="n">
        <v>9</v>
      </c>
      <c r="C130" s="32" t="s">
        <v>168</v>
      </c>
      <c r="D130" s="32" t="s">
        <v>144</v>
      </c>
      <c r="E130" s="79" t="n">
        <v>3</v>
      </c>
      <c r="F130" s="20" t="n">
        <v>2600</v>
      </c>
      <c r="G130" s="33" t="n">
        <f aca="false">E130*F130</f>
        <v>7800</v>
      </c>
      <c r="H130" s="19" t="n">
        <v>0.68</v>
      </c>
      <c r="I130" s="33" t="n">
        <f aca="false">G130*(1+H130)</f>
        <v>13104</v>
      </c>
    </row>
    <row r="131" customFormat="false" ht="15" hidden="false" customHeight="true" outlineLevel="0" collapsed="false">
      <c r="A131" s="32" t="n">
        <v>2026</v>
      </c>
      <c r="B131" s="32" t="n">
        <v>10</v>
      </c>
      <c r="C131" s="32" t="s">
        <v>169</v>
      </c>
      <c r="D131" s="32" t="s">
        <v>144</v>
      </c>
      <c r="E131" s="79" t="n">
        <v>3</v>
      </c>
      <c r="F131" s="20" t="n">
        <v>2600</v>
      </c>
      <c r="G131" s="33" t="n">
        <f aca="false">E131*F131</f>
        <v>7800</v>
      </c>
      <c r="H131" s="19" t="n">
        <v>0.68</v>
      </c>
      <c r="I131" s="33" t="n">
        <f aca="false">G131*(1+H131)</f>
        <v>13104</v>
      </c>
    </row>
    <row r="132" customFormat="false" ht="15" hidden="false" customHeight="true" outlineLevel="0" collapsed="false">
      <c r="A132" s="32" t="n">
        <v>2026</v>
      </c>
      <c r="B132" s="32" t="n">
        <v>11</v>
      </c>
      <c r="C132" s="32" t="s">
        <v>170</v>
      </c>
      <c r="D132" s="32" t="s">
        <v>144</v>
      </c>
      <c r="E132" s="79" t="n">
        <v>3</v>
      </c>
      <c r="F132" s="20" t="n">
        <v>2600</v>
      </c>
      <c r="G132" s="33" t="n">
        <f aca="false">E132*F132</f>
        <v>7800</v>
      </c>
      <c r="H132" s="19" t="n">
        <v>0.68</v>
      </c>
      <c r="I132" s="33" t="n">
        <f aca="false">G132*(1+H132)</f>
        <v>13104</v>
      </c>
    </row>
    <row r="133" customFormat="false" ht="15" hidden="false" customHeight="true" outlineLevel="0" collapsed="false">
      <c r="A133" s="32" t="n">
        <v>2026</v>
      </c>
      <c r="B133" s="32" t="n">
        <v>12</v>
      </c>
      <c r="C133" s="32" t="s">
        <v>171</v>
      </c>
      <c r="D133" s="32" t="s">
        <v>144</v>
      </c>
      <c r="E133" s="79" t="n">
        <v>3</v>
      </c>
      <c r="F133" s="20" t="n">
        <v>2600</v>
      </c>
      <c r="G133" s="33" t="n">
        <f aca="false">E133*F133</f>
        <v>7800</v>
      </c>
      <c r="H133" s="19" t="n">
        <v>0.68</v>
      </c>
      <c r="I133" s="33" t="n">
        <f aca="false">G133*(1+H133)</f>
        <v>13104</v>
      </c>
    </row>
    <row r="134" customFormat="false" ht="15" hidden="false" customHeight="true" outlineLevel="0" collapsed="false">
      <c r="A134" s="32" t="n">
        <v>2027</v>
      </c>
      <c r="B134" s="32" t="n">
        <v>1</v>
      </c>
      <c r="C134" s="32" t="s">
        <v>172</v>
      </c>
      <c r="D134" s="32" t="s">
        <v>144</v>
      </c>
      <c r="E134" s="79" t="n">
        <v>3</v>
      </c>
      <c r="F134" s="20" t="n">
        <v>2600</v>
      </c>
      <c r="G134" s="33" t="n">
        <f aca="false">E134*F134</f>
        <v>7800</v>
      </c>
      <c r="H134" s="19" t="n">
        <v>0.68</v>
      </c>
      <c r="I134" s="33" t="n">
        <f aca="false">G134*(1+H134)</f>
        <v>13104</v>
      </c>
    </row>
    <row r="135" customFormat="false" ht="15" hidden="false" customHeight="true" outlineLevel="0" collapsed="false">
      <c r="A135" s="32" t="n">
        <v>2027</v>
      </c>
      <c r="B135" s="32" t="n">
        <v>2</v>
      </c>
      <c r="C135" s="32" t="s">
        <v>173</v>
      </c>
      <c r="D135" s="32" t="s">
        <v>144</v>
      </c>
      <c r="E135" s="79" t="n">
        <v>3</v>
      </c>
      <c r="F135" s="20" t="n">
        <v>2600</v>
      </c>
      <c r="G135" s="33" t="n">
        <f aca="false">E135*F135</f>
        <v>7800</v>
      </c>
      <c r="H135" s="19" t="n">
        <v>0.68</v>
      </c>
      <c r="I135" s="33" t="n">
        <f aca="false">G135*(1+H135)</f>
        <v>13104</v>
      </c>
    </row>
    <row r="136" customFormat="false" ht="15" hidden="false" customHeight="true" outlineLevel="0" collapsed="false">
      <c r="A136" s="32" t="n">
        <v>2027</v>
      </c>
      <c r="B136" s="32" t="n">
        <v>3</v>
      </c>
      <c r="C136" s="32" t="s">
        <v>174</v>
      </c>
      <c r="D136" s="32" t="s">
        <v>144</v>
      </c>
      <c r="E136" s="79" t="n">
        <v>3</v>
      </c>
      <c r="F136" s="20" t="n">
        <v>2600</v>
      </c>
      <c r="G136" s="33" t="n">
        <f aca="false">E136*F136</f>
        <v>7800</v>
      </c>
      <c r="H136" s="19" t="n">
        <v>0.68</v>
      </c>
      <c r="I136" s="33" t="n">
        <f aca="false">G136*(1+H136)</f>
        <v>13104</v>
      </c>
    </row>
    <row r="137" customFormat="false" ht="15" hidden="false" customHeight="true" outlineLevel="0" collapsed="false">
      <c r="A137" s="32" t="n">
        <v>2027</v>
      </c>
      <c r="B137" s="32" t="n">
        <v>4</v>
      </c>
      <c r="C137" s="32" t="s">
        <v>175</v>
      </c>
      <c r="D137" s="32" t="s">
        <v>144</v>
      </c>
      <c r="E137" s="79" t="n">
        <v>3</v>
      </c>
      <c r="F137" s="20" t="n">
        <v>2600</v>
      </c>
      <c r="G137" s="33" t="n">
        <f aca="false">E137*F137</f>
        <v>7800</v>
      </c>
      <c r="H137" s="19" t="n">
        <v>0.68</v>
      </c>
      <c r="I137" s="33" t="n">
        <f aca="false">G137*(1+H137)</f>
        <v>13104</v>
      </c>
    </row>
    <row r="138" customFormat="false" ht="15" hidden="false" customHeight="true" outlineLevel="0" collapsed="false">
      <c r="A138" s="32" t="n">
        <v>2027</v>
      </c>
      <c r="B138" s="32" t="n">
        <v>5</v>
      </c>
      <c r="C138" s="32" t="s">
        <v>176</v>
      </c>
      <c r="D138" s="32" t="s">
        <v>144</v>
      </c>
      <c r="E138" s="79" t="n">
        <v>3</v>
      </c>
      <c r="F138" s="20" t="n">
        <v>2600</v>
      </c>
      <c r="G138" s="33" t="n">
        <f aca="false">E138*F138</f>
        <v>7800</v>
      </c>
      <c r="H138" s="19" t="n">
        <v>0.68</v>
      </c>
      <c r="I138" s="33" t="n">
        <f aca="false">G138*(1+H138)</f>
        <v>13104</v>
      </c>
    </row>
    <row r="139" customFormat="false" ht="15" hidden="false" customHeight="true" outlineLevel="0" collapsed="false">
      <c r="A139" s="32" t="n">
        <v>2027</v>
      </c>
      <c r="B139" s="32" t="n">
        <v>6</v>
      </c>
      <c r="C139" s="32" t="s">
        <v>177</v>
      </c>
      <c r="D139" s="32" t="s">
        <v>144</v>
      </c>
      <c r="E139" s="79" t="n">
        <v>3</v>
      </c>
      <c r="F139" s="20" t="n">
        <v>2600</v>
      </c>
      <c r="G139" s="33" t="n">
        <f aca="false">E139*F139</f>
        <v>7800</v>
      </c>
      <c r="H139" s="19" t="n">
        <v>0.68</v>
      </c>
      <c r="I139" s="33" t="n">
        <f aca="false">G139*(1+H139)</f>
        <v>13104</v>
      </c>
    </row>
    <row r="140" customFormat="false" ht="15" hidden="false" customHeight="true" outlineLevel="0" collapsed="false">
      <c r="A140" s="32" t="n">
        <v>2027</v>
      </c>
      <c r="B140" s="32" t="n">
        <v>7</v>
      </c>
      <c r="C140" s="32" t="s">
        <v>178</v>
      </c>
      <c r="D140" s="32" t="s">
        <v>144</v>
      </c>
      <c r="E140" s="79" t="n">
        <v>3</v>
      </c>
      <c r="F140" s="20" t="n">
        <v>2600</v>
      </c>
      <c r="G140" s="33" t="n">
        <f aca="false">E140*F140</f>
        <v>7800</v>
      </c>
      <c r="H140" s="19" t="n">
        <v>0.68</v>
      </c>
      <c r="I140" s="33" t="n">
        <f aca="false">G140*(1+H140)</f>
        <v>13104</v>
      </c>
    </row>
    <row r="141" customFormat="false" ht="15" hidden="false" customHeight="true" outlineLevel="0" collapsed="false">
      <c r="A141" s="32" t="n">
        <v>2027</v>
      </c>
      <c r="B141" s="32" t="n">
        <v>8</v>
      </c>
      <c r="C141" s="32" t="s">
        <v>179</v>
      </c>
      <c r="D141" s="32" t="s">
        <v>144</v>
      </c>
      <c r="E141" s="79" t="n">
        <v>3</v>
      </c>
      <c r="F141" s="20" t="n">
        <v>2600</v>
      </c>
      <c r="G141" s="33" t="n">
        <f aca="false">E141*F141</f>
        <v>7800</v>
      </c>
      <c r="H141" s="19" t="n">
        <v>0.68</v>
      </c>
      <c r="I141" s="33" t="n">
        <f aca="false">G141*(1+H141)</f>
        <v>13104</v>
      </c>
    </row>
    <row r="142" customFormat="false" ht="15" hidden="false" customHeight="true" outlineLevel="0" collapsed="false">
      <c r="A142" s="32" t="n">
        <v>2027</v>
      </c>
      <c r="B142" s="32" t="n">
        <v>9</v>
      </c>
      <c r="C142" s="32" t="s">
        <v>180</v>
      </c>
      <c r="D142" s="32" t="s">
        <v>144</v>
      </c>
      <c r="E142" s="79" t="n">
        <v>3</v>
      </c>
      <c r="F142" s="20" t="n">
        <v>2600</v>
      </c>
      <c r="G142" s="33" t="n">
        <f aca="false">E142*F142</f>
        <v>7800</v>
      </c>
      <c r="H142" s="19" t="n">
        <v>0.68</v>
      </c>
      <c r="I142" s="33" t="n">
        <f aca="false">G142*(1+H142)</f>
        <v>13104</v>
      </c>
    </row>
    <row r="143" customFormat="false" ht="15" hidden="false" customHeight="true" outlineLevel="0" collapsed="false">
      <c r="A143" s="32" t="n">
        <v>2027</v>
      </c>
      <c r="B143" s="32" t="n">
        <v>10</v>
      </c>
      <c r="C143" s="32" t="s">
        <v>181</v>
      </c>
      <c r="D143" s="32" t="s">
        <v>144</v>
      </c>
      <c r="E143" s="79" t="n">
        <v>3</v>
      </c>
      <c r="F143" s="20" t="n">
        <v>2600</v>
      </c>
      <c r="G143" s="33" t="n">
        <f aca="false">E143*F143</f>
        <v>7800</v>
      </c>
      <c r="H143" s="19" t="n">
        <v>0.68</v>
      </c>
      <c r="I143" s="33" t="n">
        <f aca="false">G143*(1+H143)</f>
        <v>13104</v>
      </c>
    </row>
    <row r="144" customFormat="false" ht="15" hidden="false" customHeight="true" outlineLevel="0" collapsed="false">
      <c r="A144" s="32" t="n">
        <v>2027</v>
      </c>
      <c r="B144" s="32" t="n">
        <v>11</v>
      </c>
      <c r="C144" s="32" t="s">
        <v>182</v>
      </c>
      <c r="D144" s="32" t="s">
        <v>144</v>
      </c>
      <c r="E144" s="79" t="n">
        <v>3</v>
      </c>
      <c r="F144" s="20" t="n">
        <v>2600</v>
      </c>
      <c r="G144" s="33" t="n">
        <f aca="false">E144*F144</f>
        <v>7800</v>
      </c>
      <c r="H144" s="19" t="n">
        <v>0.68</v>
      </c>
      <c r="I144" s="33" t="n">
        <f aca="false">G144*(1+H144)</f>
        <v>13104</v>
      </c>
    </row>
    <row r="145" customFormat="false" ht="15" hidden="false" customHeight="true" outlineLevel="0" collapsed="false">
      <c r="A145" s="32" t="n">
        <v>2027</v>
      </c>
      <c r="B145" s="32" t="n">
        <v>12</v>
      </c>
      <c r="C145" s="32" t="s">
        <v>183</v>
      </c>
      <c r="D145" s="32" t="s">
        <v>144</v>
      </c>
      <c r="E145" s="79" t="n">
        <v>3</v>
      </c>
      <c r="F145" s="20" t="n">
        <v>2600</v>
      </c>
      <c r="G145" s="33" t="n">
        <f aca="false">E145*F145</f>
        <v>7800</v>
      </c>
      <c r="H145" s="19" t="n">
        <v>0.68</v>
      </c>
      <c r="I145" s="33" t="n">
        <f aca="false">G145*(1+H145)</f>
        <v>13104</v>
      </c>
    </row>
    <row r="146" customFormat="false" ht="15" hidden="false" customHeight="true" outlineLevel="0" collapsed="false">
      <c r="A146" s="32" t="n">
        <v>2025</v>
      </c>
      <c r="B146" s="32" t="n">
        <v>1</v>
      </c>
      <c r="C146" s="32" t="s">
        <v>148</v>
      </c>
      <c r="D146" s="32" t="s">
        <v>145</v>
      </c>
      <c r="E146" s="79" t="n">
        <v>3</v>
      </c>
      <c r="F146" s="20" t="n">
        <v>1800</v>
      </c>
      <c r="G146" s="33" t="n">
        <f aca="false">E146*F146</f>
        <v>5400</v>
      </c>
      <c r="H146" s="19" t="n">
        <v>0.68</v>
      </c>
      <c r="I146" s="33" t="n">
        <f aca="false">G146*(1+H146)</f>
        <v>9072</v>
      </c>
    </row>
    <row r="147" customFormat="false" ht="15" hidden="false" customHeight="true" outlineLevel="0" collapsed="false">
      <c r="A147" s="32" t="n">
        <v>2025</v>
      </c>
      <c r="B147" s="32" t="n">
        <v>2</v>
      </c>
      <c r="C147" s="32" t="s">
        <v>149</v>
      </c>
      <c r="D147" s="32" t="s">
        <v>145</v>
      </c>
      <c r="E147" s="79" t="n">
        <v>3</v>
      </c>
      <c r="F147" s="20" t="n">
        <v>1800</v>
      </c>
      <c r="G147" s="33" t="n">
        <f aca="false">E147*F147</f>
        <v>5400</v>
      </c>
      <c r="H147" s="19" t="n">
        <v>0.68</v>
      </c>
      <c r="I147" s="33" t="n">
        <f aca="false">G147*(1+H147)</f>
        <v>9072</v>
      </c>
    </row>
    <row r="148" customFormat="false" ht="15" hidden="false" customHeight="true" outlineLevel="0" collapsed="false">
      <c r="A148" s="32" t="n">
        <v>2025</v>
      </c>
      <c r="B148" s="32" t="n">
        <v>3</v>
      </c>
      <c r="C148" s="32" t="s">
        <v>150</v>
      </c>
      <c r="D148" s="32" t="s">
        <v>145</v>
      </c>
      <c r="E148" s="79" t="n">
        <v>3</v>
      </c>
      <c r="F148" s="20" t="n">
        <v>1800</v>
      </c>
      <c r="G148" s="33" t="n">
        <f aca="false">E148*F148</f>
        <v>5400</v>
      </c>
      <c r="H148" s="19" t="n">
        <v>0.68</v>
      </c>
      <c r="I148" s="33" t="n">
        <f aca="false">G148*(1+H148)</f>
        <v>9072</v>
      </c>
    </row>
    <row r="149" customFormat="false" ht="15" hidden="false" customHeight="true" outlineLevel="0" collapsed="false">
      <c r="A149" s="32" t="n">
        <v>2025</v>
      </c>
      <c r="B149" s="32" t="n">
        <v>4</v>
      </c>
      <c r="C149" s="32" t="s">
        <v>151</v>
      </c>
      <c r="D149" s="32" t="s">
        <v>145</v>
      </c>
      <c r="E149" s="79" t="n">
        <v>3</v>
      </c>
      <c r="F149" s="20" t="n">
        <v>1800</v>
      </c>
      <c r="G149" s="33" t="n">
        <f aca="false">E149*F149</f>
        <v>5400</v>
      </c>
      <c r="H149" s="19" t="n">
        <v>0.68</v>
      </c>
      <c r="I149" s="33" t="n">
        <f aca="false">G149*(1+H149)</f>
        <v>9072</v>
      </c>
    </row>
    <row r="150" customFormat="false" ht="15" hidden="false" customHeight="true" outlineLevel="0" collapsed="false">
      <c r="A150" s="32" t="n">
        <v>2025</v>
      </c>
      <c r="B150" s="32" t="n">
        <v>5</v>
      </c>
      <c r="C150" s="32" t="s">
        <v>152</v>
      </c>
      <c r="D150" s="32" t="s">
        <v>145</v>
      </c>
      <c r="E150" s="79" t="n">
        <v>3</v>
      </c>
      <c r="F150" s="20" t="n">
        <v>1800</v>
      </c>
      <c r="G150" s="33" t="n">
        <f aca="false">E150*F150</f>
        <v>5400</v>
      </c>
      <c r="H150" s="19" t="n">
        <v>0.68</v>
      </c>
      <c r="I150" s="33" t="n">
        <f aca="false">G150*(1+H150)</f>
        <v>9072</v>
      </c>
    </row>
    <row r="151" customFormat="false" ht="15" hidden="false" customHeight="true" outlineLevel="0" collapsed="false">
      <c r="A151" s="32" t="n">
        <v>2025</v>
      </c>
      <c r="B151" s="32" t="n">
        <v>6</v>
      </c>
      <c r="C151" s="32" t="s">
        <v>153</v>
      </c>
      <c r="D151" s="32" t="s">
        <v>145</v>
      </c>
      <c r="E151" s="79" t="n">
        <v>3</v>
      </c>
      <c r="F151" s="20" t="n">
        <v>1800</v>
      </c>
      <c r="G151" s="33" t="n">
        <f aca="false">E151*F151</f>
        <v>5400</v>
      </c>
      <c r="H151" s="19" t="n">
        <v>0.68</v>
      </c>
      <c r="I151" s="33" t="n">
        <f aca="false">G151*(1+H151)</f>
        <v>9072</v>
      </c>
    </row>
    <row r="152" customFormat="false" ht="15" hidden="false" customHeight="true" outlineLevel="0" collapsed="false">
      <c r="A152" s="32" t="n">
        <v>2025</v>
      </c>
      <c r="B152" s="32" t="n">
        <v>7</v>
      </c>
      <c r="C152" s="32" t="s">
        <v>154</v>
      </c>
      <c r="D152" s="32" t="s">
        <v>145</v>
      </c>
      <c r="E152" s="79" t="n">
        <v>3</v>
      </c>
      <c r="F152" s="20" t="n">
        <v>1800</v>
      </c>
      <c r="G152" s="33" t="n">
        <f aca="false">E152*F152</f>
        <v>5400</v>
      </c>
      <c r="H152" s="19" t="n">
        <v>0.68</v>
      </c>
      <c r="I152" s="33" t="n">
        <f aca="false">G152*(1+H152)</f>
        <v>9072</v>
      </c>
    </row>
    <row r="153" customFormat="false" ht="15" hidden="false" customHeight="true" outlineLevel="0" collapsed="false">
      <c r="A153" s="32" t="n">
        <v>2025</v>
      </c>
      <c r="B153" s="32" t="n">
        <v>8</v>
      </c>
      <c r="C153" s="32" t="s">
        <v>155</v>
      </c>
      <c r="D153" s="32" t="s">
        <v>145</v>
      </c>
      <c r="E153" s="79" t="n">
        <v>3</v>
      </c>
      <c r="F153" s="20" t="n">
        <v>1800</v>
      </c>
      <c r="G153" s="33" t="n">
        <f aca="false">E153*F153</f>
        <v>5400</v>
      </c>
      <c r="H153" s="19" t="n">
        <v>0.68</v>
      </c>
      <c r="I153" s="33" t="n">
        <f aca="false">G153*(1+H153)</f>
        <v>9072</v>
      </c>
    </row>
    <row r="154" customFormat="false" ht="15" hidden="false" customHeight="true" outlineLevel="0" collapsed="false">
      <c r="A154" s="32" t="n">
        <v>2025</v>
      </c>
      <c r="B154" s="32" t="n">
        <v>9</v>
      </c>
      <c r="C154" s="32" t="s">
        <v>156</v>
      </c>
      <c r="D154" s="32" t="s">
        <v>145</v>
      </c>
      <c r="E154" s="79" t="n">
        <v>3</v>
      </c>
      <c r="F154" s="20" t="n">
        <v>1800</v>
      </c>
      <c r="G154" s="33" t="n">
        <f aca="false">E154*F154</f>
        <v>5400</v>
      </c>
      <c r="H154" s="19" t="n">
        <v>0.68</v>
      </c>
      <c r="I154" s="33" t="n">
        <f aca="false">G154*(1+H154)</f>
        <v>9072</v>
      </c>
    </row>
    <row r="155" customFormat="false" ht="15" hidden="false" customHeight="true" outlineLevel="0" collapsed="false">
      <c r="A155" s="32" t="n">
        <v>2025</v>
      </c>
      <c r="B155" s="32" t="n">
        <v>10</v>
      </c>
      <c r="C155" s="32" t="s">
        <v>157</v>
      </c>
      <c r="D155" s="32" t="s">
        <v>145</v>
      </c>
      <c r="E155" s="79" t="n">
        <v>3</v>
      </c>
      <c r="F155" s="20" t="n">
        <v>1800</v>
      </c>
      <c r="G155" s="33" t="n">
        <f aca="false">E155*F155</f>
        <v>5400</v>
      </c>
      <c r="H155" s="19" t="n">
        <v>0.68</v>
      </c>
      <c r="I155" s="33" t="n">
        <f aca="false">G155*(1+H155)</f>
        <v>9072</v>
      </c>
    </row>
    <row r="156" customFormat="false" ht="15" hidden="false" customHeight="true" outlineLevel="0" collapsed="false">
      <c r="A156" s="32" t="n">
        <v>2025</v>
      </c>
      <c r="B156" s="32" t="n">
        <v>11</v>
      </c>
      <c r="C156" s="32" t="s">
        <v>158</v>
      </c>
      <c r="D156" s="32" t="s">
        <v>145</v>
      </c>
      <c r="E156" s="79" t="n">
        <v>3</v>
      </c>
      <c r="F156" s="20" t="n">
        <v>1800</v>
      </c>
      <c r="G156" s="33" t="n">
        <f aca="false">E156*F156</f>
        <v>5400</v>
      </c>
      <c r="H156" s="19" t="n">
        <v>0.68</v>
      </c>
      <c r="I156" s="33" t="n">
        <f aca="false">G156*(1+H156)</f>
        <v>9072</v>
      </c>
    </row>
    <row r="157" customFormat="false" ht="15" hidden="false" customHeight="true" outlineLevel="0" collapsed="false">
      <c r="A157" s="32" t="n">
        <v>2025</v>
      </c>
      <c r="B157" s="32" t="n">
        <v>12</v>
      </c>
      <c r="C157" s="32" t="s">
        <v>159</v>
      </c>
      <c r="D157" s="32" t="s">
        <v>145</v>
      </c>
      <c r="E157" s="79" t="n">
        <v>3</v>
      </c>
      <c r="F157" s="20" t="n">
        <v>1800</v>
      </c>
      <c r="G157" s="33" t="n">
        <f aca="false">E157*F157</f>
        <v>5400</v>
      </c>
      <c r="H157" s="19" t="n">
        <v>0.68</v>
      </c>
      <c r="I157" s="33" t="n">
        <f aca="false">G157*(1+H157)</f>
        <v>9072</v>
      </c>
    </row>
    <row r="158" customFormat="false" ht="15" hidden="false" customHeight="true" outlineLevel="0" collapsed="false">
      <c r="A158" s="32" t="n">
        <v>2026</v>
      </c>
      <c r="B158" s="32" t="n">
        <v>1</v>
      </c>
      <c r="C158" s="32" t="s">
        <v>160</v>
      </c>
      <c r="D158" s="32" t="s">
        <v>145</v>
      </c>
      <c r="E158" s="79" t="n">
        <v>3</v>
      </c>
      <c r="F158" s="20" t="n">
        <v>1800</v>
      </c>
      <c r="G158" s="33" t="n">
        <f aca="false">E158*F158</f>
        <v>5400</v>
      </c>
      <c r="H158" s="19" t="n">
        <v>0.68</v>
      </c>
      <c r="I158" s="33" t="n">
        <f aca="false">G158*(1+H158)</f>
        <v>9072</v>
      </c>
    </row>
    <row r="159" customFormat="false" ht="15" hidden="false" customHeight="true" outlineLevel="0" collapsed="false">
      <c r="A159" s="32" t="n">
        <v>2026</v>
      </c>
      <c r="B159" s="32" t="n">
        <v>2</v>
      </c>
      <c r="C159" s="32" t="s">
        <v>161</v>
      </c>
      <c r="D159" s="32" t="s">
        <v>145</v>
      </c>
      <c r="E159" s="79" t="n">
        <v>3</v>
      </c>
      <c r="F159" s="20" t="n">
        <v>1800</v>
      </c>
      <c r="G159" s="33" t="n">
        <f aca="false">E159*F159</f>
        <v>5400</v>
      </c>
      <c r="H159" s="19" t="n">
        <v>0.68</v>
      </c>
      <c r="I159" s="33" t="n">
        <f aca="false">G159*(1+H159)</f>
        <v>9072</v>
      </c>
    </row>
    <row r="160" customFormat="false" ht="15" hidden="false" customHeight="true" outlineLevel="0" collapsed="false">
      <c r="A160" s="32" t="n">
        <v>2026</v>
      </c>
      <c r="B160" s="32" t="n">
        <v>3</v>
      </c>
      <c r="C160" s="32" t="s">
        <v>162</v>
      </c>
      <c r="D160" s="32" t="s">
        <v>145</v>
      </c>
      <c r="E160" s="79" t="n">
        <v>3</v>
      </c>
      <c r="F160" s="20" t="n">
        <v>1800</v>
      </c>
      <c r="G160" s="33" t="n">
        <f aca="false">E160*F160</f>
        <v>5400</v>
      </c>
      <c r="H160" s="19" t="n">
        <v>0.68</v>
      </c>
      <c r="I160" s="33" t="n">
        <f aca="false">G160*(1+H160)</f>
        <v>9072</v>
      </c>
    </row>
    <row r="161" customFormat="false" ht="15" hidden="false" customHeight="true" outlineLevel="0" collapsed="false">
      <c r="A161" s="32" t="n">
        <v>2026</v>
      </c>
      <c r="B161" s="32" t="n">
        <v>4</v>
      </c>
      <c r="C161" s="32" t="s">
        <v>163</v>
      </c>
      <c r="D161" s="32" t="s">
        <v>145</v>
      </c>
      <c r="E161" s="79" t="n">
        <v>3</v>
      </c>
      <c r="F161" s="20" t="n">
        <v>1800</v>
      </c>
      <c r="G161" s="33" t="n">
        <f aca="false">E161*F161</f>
        <v>5400</v>
      </c>
      <c r="H161" s="19" t="n">
        <v>0.68</v>
      </c>
      <c r="I161" s="33" t="n">
        <f aca="false">G161*(1+H161)</f>
        <v>9072</v>
      </c>
    </row>
    <row r="162" customFormat="false" ht="15" hidden="false" customHeight="true" outlineLevel="0" collapsed="false">
      <c r="A162" s="32" t="n">
        <v>2026</v>
      </c>
      <c r="B162" s="32" t="n">
        <v>5</v>
      </c>
      <c r="C162" s="32" t="s">
        <v>164</v>
      </c>
      <c r="D162" s="32" t="s">
        <v>145</v>
      </c>
      <c r="E162" s="79" t="n">
        <v>3</v>
      </c>
      <c r="F162" s="20" t="n">
        <v>1800</v>
      </c>
      <c r="G162" s="33" t="n">
        <f aca="false">E162*F162</f>
        <v>5400</v>
      </c>
      <c r="H162" s="19" t="n">
        <v>0.68</v>
      </c>
      <c r="I162" s="33" t="n">
        <f aca="false">G162*(1+H162)</f>
        <v>9072</v>
      </c>
    </row>
    <row r="163" customFormat="false" ht="15" hidden="false" customHeight="true" outlineLevel="0" collapsed="false">
      <c r="A163" s="32" t="n">
        <v>2026</v>
      </c>
      <c r="B163" s="32" t="n">
        <v>6</v>
      </c>
      <c r="C163" s="32" t="s">
        <v>165</v>
      </c>
      <c r="D163" s="32" t="s">
        <v>145</v>
      </c>
      <c r="E163" s="79" t="n">
        <v>3</v>
      </c>
      <c r="F163" s="20" t="n">
        <v>1800</v>
      </c>
      <c r="G163" s="33" t="n">
        <f aca="false">E163*F163</f>
        <v>5400</v>
      </c>
      <c r="H163" s="19" t="n">
        <v>0.68</v>
      </c>
      <c r="I163" s="33" t="n">
        <f aca="false">G163*(1+H163)</f>
        <v>9072</v>
      </c>
    </row>
    <row r="164" customFormat="false" ht="15" hidden="false" customHeight="true" outlineLevel="0" collapsed="false">
      <c r="A164" s="32" t="n">
        <v>2026</v>
      </c>
      <c r="B164" s="32" t="n">
        <v>7</v>
      </c>
      <c r="C164" s="32" t="s">
        <v>166</v>
      </c>
      <c r="D164" s="32" t="s">
        <v>145</v>
      </c>
      <c r="E164" s="79" t="n">
        <v>3</v>
      </c>
      <c r="F164" s="20" t="n">
        <v>1800</v>
      </c>
      <c r="G164" s="33" t="n">
        <f aca="false">E164*F164</f>
        <v>5400</v>
      </c>
      <c r="H164" s="19" t="n">
        <v>0.68</v>
      </c>
      <c r="I164" s="33" t="n">
        <f aca="false">G164*(1+H164)</f>
        <v>9072</v>
      </c>
    </row>
    <row r="165" customFormat="false" ht="15" hidden="false" customHeight="true" outlineLevel="0" collapsed="false">
      <c r="A165" s="32" t="n">
        <v>2026</v>
      </c>
      <c r="B165" s="32" t="n">
        <v>8</v>
      </c>
      <c r="C165" s="32" t="s">
        <v>167</v>
      </c>
      <c r="D165" s="32" t="s">
        <v>145</v>
      </c>
      <c r="E165" s="79" t="n">
        <v>3</v>
      </c>
      <c r="F165" s="20" t="n">
        <v>1800</v>
      </c>
      <c r="G165" s="33" t="n">
        <f aca="false">E165*F165</f>
        <v>5400</v>
      </c>
      <c r="H165" s="19" t="n">
        <v>0.68</v>
      </c>
      <c r="I165" s="33" t="n">
        <f aca="false">G165*(1+H165)</f>
        <v>9072</v>
      </c>
    </row>
    <row r="166" customFormat="false" ht="15" hidden="false" customHeight="true" outlineLevel="0" collapsed="false">
      <c r="A166" s="32" t="n">
        <v>2026</v>
      </c>
      <c r="B166" s="32" t="n">
        <v>9</v>
      </c>
      <c r="C166" s="32" t="s">
        <v>168</v>
      </c>
      <c r="D166" s="32" t="s">
        <v>145</v>
      </c>
      <c r="E166" s="79" t="n">
        <v>3</v>
      </c>
      <c r="F166" s="20" t="n">
        <v>1800</v>
      </c>
      <c r="G166" s="33" t="n">
        <f aca="false">E166*F166</f>
        <v>5400</v>
      </c>
      <c r="H166" s="19" t="n">
        <v>0.68</v>
      </c>
      <c r="I166" s="33" t="n">
        <f aca="false">G166*(1+H166)</f>
        <v>9072</v>
      </c>
    </row>
    <row r="167" customFormat="false" ht="15" hidden="false" customHeight="true" outlineLevel="0" collapsed="false">
      <c r="A167" s="32" t="n">
        <v>2026</v>
      </c>
      <c r="B167" s="32" t="n">
        <v>10</v>
      </c>
      <c r="C167" s="32" t="s">
        <v>169</v>
      </c>
      <c r="D167" s="32" t="s">
        <v>145</v>
      </c>
      <c r="E167" s="79" t="n">
        <v>3</v>
      </c>
      <c r="F167" s="20" t="n">
        <v>1800</v>
      </c>
      <c r="G167" s="33" t="n">
        <f aca="false">E167*F167</f>
        <v>5400</v>
      </c>
      <c r="H167" s="19" t="n">
        <v>0.68</v>
      </c>
      <c r="I167" s="33" t="n">
        <f aca="false">G167*(1+H167)</f>
        <v>9072</v>
      </c>
    </row>
    <row r="168" customFormat="false" ht="15" hidden="false" customHeight="true" outlineLevel="0" collapsed="false">
      <c r="A168" s="32" t="n">
        <v>2026</v>
      </c>
      <c r="B168" s="32" t="n">
        <v>11</v>
      </c>
      <c r="C168" s="32" t="s">
        <v>170</v>
      </c>
      <c r="D168" s="32" t="s">
        <v>145</v>
      </c>
      <c r="E168" s="79" t="n">
        <v>3</v>
      </c>
      <c r="F168" s="20" t="n">
        <v>1800</v>
      </c>
      <c r="G168" s="33" t="n">
        <f aca="false">E168*F168</f>
        <v>5400</v>
      </c>
      <c r="H168" s="19" t="n">
        <v>0.68</v>
      </c>
      <c r="I168" s="33" t="n">
        <f aca="false">G168*(1+H168)</f>
        <v>9072</v>
      </c>
    </row>
    <row r="169" customFormat="false" ht="15" hidden="false" customHeight="true" outlineLevel="0" collapsed="false">
      <c r="A169" s="32" t="n">
        <v>2026</v>
      </c>
      <c r="B169" s="32" t="n">
        <v>12</v>
      </c>
      <c r="C169" s="32" t="s">
        <v>171</v>
      </c>
      <c r="D169" s="32" t="s">
        <v>145</v>
      </c>
      <c r="E169" s="79" t="n">
        <v>3</v>
      </c>
      <c r="F169" s="20" t="n">
        <v>1800</v>
      </c>
      <c r="G169" s="33" t="n">
        <f aca="false">E169*F169</f>
        <v>5400</v>
      </c>
      <c r="H169" s="19" t="n">
        <v>0.68</v>
      </c>
      <c r="I169" s="33" t="n">
        <f aca="false">G169*(1+H169)</f>
        <v>9072</v>
      </c>
    </row>
    <row r="170" customFormat="false" ht="15" hidden="false" customHeight="true" outlineLevel="0" collapsed="false">
      <c r="A170" s="32" t="n">
        <v>2027</v>
      </c>
      <c r="B170" s="32" t="n">
        <v>1</v>
      </c>
      <c r="C170" s="32" t="s">
        <v>172</v>
      </c>
      <c r="D170" s="32" t="s">
        <v>145</v>
      </c>
      <c r="E170" s="79" t="n">
        <v>4</v>
      </c>
      <c r="F170" s="20" t="n">
        <v>1800</v>
      </c>
      <c r="G170" s="33" t="n">
        <f aca="false">E170*F170</f>
        <v>7200</v>
      </c>
      <c r="H170" s="19" t="n">
        <v>0.68</v>
      </c>
      <c r="I170" s="33" t="n">
        <f aca="false">G170*(1+H170)</f>
        <v>12096</v>
      </c>
    </row>
    <row r="171" customFormat="false" ht="15" hidden="false" customHeight="true" outlineLevel="0" collapsed="false">
      <c r="A171" s="32" t="n">
        <v>2027</v>
      </c>
      <c r="B171" s="32" t="n">
        <v>2</v>
      </c>
      <c r="C171" s="32" t="s">
        <v>173</v>
      </c>
      <c r="D171" s="32" t="s">
        <v>145</v>
      </c>
      <c r="E171" s="79" t="n">
        <v>4</v>
      </c>
      <c r="F171" s="20" t="n">
        <v>1800</v>
      </c>
      <c r="G171" s="33" t="n">
        <f aca="false">E171*F171</f>
        <v>7200</v>
      </c>
      <c r="H171" s="19" t="n">
        <v>0.68</v>
      </c>
      <c r="I171" s="33" t="n">
        <f aca="false">G171*(1+H171)</f>
        <v>12096</v>
      </c>
    </row>
    <row r="172" customFormat="false" ht="15" hidden="false" customHeight="true" outlineLevel="0" collapsed="false">
      <c r="A172" s="32" t="n">
        <v>2027</v>
      </c>
      <c r="B172" s="32" t="n">
        <v>3</v>
      </c>
      <c r="C172" s="32" t="s">
        <v>174</v>
      </c>
      <c r="D172" s="32" t="s">
        <v>145</v>
      </c>
      <c r="E172" s="79" t="n">
        <v>4</v>
      </c>
      <c r="F172" s="20" t="n">
        <v>1800</v>
      </c>
      <c r="G172" s="33" t="n">
        <f aca="false">E172*F172</f>
        <v>7200</v>
      </c>
      <c r="H172" s="19" t="n">
        <v>0.68</v>
      </c>
      <c r="I172" s="33" t="n">
        <f aca="false">G172*(1+H172)</f>
        <v>12096</v>
      </c>
    </row>
    <row r="173" customFormat="false" ht="15" hidden="false" customHeight="true" outlineLevel="0" collapsed="false">
      <c r="A173" s="32" t="n">
        <v>2027</v>
      </c>
      <c r="B173" s="32" t="n">
        <v>4</v>
      </c>
      <c r="C173" s="32" t="s">
        <v>175</v>
      </c>
      <c r="D173" s="32" t="s">
        <v>145</v>
      </c>
      <c r="E173" s="79" t="n">
        <v>4</v>
      </c>
      <c r="F173" s="20" t="n">
        <v>1800</v>
      </c>
      <c r="G173" s="33" t="n">
        <f aca="false">E173*F173</f>
        <v>7200</v>
      </c>
      <c r="H173" s="19" t="n">
        <v>0.68</v>
      </c>
      <c r="I173" s="33" t="n">
        <f aca="false">G173*(1+H173)</f>
        <v>12096</v>
      </c>
    </row>
    <row r="174" customFormat="false" ht="15" hidden="false" customHeight="true" outlineLevel="0" collapsed="false">
      <c r="A174" s="32" t="n">
        <v>2027</v>
      </c>
      <c r="B174" s="32" t="n">
        <v>5</v>
      </c>
      <c r="C174" s="32" t="s">
        <v>176</v>
      </c>
      <c r="D174" s="32" t="s">
        <v>145</v>
      </c>
      <c r="E174" s="79" t="n">
        <v>4</v>
      </c>
      <c r="F174" s="20" t="n">
        <v>1800</v>
      </c>
      <c r="G174" s="33" t="n">
        <f aca="false">E174*F174</f>
        <v>7200</v>
      </c>
      <c r="H174" s="19" t="n">
        <v>0.68</v>
      </c>
      <c r="I174" s="33" t="n">
        <f aca="false">G174*(1+H174)</f>
        <v>12096</v>
      </c>
    </row>
    <row r="175" customFormat="false" ht="15" hidden="false" customHeight="true" outlineLevel="0" collapsed="false">
      <c r="A175" s="32" t="n">
        <v>2027</v>
      </c>
      <c r="B175" s="32" t="n">
        <v>6</v>
      </c>
      <c r="C175" s="32" t="s">
        <v>177</v>
      </c>
      <c r="D175" s="32" t="s">
        <v>145</v>
      </c>
      <c r="E175" s="79" t="n">
        <v>4</v>
      </c>
      <c r="F175" s="20" t="n">
        <v>1800</v>
      </c>
      <c r="G175" s="33" t="n">
        <f aca="false">E175*F175</f>
        <v>7200</v>
      </c>
      <c r="H175" s="19" t="n">
        <v>0.68</v>
      </c>
      <c r="I175" s="33" t="n">
        <f aca="false">G175*(1+H175)</f>
        <v>12096</v>
      </c>
    </row>
    <row r="176" customFormat="false" ht="15" hidden="false" customHeight="true" outlineLevel="0" collapsed="false">
      <c r="A176" s="32" t="n">
        <v>2027</v>
      </c>
      <c r="B176" s="32" t="n">
        <v>7</v>
      </c>
      <c r="C176" s="32" t="s">
        <v>178</v>
      </c>
      <c r="D176" s="32" t="s">
        <v>145</v>
      </c>
      <c r="E176" s="79" t="n">
        <v>4</v>
      </c>
      <c r="F176" s="20" t="n">
        <v>1800</v>
      </c>
      <c r="G176" s="33" t="n">
        <f aca="false">E176*F176</f>
        <v>7200</v>
      </c>
      <c r="H176" s="19" t="n">
        <v>0.68</v>
      </c>
      <c r="I176" s="33" t="n">
        <f aca="false">G176*(1+H176)</f>
        <v>12096</v>
      </c>
    </row>
    <row r="177" customFormat="false" ht="15" hidden="false" customHeight="true" outlineLevel="0" collapsed="false">
      <c r="A177" s="32" t="n">
        <v>2027</v>
      </c>
      <c r="B177" s="32" t="n">
        <v>8</v>
      </c>
      <c r="C177" s="32" t="s">
        <v>179</v>
      </c>
      <c r="D177" s="32" t="s">
        <v>145</v>
      </c>
      <c r="E177" s="79" t="n">
        <v>4</v>
      </c>
      <c r="F177" s="20" t="n">
        <v>1800</v>
      </c>
      <c r="G177" s="33" t="n">
        <f aca="false">E177*F177</f>
        <v>7200</v>
      </c>
      <c r="H177" s="19" t="n">
        <v>0.68</v>
      </c>
      <c r="I177" s="33" t="n">
        <f aca="false">G177*(1+H177)</f>
        <v>12096</v>
      </c>
    </row>
    <row r="178" customFormat="false" ht="15" hidden="false" customHeight="true" outlineLevel="0" collapsed="false">
      <c r="A178" s="32" t="n">
        <v>2027</v>
      </c>
      <c r="B178" s="32" t="n">
        <v>9</v>
      </c>
      <c r="C178" s="32" t="s">
        <v>180</v>
      </c>
      <c r="D178" s="32" t="s">
        <v>145</v>
      </c>
      <c r="E178" s="79" t="n">
        <v>4</v>
      </c>
      <c r="F178" s="20" t="n">
        <v>1800</v>
      </c>
      <c r="G178" s="33" t="n">
        <f aca="false">E178*F178</f>
        <v>7200</v>
      </c>
      <c r="H178" s="19" t="n">
        <v>0.68</v>
      </c>
      <c r="I178" s="33" t="n">
        <f aca="false">G178*(1+H178)</f>
        <v>12096</v>
      </c>
    </row>
    <row r="179" customFormat="false" ht="15" hidden="false" customHeight="true" outlineLevel="0" collapsed="false">
      <c r="A179" s="32" t="n">
        <v>2027</v>
      </c>
      <c r="B179" s="32" t="n">
        <v>10</v>
      </c>
      <c r="C179" s="32" t="s">
        <v>181</v>
      </c>
      <c r="D179" s="32" t="s">
        <v>145</v>
      </c>
      <c r="E179" s="79" t="n">
        <v>4</v>
      </c>
      <c r="F179" s="20" t="n">
        <v>1800</v>
      </c>
      <c r="G179" s="33" t="n">
        <f aca="false">E179*F179</f>
        <v>7200</v>
      </c>
      <c r="H179" s="19" t="n">
        <v>0.68</v>
      </c>
      <c r="I179" s="33" t="n">
        <f aca="false">G179*(1+H179)</f>
        <v>12096</v>
      </c>
    </row>
    <row r="180" customFormat="false" ht="15" hidden="false" customHeight="true" outlineLevel="0" collapsed="false">
      <c r="A180" s="32" t="n">
        <v>2027</v>
      </c>
      <c r="B180" s="32" t="n">
        <v>11</v>
      </c>
      <c r="C180" s="32" t="s">
        <v>182</v>
      </c>
      <c r="D180" s="32" t="s">
        <v>145</v>
      </c>
      <c r="E180" s="79" t="n">
        <v>4</v>
      </c>
      <c r="F180" s="20" t="n">
        <v>1800</v>
      </c>
      <c r="G180" s="33" t="n">
        <f aca="false">E180*F180</f>
        <v>7200</v>
      </c>
      <c r="H180" s="19" t="n">
        <v>0.68</v>
      </c>
      <c r="I180" s="33" t="n">
        <f aca="false">G180*(1+H180)</f>
        <v>12096</v>
      </c>
    </row>
    <row r="181" customFormat="false" ht="15" hidden="false" customHeight="true" outlineLevel="0" collapsed="false">
      <c r="A181" s="32" t="n">
        <v>2027</v>
      </c>
      <c r="B181" s="32" t="n">
        <v>12</v>
      </c>
      <c r="C181" s="32" t="s">
        <v>183</v>
      </c>
      <c r="D181" s="32" t="s">
        <v>145</v>
      </c>
      <c r="E181" s="79" t="n">
        <v>4</v>
      </c>
      <c r="F181" s="20" t="n">
        <v>1800</v>
      </c>
      <c r="G181" s="33" t="n">
        <f aca="false">E181*F181</f>
        <v>7200</v>
      </c>
      <c r="H181" s="19" t="n">
        <v>0.68</v>
      </c>
      <c r="I181" s="33" t="n">
        <f aca="false">G181*(1+H181)</f>
        <v>12096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6"/>
    <col collapsed="false" customWidth="true" hidden="false" outlineLevel="0" max="3" min="3" style="1" width="10"/>
    <col collapsed="false" customWidth="true" hidden="false" outlineLevel="0" max="4" min="4" style="1" width="24"/>
    <col collapsed="false" customWidth="true" hidden="false" outlineLevel="0" max="5" min="5" style="1" width="13"/>
    <col collapsed="false" customWidth="true" hidden="false" outlineLevel="0" max="6" min="6" style="1" width="11"/>
    <col collapsed="false" customWidth="true" hidden="false" outlineLevel="0" max="9" min="7" style="1" width="13"/>
    <col collapsed="false" customWidth="true" hidden="false" outlineLevel="0" max="10" min="10" style="1" width="15"/>
  </cols>
  <sheetData>
    <row r="1" customFormat="false" ht="23.25" hidden="false" customHeight="true" outlineLevel="0" collapsed="false">
      <c r="A1" s="25" t="s">
        <v>254</v>
      </c>
      <c r="B1" s="25" t="s">
        <v>255</v>
      </c>
      <c r="C1" s="25" t="s">
        <v>256</v>
      </c>
      <c r="D1" s="25" t="s">
        <v>349</v>
      </c>
      <c r="E1" s="25" t="s">
        <v>364</v>
      </c>
      <c r="F1" s="25" t="s">
        <v>139</v>
      </c>
      <c r="G1" s="25" t="s">
        <v>365</v>
      </c>
      <c r="H1" s="25" t="s">
        <v>366</v>
      </c>
      <c r="I1" s="25" t="s">
        <v>367</v>
      </c>
      <c r="J1" s="25" t="s">
        <v>368</v>
      </c>
    </row>
    <row r="2" customFormat="false" ht="15" hidden="false" customHeight="true" outlineLevel="0" collapsed="false">
      <c r="A2" s="32" t="n">
        <v>2025</v>
      </c>
      <c r="B2" s="32" t="n">
        <v>1</v>
      </c>
      <c r="C2" s="32" t="s">
        <v>148</v>
      </c>
      <c r="D2" s="32" t="s">
        <v>141</v>
      </c>
      <c r="E2" s="78" t="n">
        <f aca="false">SUMIFS(DRE_por_UN!$J:$J,DRE_por_UN!$C:$C,$C2,DRE_por_UN!$E:$E,$D2)</f>
        <v>12150.012</v>
      </c>
      <c r="F2" s="44" t="n">
        <f aca="false">VLOOKUP($D2,Premissas!$A$52:$P$56,15,0)</f>
        <v>50</v>
      </c>
      <c r="G2" s="33" t="n">
        <f aca="false">E2*F2/30</f>
        <v>20250.02</v>
      </c>
      <c r="H2" s="33" t="n">
        <f aca="false">G2</f>
        <v>20250.02</v>
      </c>
      <c r="I2" s="33" t="n">
        <f aca="false">E2+(G2-H2)</f>
        <v>12150.012</v>
      </c>
      <c r="J2" s="80" t="n">
        <f aca="false">IF((G2+H2)=0,0,E2*12/((G2+H2)/2))</f>
        <v>7.2</v>
      </c>
    </row>
    <row r="3" customFormat="false" ht="15" hidden="false" customHeight="true" outlineLevel="0" collapsed="false">
      <c r="A3" s="32" t="n">
        <v>2025</v>
      </c>
      <c r="B3" s="32" t="n">
        <v>2</v>
      </c>
      <c r="C3" s="32" t="s">
        <v>149</v>
      </c>
      <c r="D3" s="32" t="s">
        <v>141</v>
      </c>
      <c r="E3" s="78" t="n">
        <f aca="false">SUMIFS(DRE_por_UN!$J:$J,DRE_por_UN!$C:$C,$C3,DRE_por_UN!$E:$E,$D3)</f>
        <v>17815.847</v>
      </c>
      <c r="F3" s="44" t="n">
        <f aca="false">VLOOKUP($D3,Premissas!$A$52:$P$56,15,0)</f>
        <v>50</v>
      </c>
      <c r="G3" s="33" t="n">
        <f aca="false">E3*F3/30</f>
        <v>29693.0783333333</v>
      </c>
      <c r="H3" s="33" t="n">
        <f aca="false">G2</f>
        <v>20250.02</v>
      </c>
      <c r="I3" s="33" t="n">
        <f aca="false">E3+(G3-H3)</f>
        <v>27258.9053333333</v>
      </c>
      <c r="J3" s="80" t="n">
        <f aca="false">IF((G3+H3)=0,0,E3*12/((G3+H3)/2))</f>
        <v>8.56134966129288</v>
      </c>
    </row>
    <row r="4" customFormat="false" ht="15" hidden="false" customHeight="true" outlineLevel="0" collapsed="false">
      <c r="A4" s="32" t="n">
        <v>2025</v>
      </c>
      <c r="B4" s="32" t="n">
        <v>3</v>
      </c>
      <c r="C4" s="32" t="s">
        <v>150</v>
      </c>
      <c r="D4" s="32" t="s">
        <v>141</v>
      </c>
      <c r="E4" s="78" t="n">
        <f aca="false">SUMIFS(DRE_por_UN!$J:$J,DRE_por_UN!$C:$C,$C4,DRE_por_UN!$E:$E,$D4)</f>
        <v>17155.621</v>
      </c>
      <c r="F4" s="44" t="n">
        <f aca="false">VLOOKUP($D4,Premissas!$A$52:$P$56,15,0)</f>
        <v>50</v>
      </c>
      <c r="G4" s="33" t="n">
        <f aca="false">E4*F4/30</f>
        <v>28592.7016666667</v>
      </c>
      <c r="H4" s="33" t="n">
        <f aca="false">G3</f>
        <v>29693.0783333333</v>
      </c>
      <c r="I4" s="33" t="n">
        <f aca="false">E4+(G4-H4)</f>
        <v>16055.2443333333</v>
      </c>
      <c r="J4" s="80" t="n">
        <f aca="false">IF((G4+H4)=0,0,E4*12/((G4+H4)/2))</f>
        <v>7.06407127090004</v>
      </c>
    </row>
    <row r="5" customFormat="false" ht="15" hidden="false" customHeight="true" outlineLevel="0" collapsed="false">
      <c r="A5" s="32" t="n">
        <v>2025</v>
      </c>
      <c r="B5" s="32" t="n">
        <v>4</v>
      </c>
      <c r="C5" s="32" t="s">
        <v>151</v>
      </c>
      <c r="D5" s="32" t="s">
        <v>141</v>
      </c>
      <c r="E5" s="78" t="n">
        <f aca="false">SUMIFS(DRE_por_UN!$J:$J,DRE_por_UN!$C:$C,$C5,DRE_por_UN!$E:$E,$D5)</f>
        <v>13445.425</v>
      </c>
      <c r="F5" s="44" t="n">
        <f aca="false">VLOOKUP($D5,Premissas!$A$52:$P$56,15,0)</f>
        <v>50</v>
      </c>
      <c r="G5" s="33" t="n">
        <f aca="false">E5*F5/30</f>
        <v>22409.0416666667</v>
      </c>
      <c r="H5" s="33" t="n">
        <f aca="false">G4</f>
        <v>28592.7016666667</v>
      </c>
      <c r="I5" s="33" t="n">
        <f aca="false">E5+(G5-H5)</f>
        <v>7261.765</v>
      </c>
      <c r="J5" s="80" t="n">
        <f aca="false">IF((G5+H5)=0,0,E5*12/((G5+H5)/2))</f>
        <v>6.3270425461927</v>
      </c>
    </row>
    <row r="6" customFormat="false" ht="15" hidden="false" customHeight="true" outlineLevel="0" collapsed="false">
      <c r="A6" s="32" t="n">
        <v>2025</v>
      </c>
      <c r="B6" s="32" t="n">
        <v>5</v>
      </c>
      <c r="C6" s="32" t="s">
        <v>152</v>
      </c>
      <c r="D6" s="32" t="s">
        <v>141</v>
      </c>
      <c r="E6" s="78" t="n">
        <f aca="false">SUMIFS(DRE_por_UN!$J:$J,DRE_por_UN!$C:$C,$C6,DRE_por_UN!$E:$E,$D6)</f>
        <v>19372.969</v>
      </c>
      <c r="F6" s="44" t="n">
        <f aca="false">VLOOKUP($D6,Premissas!$A$52:$P$56,15,0)</f>
        <v>50</v>
      </c>
      <c r="G6" s="33" t="n">
        <f aca="false">E6*F6/30</f>
        <v>32288.2816666667</v>
      </c>
      <c r="H6" s="33" t="n">
        <f aca="false">G5</f>
        <v>22409.0416666667</v>
      </c>
      <c r="I6" s="33" t="n">
        <f aca="false">E6+(G6-H6)</f>
        <v>29252.209</v>
      </c>
      <c r="J6" s="80" t="n">
        <f aca="false">IF((G6+H6)=0,0,E6*12/((G6+H6)/2))</f>
        <v>8.50043891849187</v>
      </c>
    </row>
    <row r="7" customFormat="false" ht="15" hidden="false" customHeight="true" outlineLevel="0" collapsed="false">
      <c r="A7" s="32" t="n">
        <v>2025</v>
      </c>
      <c r="B7" s="32" t="n">
        <v>6</v>
      </c>
      <c r="C7" s="32" t="s">
        <v>153</v>
      </c>
      <c r="D7" s="32" t="s">
        <v>141</v>
      </c>
      <c r="E7" s="78" t="n">
        <f aca="false">SUMIFS(DRE_por_UN!$J:$J,DRE_por_UN!$C:$C,$C7,DRE_por_UN!$E:$E,$D7)</f>
        <v>18347.021</v>
      </c>
      <c r="F7" s="44" t="n">
        <f aca="false">VLOOKUP($D7,Premissas!$A$52:$P$56,15,0)</f>
        <v>50</v>
      </c>
      <c r="G7" s="33" t="n">
        <f aca="false">E7*F7/30</f>
        <v>30578.3683333333</v>
      </c>
      <c r="H7" s="33" t="n">
        <f aca="false">G6</f>
        <v>32288.2816666667</v>
      </c>
      <c r="I7" s="33" t="n">
        <f aca="false">E7+(G7-H7)</f>
        <v>16637.1076666667</v>
      </c>
      <c r="J7" s="80" t="n">
        <f aca="false">IF((G7+H7)=0,0,E7*12/((G7+H7)/2))</f>
        <v>7.00416681976851</v>
      </c>
    </row>
    <row r="8" customFormat="false" ht="15" hidden="false" customHeight="true" outlineLevel="0" collapsed="false">
      <c r="A8" s="32" t="n">
        <v>2025</v>
      </c>
      <c r="B8" s="32" t="n">
        <v>7</v>
      </c>
      <c r="C8" s="32" t="s">
        <v>154</v>
      </c>
      <c r="D8" s="32" t="s">
        <v>141</v>
      </c>
      <c r="E8" s="78" t="n">
        <f aca="false">SUMIFS(DRE_por_UN!$J:$J,DRE_por_UN!$C:$C,$C8,DRE_por_UN!$E:$E,$D8)</f>
        <v>19660.907</v>
      </c>
      <c r="F8" s="44" t="n">
        <f aca="false">VLOOKUP($D8,Premissas!$A$52:$P$56,15,0)</f>
        <v>50</v>
      </c>
      <c r="G8" s="33" t="n">
        <f aca="false">E8*F8/30</f>
        <v>32768.1783333333</v>
      </c>
      <c r="H8" s="33" t="n">
        <f aca="false">G7</f>
        <v>30578.3683333333</v>
      </c>
      <c r="I8" s="33" t="n">
        <f aca="false">E8+(G8-H8)</f>
        <v>21850.717</v>
      </c>
      <c r="J8" s="80" t="n">
        <f aca="false">IF((G8+H8)=0,0,E8*12/((G8+H8)/2))</f>
        <v>7.44889489371796</v>
      </c>
    </row>
    <row r="9" customFormat="false" ht="15" hidden="false" customHeight="true" outlineLevel="0" collapsed="false">
      <c r="A9" s="32" t="n">
        <v>2025</v>
      </c>
      <c r="B9" s="32" t="n">
        <v>8</v>
      </c>
      <c r="C9" s="32" t="s">
        <v>155</v>
      </c>
      <c r="D9" s="32" t="s">
        <v>141</v>
      </c>
      <c r="E9" s="78" t="n">
        <f aca="false">SUMIFS(DRE_por_UN!$J:$J,DRE_por_UN!$C:$C,$C9,DRE_por_UN!$E:$E,$D9)</f>
        <v>16610.944</v>
      </c>
      <c r="F9" s="44" t="n">
        <f aca="false">VLOOKUP($D9,Premissas!$A$52:$P$56,15,0)</f>
        <v>50</v>
      </c>
      <c r="G9" s="33" t="n">
        <f aca="false">E9*F9/30</f>
        <v>27684.9066666667</v>
      </c>
      <c r="H9" s="33" t="n">
        <f aca="false">G8</f>
        <v>32768.1783333333</v>
      </c>
      <c r="I9" s="33" t="n">
        <f aca="false">E9+(G9-H9)</f>
        <v>11527.6723333333</v>
      </c>
      <c r="J9" s="80" t="n">
        <f aca="false">IF((G9+H9)=0,0,E9*12/((G9+H9)/2))</f>
        <v>6.59457918483399</v>
      </c>
    </row>
    <row r="10" customFormat="false" ht="15" hidden="false" customHeight="true" outlineLevel="0" collapsed="false">
      <c r="A10" s="32" t="n">
        <v>2025</v>
      </c>
      <c r="B10" s="32" t="n">
        <v>9</v>
      </c>
      <c r="C10" s="32" t="s">
        <v>156</v>
      </c>
      <c r="D10" s="32" t="s">
        <v>141</v>
      </c>
      <c r="E10" s="78" t="n">
        <f aca="false">SUMIFS(DRE_por_UN!$J:$J,DRE_por_UN!$C:$C,$C10,DRE_por_UN!$E:$E,$D10)</f>
        <v>13829.284</v>
      </c>
      <c r="F10" s="44" t="n">
        <f aca="false">VLOOKUP($D10,Premissas!$A$52:$P$56,15,0)</f>
        <v>50</v>
      </c>
      <c r="G10" s="33" t="n">
        <f aca="false">E10*F10/30</f>
        <v>23048.8066666667</v>
      </c>
      <c r="H10" s="33" t="n">
        <f aca="false">G9</f>
        <v>27684.9066666667</v>
      </c>
      <c r="I10" s="33" t="n">
        <f aca="false">E10+(G10-H10)</f>
        <v>9193.184</v>
      </c>
      <c r="J10" s="80" t="n">
        <f aca="false">IF((G10+H10)=0,0,E10*12/((G10+H10)/2))</f>
        <v>6.54205643926189</v>
      </c>
    </row>
    <row r="11" customFormat="false" ht="15" hidden="false" customHeight="true" outlineLevel="0" collapsed="false">
      <c r="A11" s="32" t="n">
        <v>2025</v>
      </c>
      <c r="B11" s="32" t="n">
        <v>10</v>
      </c>
      <c r="C11" s="32" t="s">
        <v>157</v>
      </c>
      <c r="D11" s="32" t="s">
        <v>141</v>
      </c>
      <c r="E11" s="78" t="n">
        <f aca="false">SUMIFS(DRE_por_UN!$J:$J,DRE_por_UN!$C:$C,$C11,DRE_por_UN!$E:$E,$D11)</f>
        <v>23383.563</v>
      </c>
      <c r="F11" s="44" t="n">
        <f aca="false">VLOOKUP($D11,Premissas!$A$52:$P$56,15,0)</f>
        <v>50</v>
      </c>
      <c r="G11" s="33" t="n">
        <f aca="false">E11*F11/30</f>
        <v>38972.605</v>
      </c>
      <c r="H11" s="33" t="n">
        <f aca="false">G10</f>
        <v>23048.8066666667</v>
      </c>
      <c r="I11" s="33" t="n">
        <f aca="false">E11+(G11-H11)</f>
        <v>39307.3613333333</v>
      </c>
      <c r="J11" s="80" t="n">
        <f aca="false">IF((G11+H11)=0,0,E11*12/((G11+H11)/2))</f>
        <v>9.04857688528911</v>
      </c>
    </row>
    <row r="12" customFormat="false" ht="15" hidden="false" customHeight="true" outlineLevel="0" collapsed="false">
      <c r="A12" s="32" t="n">
        <v>2025</v>
      </c>
      <c r="B12" s="32" t="n">
        <v>11</v>
      </c>
      <c r="C12" s="32" t="s">
        <v>158</v>
      </c>
      <c r="D12" s="32" t="s">
        <v>141</v>
      </c>
      <c r="E12" s="78" t="n">
        <f aca="false">SUMIFS(DRE_por_UN!$J:$J,DRE_por_UN!$C:$C,$C12,DRE_por_UN!$E:$E,$D12)</f>
        <v>20226.57</v>
      </c>
      <c r="F12" s="44" t="n">
        <f aca="false">VLOOKUP($D12,Premissas!$A$52:$P$56,15,0)</f>
        <v>50</v>
      </c>
      <c r="G12" s="33" t="n">
        <f aca="false">E12*F12/30</f>
        <v>33710.95</v>
      </c>
      <c r="H12" s="33" t="n">
        <f aca="false">G11</f>
        <v>38972.605</v>
      </c>
      <c r="I12" s="33" t="n">
        <f aca="false">E12+(G12-H12)</f>
        <v>14964.915</v>
      </c>
      <c r="J12" s="80" t="n">
        <f aca="false">IF((G12+H12)=0,0,E12*12/((G12+H12)/2))</f>
        <v>6.67878284159326</v>
      </c>
    </row>
    <row r="13" customFormat="false" ht="15" hidden="false" customHeight="true" outlineLevel="0" collapsed="false">
      <c r="A13" s="32" t="n">
        <v>2025</v>
      </c>
      <c r="B13" s="32" t="n">
        <v>12</v>
      </c>
      <c r="C13" s="32" t="s">
        <v>159</v>
      </c>
      <c r="D13" s="32" t="s">
        <v>141</v>
      </c>
      <c r="E13" s="78" t="n">
        <f aca="false">SUMIFS(DRE_por_UN!$J:$J,DRE_por_UN!$C:$C,$C13,DRE_por_UN!$E:$E,$D13)</f>
        <v>18957.372</v>
      </c>
      <c r="F13" s="44" t="n">
        <f aca="false">VLOOKUP($D13,Premissas!$A$52:$P$56,15,0)</f>
        <v>50</v>
      </c>
      <c r="G13" s="33" t="n">
        <f aca="false">E13*F13/30</f>
        <v>31595.62</v>
      </c>
      <c r="H13" s="33" t="n">
        <f aca="false">G12</f>
        <v>33710.95</v>
      </c>
      <c r="I13" s="33" t="n">
        <f aca="false">E13+(G13-H13)</f>
        <v>16842.042</v>
      </c>
      <c r="J13" s="80" t="n">
        <f aca="false">IF((G13+H13)=0,0,E13*12/((G13+H13)/2))</f>
        <v>6.9667864657415</v>
      </c>
    </row>
    <row r="14" customFormat="false" ht="15" hidden="false" customHeight="true" outlineLevel="0" collapsed="false">
      <c r="A14" s="32" t="n">
        <v>2026</v>
      </c>
      <c r="B14" s="32" t="n">
        <v>1</v>
      </c>
      <c r="C14" s="32" t="s">
        <v>160</v>
      </c>
      <c r="D14" s="32" t="s">
        <v>141</v>
      </c>
      <c r="E14" s="78" t="n">
        <f aca="false">SUMIFS(DRE_por_UN!$J:$J,DRE_por_UN!$C:$C,$C14,DRE_por_UN!$E:$E,$D14)</f>
        <v>13808.263</v>
      </c>
      <c r="F14" s="44" t="n">
        <f aca="false">VLOOKUP($D14,Premissas!$A$52:$P$56,15,0)</f>
        <v>50</v>
      </c>
      <c r="G14" s="33" t="n">
        <f aca="false">E14*F14/30</f>
        <v>23013.7716666667</v>
      </c>
      <c r="H14" s="33" t="n">
        <f aca="false">G13</f>
        <v>31595.62</v>
      </c>
      <c r="I14" s="33" t="n">
        <f aca="false">E14+(G14-H14)</f>
        <v>5226.41466666668</v>
      </c>
      <c r="J14" s="80" t="n">
        <f aca="false">IF((G14+H14)=0,0,E14*12/((G14+H14)/2))</f>
        <v>6.06852231614007</v>
      </c>
    </row>
    <row r="15" customFormat="false" ht="15" hidden="false" customHeight="true" outlineLevel="0" collapsed="false">
      <c r="A15" s="32" t="n">
        <v>2026</v>
      </c>
      <c r="B15" s="32" t="n">
        <v>2</v>
      </c>
      <c r="C15" s="32" t="s">
        <v>161</v>
      </c>
      <c r="D15" s="32" t="s">
        <v>141</v>
      </c>
      <c r="E15" s="78" t="n">
        <f aca="false">SUMIFS(DRE_por_UN!$J:$J,DRE_por_UN!$C:$C,$C15,DRE_por_UN!$E:$E,$D15)</f>
        <v>12204.829</v>
      </c>
      <c r="F15" s="44" t="n">
        <f aca="false">VLOOKUP($D15,Premissas!$A$52:$P$56,15,0)</f>
        <v>50</v>
      </c>
      <c r="G15" s="33" t="n">
        <f aca="false">E15*F15/30</f>
        <v>20341.3816666667</v>
      </c>
      <c r="H15" s="33" t="n">
        <f aca="false">G14</f>
        <v>23013.7716666667</v>
      </c>
      <c r="I15" s="33" t="n">
        <f aca="false">E15+(G15-H15)</f>
        <v>9532.43899999999</v>
      </c>
      <c r="J15" s="80" t="n">
        <f aca="false">IF((G15+H15)=0,0,E15*12/((G15+H15)/2))</f>
        <v>6.75619559566391</v>
      </c>
    </row>
    <row r="16" customFormat="false" ht="15" hidden="false" customHeight="true" outlineLevel="0" collapsed="false">
      <c r="A16" s="32" t="n">
        <v>2026</v>
      </c>
      <c r="B16" s="32" t="n">
        <v>3</v>
      </c>
      <c r="C16" s="32" t="s">
        <v>162</v>
      </c>
      <c r="D16" s="32" t="s">
        <v>141</v>
      </c>
      <c r="E16" s="78" t="n">
        <f aca="false">SUMIFS(DRE_por_UN!$J:$J,DRE_por_UN!$C:$C,$C16,DRE_por_UN!$E:$E,$D16)</f>
        <v>18390.239</v>
      </c>
      <c r="F16" s="44" t="n">
        <f aca="false">VLOOKUP($D16,Premissas!$A$52:$P$56,15,0)</f>
        <v>50</v>
      </c>
      <c r="G16" s="33" t="n">
        <f aca="false">E16*F16/30</f>
        <v>30650.3983333333</v>
      </c>
      <c r="H16" s="33" t="n">
        <f aca="false">G15</f>
        <v>20341.3816666667</v>
      </c>
      <c r="I16" s="33" t="n">
        <f aca="false">E16+(G16-H16)</f>
        <v>28699.2556666667</v>
      </c>
      <c r="J16" s="80" t="n">
        <f aca="false">IF((G16+H16)=0,0,E16*12/((G16+H16)/2))</f>
        <v>8.65562520076765</v>
      </c>
    </row>
    <row r="17" customFormat="false" ht="15" hidden="false" customHeight="true" outlineLevel="0" collapsed="false">
      <c r="A17" s="32" t="n">
        <v>2026</v>
      </c>
      <c r="B17" s="32" t="n">
        <v>4</v>
      </c>
      <c r="C17" s="32" t="s">
        <v>163</v>
      </c>
      <c r="D17" s="32" t="s">
        <v>141</v>
      </c>
      <c r="E17" s="78" t="n">
        <f aca="false">SUMIFS(DRE_por_UN!$J:$J,DRE_por_UN!$C:$C,$C17,DRE_por_UN!$E:$E,$D17)</f>
        <v>14398.426</v>
      </c>
      <c r="F17" s="44" t="n">
        <f aca="false">VLOOKUP($D17,Premissas!$A$52:$P$56,15,0)</f>
        <v>50</v>
      </c>
      <c r="G17" s="33" t="n">
        <f aca="false">E17*F17/30</f>
        <v>23997.3766666667</v>
      </c>
      <c r="H17" s="33" t="n">
        <f aca="false">G16</f>
        <v>30650.3983333333</v>
      </c>
      <c r="I17" s="33" t="n">
        <f aca="false">E17+(G17-H17)</f>
        <v>7745.40433333333</v>
      </c>
      <c r="J17" s="80" t="n">
        <f aca="false">IF((G17+H17)=0,0,E17*12/((G17+H17)/2))</f>
        <v>6.32344544677254</v>
      </c>
    </row>
    <row r="18" customFormat="false" ht="15" hidden="false" customHeight="true" outlineLevel="0" collapsed="false">
      <c r="A18" s="32" t="n">
        <v>2026</v>
      </c>
      <c r="B18" s="32" t="n">
        <v>5</v>
      </c>
      <c r="C18" s="32" t="s">
        <v>164</v>
      </c>
      <c r="D18" s="32" t="s">
        <v>141</v>
      </c>
      <c r="E18" s="78" t="n">
        <f aca="false">SUMIFS(DRE_por_UN!$J:$J,DRE_por_UN!$C:$C,$C18,DRE_por_UN!$E:$E,$D18)</f>
        <v>18771.788</v>
      </c>
      <c r="F18" s="44" t="n">
        <f aca="false">VLOOKUP($D18,Premissas!$A$52:$P$56,15,0)</f>
        <v>50</v>
      </c>
      <c r="G18" s="33" t="n">
        <f aca="false">E18*F18/30</f>
        <v>31286.3133333333</v>
      </c>
      <c r="H18" s="33" t="n">
        <f aca="false">G17</f>
        <v>23997.3766666667</v>
      </c>
      <c r="I18" s="33" t="n">
        <f aca="false">E18+(G18-H18)</f>
        <v>26060.7246666667</v>
      </c>
      <c r="J18" s="80" t="n">
        <f aca="false">IF((G18+H18)=0,0,E18*12/((G18+H18)/2))</f>
        <v>8.14929162651769</v>
      </c>
    </row>
    <row r="19" customFormat="false" ht="15" hidden="false" customHeight="true" outlineLevel="0" collapsed="false">
      <c r="A19" s="32" t="n">
        <v>2026</v>
      </c>
      <c r="B19" s="32" t="n">
        <v>6</v>
      </c>
      <c r="C19" s="32" t="s">
        <v>165</v>
      </c>
      <c r="D19" s="32" t="s">
        <v>141</v>
      </c>
      <c r="E19" s="78" t="n">
        <f aca="false">SUMIFS(DRE_por_UN!$J:$J,DRE_por_UN!$C:$C,$C19,DRE_por_UN!$E:$E,$D19)</f>
        <v>15655.654</v>
      </c>
      <c r="F19" s="44" t="n">
        <f aca="false">VLOOKUP($D19,Premissas!$A$52:$P$56,15,0)</f>
        <v>50</v>
      </c>
      <c r="G19" s="33" t="n">
        <f aca="false">E19*F19/30</f>
        <v>26092.7566666667</v>
      </c>
      <c r="H19" s="33" t="n">
        <f aca="false">G18</f>
        <v>31286.3133333333</v>
      </c>
      <c r="I19" s="33" t="n">
        <f aca="false">E19+(G19-H19)</f>
        <v>10462.0973333333</v>
      </c>
      <c r="J19" s="80" t="n">
        <f aca="false">IF((G19+H19)=0,0,E19*12/((G19+H19)/2))</f>
        <v>6.54830578467026</v>
      </c>
    </row>
    <row r="20" customFormat="false" ht="15" hidden="false" customHeight="true" outlineLevel="0" collapsed="false">
      <c r="A20" s="32" t="n">
        <v>2026</v>
      </c>
      <c r="B20" s="32" t="n">
        <v>7</v>
      </c>
      <c r="C20" s="32" t="s">
        <v>166</v>
      </c>
      <c r="D20" s="32" t="s">
        <v>141</v>
      </c>
      <c r="E20" s="78" t="n">
        <f aca="false">SUMIFS(DRE_por_UN!$J:$J,DRE_por_UN!$C:$C,$C20,DRE_por_UN!$E:$E,$D20)</f>
        <v>22294.748</v>
      </c>
      <c r="F20" s="44" t="n">
        <f aca="false">VLOOKUP($D20,Premissas!$A$52:$P$56,15,0)</f>
        <v>50</v>
      </c>
      <c r="G20" s="33" t="n">
        <f aca="false">E20*F20/30</f>
        <v>37157.9133333333</v>
      </c>
      <c r="H20" s="33" t="n">
        <f aca="false">G19</f>
        <v>26092.7566666667</v>
      </c>
      <c r="I20" s="33" t="n">
        <f aca="false">E20+(G20-H20)</f>
        <v>33359.9046666667</v>
      </c>
      <c r="J20" s="80" t="n">
        <f aca="false">IF((G20+H20)=0,0,E20*12/((G20+H20)/2))</f>
        <v>8.45957761396046</v>
      </c>
    </row>
    <row r="21" customFormat="false" ht="15" hidden="false" customHeight="true" outlineLevel="0" collapsed="false">
      <c r="A21" s="32" t="n">
        <v>2026</v>
      </c>
      <c r="B21" s="32" t="n">
        <v>8</v>
      </c>
      <c r="C21" s="32" t="s">
        <v>167</v>
      </c>
      <c r="D21" s="32" t="s">
        <v>141</v>
      </c>
      <c r="E21" s="78" t="n">
        <f aca="false">SUMIFS(DRE_por_UN!$J:$J,DRE_por_UN!$C:$C,$C21,DRE_por_UN!$E:$E,$D21)</f>
        <v>19484.689</v>
      </c>
      <c r="F21" s="44" t="n">
        <f aca="false">VLOOKUP($D21,Premissas!$A$52:$P$56,15,0)</f>
        <v>50</v>
      </c>
      <c r="G21" s="33" t="n">
        <f aca="false">E21*F21/30</f>
        <v>32474.4816666667</v>
      </c>
      <c r="H21" s="33" t="n">
        <f aca="false">G20</f>
        <v>37157.9133333333</v>
      </c>
      <c r="I21" s="33" t="n">
        <f aca="false">E21+(G21-H21)</f>
        <v>14801.2573333333</v>
      </c>
      <c r="J21" s="80" t="n">
        <f aca="false">IF((G21+H21)=0,0,E21*12/((G21+H21)/2))</f>
        <v>6.71573246906128</v>
      </c>
    </row>
    <row r="22" customFormat="false" ht="15" hidden="false" customHeight="true" outlineLevel="0" collapsed="false">
      <c r="A22" s="32" t="n">
        <v>2026</v>
      </c>
      <c r="B22" s="32" t="n">
        <v>9</v>
      </c>
      <c r="C22" s="32" t="s">
        <v>168</v>
      </c>
      <c r="D22" s="32" t="s">
        <v>141</v>
      </c>
      <c r="E22" s="78" t="n">
        <f aca="false">SUMIFS(DRE_por_UN!$J:$J,DRE_por_UN!$C:$C,$C22,DRE_por_UN!$E:$E,$D22)</f>
        <v>20214.936</v>
      </c>
      <c r="F22" s="44" t="n">
        <f aca="false">VLOOKUP($D22,Premissas!$A$52:$P$56,15,0)</f>
        <v>50</v>
      </c>
      <c r="G22" s="33" t="n">
        <f aca="false">E22*F22/30</f>
        <v>33691.56</v>
      </c>
      <c r="H22" s="33" t="n">
        <f aca="false">G21</f>
        <v>32474.4816666667</v>
      </c>
      <c r="I22" s="33" t="n">
        <f aca="false">E22+(G22-H22)</f>
        <v>21432.0143333333</v>
      </c>
      <c r="J22" s="80" t="n">
        <f aca="false">IF((G22+H22)=0,0,E22*12/((G22+H22)/2))</f>
        <v>7.3324389940711</v>
      </c>
    </row>
    <row r="23" customFormat="false" ht="15" hidden="false" customHeight="true" outlineLevel="0" collapsed="false">
      <c r="A23" s="32" t="n">
        <v>2026</v>
      </c>
      <c r="B23" s="32" t="n">
        <v>10</v>
      </c>
      <c r="C23" s="32" t="s">
        <v>169</v>
      </c>
      <c r="D23" s="32" t="s">
        <v>141</v>
      </c>
      <c r="E23" s="78" t="n">
        <f aca="false">SUMIFS(DRE_por_UN!$J:$J,DRE_por_UN!$C:$C,$C23,DRE_por_UN!$E:$E,$D23)</f>
        <v>20250.531</v>
      </c>
      <c r="F23" s="44" t="n">
        <f aca="false">VLOOKUP($D23,Premissas!$A$52:$P$56,15,0)</f>
        <v>50</v>
      </c>
      <c r="G23" s="33" t="n">
        <f aca="false">E23*F23/30</f>
        <v>33750.885</v>
      </c>
      <c r="H23" s="33" t="n">
        <f aca="false">G22</f>
        <v>33691.56</v>
      </c>
      <c r="I23" s="33" t="n">
        <f aca="false">E23+(G23-H23)</f>
        <v>20309.856</v>
      </c>
      <c r="J23" s="80" t="n">
        <f aca="false">IF((G23+H23)=0,0,E23*12/((G23+H23)/2))</f>
        <v>7.20633340027931</v>
      </c>
    </row>
    <row r="24" customFormat="false" ht="15" hidden="false" customHeight="true" outlineLevel="0" collapsed="false">
      <c r="A24" s="32" t="n">
        <v>2026</v>
      </c>
      <c r="B24" s="32" t="n">
        <v>11</v>
      </c>
      <c r="C24" s="32" t="s">
        <v>170</v>
      </c>
      <c r="D24" s="32" t="s">
        <v>141</v>
      </c>
      <c r="E24" s="78" t="n">
        <f aca="false">SUMIFS(DRE_por_UN!$J:$J,DRE_por_UN!$C:$C,$C24,DRE_por_UN!$E:$E,$D24)</f>
        <v>24006.304</v>
      </c>
      <c r="F24" s="44" t="n">
        <f aca="false">VLOOKUP($D24,Premissas!$A$52:$P$56,15,0)</f>
        <v>50</v>
      </c>
      <c r="G24" s="33" t="n">
        <f aca="false">E24*F24/30</f>
        <v>40010.5066666667</v>
      </c>
      <c r="H24" s="33" t="n">
        <f aca="false">G23</f>
        <v>33750.885</v>
      </c>
      <c r="I24" s="33" t="n">
        <f aca="false">E24+(G24-H24)</f>
        <v>30265.9256666667</v>
      </c>
      <c r="J24" s="80" t="n">
        <f aca="false">IF((G24+H24)=0,0,E24*12/((G24+H24)/2))</f>
        <v>7.81101444782484</v>
      </c>
    </row>
    <row r="25" customFormat="false" ht="15" hidden="false" customHeight="true" outlineLevel="0" collapsed="false">
      <c r="A25" s="32" t="n">
        <v>2026</v>
      </c>
      <c r="B25" s="32" t="n">
        <v>12</v>
      </c>
      <c r="C25" s="32" t="s">
        <v>171</v>
      </c>
      <c r="D25" s="32" t="s">
        <v>141</v>
      </c>
      <c r="E25" s="78" t="n">
        <f aca="false">SUMIFS(DRE_por_UN!$J:$J,DRE_por_UN!$C:$C,$C25,DRE_por_UN!$E:$E,$D25)</f>
        <v>23834.601</v>
      </c>
      <c r="F25" s="44" t="n">
        <f aca="false">VLOOKUP($D25,Premissas!$A$52:$P$56,15,0)</f>
        <v>50</v>
      </c>
      <c r="G25" s="33" t="n">
        <f aca="false">E25*F25/30</f>
        <v>39724.335</v>
      </c>
      <c r="H25" s="33" t="n">
        <f aca="false">G24</f>
        <v>40010.5066666667</v>
      </c>
      <c r="I25" s="33" t="n">
        <f aca="false">E25+(G25-H25)</f>
        <v>23548.4293333333</v>
      </c>
      <c r="J25" s="80" t="n">
        <f aca="false">IF((G25+H25)=0,0,E25*12/((G25+H25)/2))</f>
        <v>7.17415890021311</v>
      </c>
    </row>
    <row r="26" customFormat="false" ht="15" hidden="false" customHeight="true" outlineLevel="0" collapsed="false">
      <c r="A26" s="32" t="n">
        <v>2027</v>
      </c>
      <c r="B26" s="32" t="n">
        <v>1</v>
      </c>
      <c r="C26" s="32" t="s">
        <v>172</v>
      </c>
      <c r="D26" s="32" t="s">
        <v>141</v>
      </c>
      <c r="E26" s="78" t="n">
        <f aca="false">SUMIFS(DRE_por_UN!$J:$J,DRE_por_UN!$C:$C,$C26,DRE_por_UN!$E:$E,$D26)</f>
        <v>15387.855373044</v>
      </c>
      <c r="F26" s="44" t="n">
        <f aca="false">VLOOKUP($D26,Premissas!$A$52:$P$56,15,0)</f>
        <v>50</v>
      </c>
      <c r="G26" s="33" t="n">
        <f aca="false">E26*F26/30</f>
        <v>25646.42562174</v>
      </c>
      <c r="H26" s="33" t="n">
        <f aca="false">G25</f>
        <v>39724.335</v>
      </c>
      <c r="I26" s="33" t="n">
        <f aca="false">E26+(G26-H26)</f>
        <v>1309.94599478401</v>
      </c>
      <c r="J26" s="80" t="n">
        <f aca="false">IF((G26+H26)=0,0,E26*12/((G26+H26)/2))</f>
        <v>5.64944518681701</v>
      </c>
    </row>
    <row r="27" customFormat="false" ht="15" hidden="false" customHeight="true" outlineLevel="0" collapsed="false">
      <c r="A27" s="32" t="n">
        <v>2027</v>
      </c>
      <c r="B27" s="32" t="n">
        <v>2</v>
      </c>
      <c r="C27" s="32" t="s">
        <v>173</v>
      </c>
      <c r="D27" s="32" t="s">
        <v>141</v>
      </c>
      <c r="E27" s="78" t="n">
        <f aca="false">SUMIFS(DRE_por_UN!$J:$J,DRE_por_UN!$C:$C,$C27,DRE_por_UN!$E:$E,$D27)</f>
        <v>13192.484943204</v>
      </c>
      <c r="F27" s="44" t="n">
        <f aca="false">VLOOKUP($D27,Premissas!$A$52:$P$56,15,0)</f>
        <v>50</v>
      </c>
      <c r="G27" s="33" t="n">
        <f aca="false">E27*F27/30</f>
        <v>21987.47490534</v>
      </c>
      <c r="H27" s="33" t="n">
        <f aca="false">G26</f>
        <v>25646.42562174</v>
      </c>
      <c r="I27" s="33" t="n">
        <f aca="false">E27+(G27-H27)</f>
        <v>9533.53422680399</v>
      </c>
      <c r="J27" s="80" t="n">
        <f aca="false">IF((G27+H27)=0,0,E27*12/((G27+H27)/2))</f>
        <v>6.64693915747875</v>
      </c>
    </row>
    <row r="28" customFormat="false" ht="15" hidden="false" customHeight="true" outlineLevel="0" collapsed="false">
      <c r="A28" s="32" t="n">
        <v>2027</v>
      </c>
      <c r="B28" s="32" t="n">
        <v>3</v>
      </c>
      <c r="C28" s="32" t="s">
        <v>174</v>
      </c>
      <c r="D28" s="32" t="s">
        <v>141</v>
      </c>
      <c r="E28" s="78" t="n">
        <f aca="false">SUMIFS(DRE_por_UN!$J:$J,DRE_por_UN!$C:$C,$C28,DRE_por_UN!$E:$E,$D28)</f>
        <v>19386.562544244</v>
      </c>
      <c r="F28" s="44" t="n">
        <f aca="false">VLOOKUP($D28,Premissas!$A$52:$P$56,15,0)</f>
        <v>50</v>
      </c>
      <c r="G28" s="33" t="n">
        <f aca="false">E28*F28/30</f>
        <v>32310.93757374</v>
      </c>
      <c r="H28" s="33" t="n">
        <f aca="false">G27</f>
        <v>21987.47490534</v>
      </c>
      <c r="I28" s="33" t="n">
        <f aca="false">E28+(G28-H28)</f>
        <v>29710.025212644</v>
      </c>
      <c r="J28" s="80" t="n">
        <f aca="false">IF((G28+H28)=0,0,E28*12/((G28+H28)/2))</f>
        <v>8.56889694963213</v>
      </c>
    </row>
    <row r="29" customFormat="false" ht="15" hidden="false" customHeight="true" outlineLevel="0" collapsed="false">
      <c r="A29" s="32" t="n">
        <v>2027</v>
      </c>
      <c r="B29" s="32" t="n">
        <v>4</v>
      </c>
      <c r="C29" s="32" t="s">
        <v>175</v>
      </c>
      <c r="D29" s="32" t="s">
        <v>141</v>
      </c>
      <c r="E29" s="78" t="n">
        <f aca="false">SUMIFS(DRE_por_UN!$J:$J,DRE_por_UN!$C:$C,$C29,DRE_por_UN!$E:$E,$D29)</f>
        <v>14983.410018276</v>
      </c>
      <c r="F29" s="44" t="n">
        <f aca="false">VLOOKUP($D29,Premissas!$A$52:$P$56,15,0)</f>
        <v>50</v>
      </c>
      <c r="G29" s="33" t="n">
        <f aca="false">E29*F29/30</f>
        <v>24972.35003046</v>
      </c>
      <c r="H29" s="33" t="n">
        <f aca="false">G28</f>
        <v>32310.93757374</v>
      </c>
      <c r="I29" s="33" t="n">
        <f aca="false">E29+(G29-H29)</f>
        <v>7644.822474996</v>
      </c>
      <c r="J29" s="80" t="n">
        <f aca="false">IF((G29+H29)=0,0,E29*12/((G29+H29)/2))</f>
        <v>6.27760478629125</v>
      </c>
    </row>
    <row r="30" customFormat="false" ht="15" hidden="false" customHeight="true" outlineLevel="0" collapsed="false">
      <c r="A30" s="32" t="n">
        <v>2027</v>
      </c>
      <c r="B30" s="32" t="n">
        <v>5</v>
      </c>
      <c r="C30" s="32" t="s">
        <v>176</v>
      </c>
      <c r="D30" s="32" t="s">
        <v>141</v>
      </c>
      <c r="E30" s="78" t="n">
        <f aca="false">SUMIFS(DRE_por_UN!$J:$J,DRE_por_UN!$C:$C,$C30,DRE_por_UN!$E:$E,$D30)</f>
        <v>19345.504715712</v>
      </c>
      <c r="F30" s="44" t="n">
        <f aca="false">VLOOKUP($D30,Premissas!$A$52:$P$56,15,0)</f>
        <v>50</v>
      </c>
      <c r="G30" s="33" t="n">
        <f aca="false">E30*F30/30</f>
        <v>32242.50785952</v>
      </c>
      <c r="H30" s="33" t="n">
        <f aca="false">G29</f>
        <v>24972.35003046</v>
      </c>
      <c r="I30" s="33" t="n">
        <f aca="false">E30+(G30-H30)</f>
        <v>26615.662544772</v>
      </c>
      <c r="J30" s="80" t="n">
        <f aca="false">IF((G30+H30)=0,0,E30*12/((G30+H30)/2))</f>
        <v>8.11488711673265</v>
      </c>
    </row>
    <row r="31" customFormat="false" ht="15" hidden="false" customHeight="true" outlineLevel="0" collapsed="false">
      <c r="A31" s="32" t="n">
        <v>2027</v>
      </c>
      <c r="B31" s="32" t="n">
        <v>6</v>
      </c>
      <c r="C31" s="32" t="s">
        <v>177</v>
      </c>
      <c r="D31" s="32" t="s">
        <v>141</v>
      </c>
      <c r="E31" s="78" t="n">
        <f aca="false">SUMIFS(DRE_por_UN!$J:$J,DRE_por_UN!$C:$C,$C31,DRE_por_UN!$E:$E,$D31)</f>
        <v>16518.893523804</v>
      </c>
      <c r="F31" s="44" t="n">
        <f aca="false">VLOOKUP($D31,Premissas!$A$52:$P$56,15,0)</f>
        <v>50</v>
      </c>
      <c r="G31" s="33" t="n">
        <f aca="false">E31*F31/30</f>
        <v>27531.48920634</v>
      </c>
      <c r="H31" s="33" t="n">
        <f aca="false">G30</f>
        <v>32242.50785952</v>
      </c>
      <c r="I31" s="33" t="n">
        <f aca="false">E31+(G31-H31)</f>
        <v>11807.874870624</v>
      </c>
      <c r="J31" s="80" t="n">
        <f aca="false">IF((G31+H31)=0,0,E31*12/((G31+H31)/2))</f>
        <v>6.63254030234045</v>
      </c>
    </row>
    <row r="32" customFormat="false" ht="15" hidden="false" customHeight="true" outlineLevel="0" collapsed="false">
      <c r="A32" s="32" t="n">
        <v>2027</v>
      </c>
      <c r="B32" s="32" t="n">
        <v>7</v>
      </c>
      <c r="C32" s="32" t="s">
        <v>178</v>
      </c>
      <c r="D32" s="32" t="s">
        <v>141</v>
      </c>
      <c r="E32" s="78" t="n">
        <f aca="false">SUMIFS(DRE_por_UN!$J:$J,DRE_por_UN!$C:$C,$C32,DRE_por_UN!$E:$E,$D32)</f>
        <v>23688.05696208</v>
      </c>
      <c r="F32" s="44" t="n">
        <f aca="false">VLOOKUP($D32,Premissas!$A$52:$P$56,15,0)</f>
        <v>50</v>
      </c>
      <c r="G32" s="33" t="n">
        <f aca="false">E32*F32/30</f>
        <v>39480.0949368</v>
      </c>
      <c r="H32" s="33" t="n">
        <f aca="false">G31</f>
        <v>27531.48920634</v>
      </c>
      <c r="I32" s="33" t="n">
        <f aca="false">E32+(G32-H32)</f>
        <v>35636.66269254</v>
      </c>
      <c r="J32" s="80" t="n">
        <f aca="false">IF((G32+H32)=0,0,E32*12/((G32+H32)/2))</f>
        <v>8.48380730524961</v>
      </c>
    </row>
    <row r="33" customFormat="false" ht="15" hidden="false" customHeight="true" outlineLevel="0" collapsed="false">
      <c r="A33" s="32" t="n">
        <v>2027</v>
      </c>
      <c r="B33" s="32" t="n">
        <v>8</v>
      </c>
      <c r="C33" s="32" t="s">
        <v>179</v>
      </c>
      <c r="D33" s="32" t="s">
        <v>141</v>
      </c>
      <c r="E33" s="78" t="n">
        <f aca="false">SUMIFS(DRE_por_UN!$J:$J,DRE_por_UN!$C:$C,$C33,DRE_por_UN!$E:$E,$D33)</f>
        <v>21085.097253192</v>
      </c>
      <c r="F33" s="44" t="n">
        <f aca="false">VLOOKUP($D33,Premissas!$A$52:$P$56,15,0)</f>
        <v>50</v>
      </c>
      <c r="G33" s="33" t="n">
        <f aca="false">E33*F33/30</f>
        <v>35141.82875532</v>
      </c>
      <c r="H33" s="33" t="n">
        <f aca="false">G32</f>
        <v>39480.0949368</v>
      </c>
      <c r="I33" s="33" t="n">
        <f aca="false">E33+(G33-H33)</f>
        <v>16746.831071712</v>
      </c>
      <c r="J33" s="80" t="n">
        <f aca="false">IF((G33+H33)=0,0,E33*12/((G33+H33)/2))</f>
        <v>6.78141635914494</v>
      </c>
    </row>
    <row r="34" customFormat="false" ht="15" hidden="false" customHeight="true" outlineLevel="0" collapsed="false">
      <c r="A34" s="32" t="n">
        <v>2027</v>
      </c>
      <c r="B34" s="32" t="n">
        <v>9</v>
      </c>
      <c r="C34" s="32" t="s">
        <v>180</v>
      </c>
      <c r="D34" s="32" t="s">
        <v>141</v>
      </c>
      <c r="E34" s="78" t="n">
        <f aca="false">SUMIFS(DRE_por_UN!$J:$J,DRE_por_UN!$C:$C,$C34,DRE_por_UN!$E:$E,$D34)</f>
        <v>21204.967340088</v>
      </c>
      <c r="F34" s="44" t="n">
        <f aca="false">VLOOKUP($D34,Premissas!$A$52:$P$56,15,0)</f>
        <v>50</v>
      </c>
      <c r="G34" s="33" t="n">
        <f aca="false">E34*F34/30</f>
        <v>35341.61223348</v>
      </c>
      <c r="H34" s="33" t="n">
        <f aca="false">G33</f>
        <v>35141.82875532</v>
      </c>
      <c r="I34" s="33" t="n">
        <f aca="false">E34+(G34-H34)</f>
        <v>21404.750818248</v>
      </c>
      <c r="J34" s="80" t="n">
        <f aca="false">IF((G34+H34)=0,0,E34*12/((G34+H34)/2))</f>
        <v>7.22040821251875</v>
      </c>
    </row>
    <row r="35" customFormat="false" ht="15" hidden="false" customHeight="true" outlineLevel="0" collapsed="false">
      <c r="A35" s="32" t="n">
        <v>2027</v>
      </c>
      <c r="B35" s="32" t="n">
        <v>10</v>
      </c>
      <c r="C35" s="32" t="s">
        <v>181</v>
      </c>
      <c r="D35" s="32" t="s">
        <v>141</v>
      </c>
      <c r="E35" s="78" t="n">
        <f aca="false">SUMIFS(DRE_por_UN!$J:$J,DRE_por_UN!$C:$C,$C35,DRE_por_UN!$E:$E,$D35)</f>
        <v>21729.36935358</v>
      </c>
      <c r="F35" s="44" t="n">
        <f aca="false">VLOOKUP($D35,Premissas!$A$52:$P$56,15,0)</f>
        <v>50</v>
      </c>
      <c r="G35" s="33" t="n">
        <f aca="false">E35*F35/30</f>
        <v>36215.6155893</v>
      </c>
      <c r="H35" s="33" t="n">
        <f aca="false">G34</f>
        <v>35341.61223348</v>
      </c>
      <c r="I35" s="33" t="n">
        <f aca="false">E35+(G35-H35)</f>
        <v>22603.3727094</v>
      </c>
      <c r="J35" s="80" t="n">
        <f aca="false">IF((G35+H35)=0,0,E35*12/((G35+H35)/2))</f>
        <v>7.28794113960772</v>
      </c>
    </row>
    <row r="36" customFormat="false" ht="15" hidden="false" customHeight="true" outlineLevel="0" collapsed="false">
      <c r="A36" s="32" t="n">
        <v>2027</v>
      </c>
      <c r="B36" s="32" t="n">
        <v>11</v>
      </c>
      <c r="C36" s="32" t="s">
        <v>182</v>
      </c>
      <c r="D36" s="32" t="s">
        <v>141</v>
      </c>
      <c r="E36" s="78" t="n">
        <f aca="false">SUMIFS(DRE_por_UN!$J:$J,DRE_por_UN!$C:$C,$C36,DRE_por_UN!$E:$E,$D36)</f>
        <v>25215.09287976</v>
      </c>
      <c r="F36" s="44" t="n">
        <f aca="false">VLOOKUP($D36,Premissas!$A$52:$P$56,15,0)</f>
        <v>50</v>
      </c>
      <c r="G36" s="33" t="n">
        <f aca="false">E36*F36/30</f>
        <v>42025.1547996</v>
      </c>
      <c r="H36" s="33" t="n">
        <f aca="false">G35</f>
        <v>36215.6155893</v>
      </c>
      <c r="I36" s="33" t="n">
        <f aca="false">E36+(G36-H36)</f>
        <v>31024.63209006</v>
      </c>
      <c r="J36" s="80" t="n">
        <f aca="false">IF((G36+H36)=0,0,E36*12/((G36+H36)/2))</f>
        <v>7.73461490864991</v>
      </c>
    </row>
    <row r="37" customFormat="false" ht="15" hidden="false" customHeight="true" outlineLevel="0" collapsed="false">
      <c r="A37" s="32" t="n">
        <v>2027</v>
      </c>
      <c r="B37" s="32" t="n">
        <v>12</v>
      </c>
      <c r="C37" s="32" t="s">
        <v>183</v>
      </c>
      <c r="D37" s="32" t="s">
        <v>141</v>
      </c>
      <c r="E37" s="78" t="n">
        <f aca="false">SUMIFS(DRE_por_UN!$J:$J,DRE_por_UN!$C:$C,$C37,DRE_por_UN!$E:$E,$D37)</f>
        <v>25639.695801216</v>
      </c>
      <c r="F37" s="44" t="n">
        <f aca="false">VLOOKUP($D37,Premissas!$A$52:$P$56,15,0)</f>
        <v>50</v>
      </c>
      <c r="G37" s="33" t="n">
        <f aca="false">E37*F37/30</f>
        <v>42732.82633536</v>
      </c>
      <c r="H37" s="33" t="n">
        <f aca="false">G36</f>
        <v>42025.1547996</v>
      </c>
      <c r="I37" s="33" t="n">
        <f aca="false">E37+(G37-H37)</f>
        <v>26347.367336976</v>
      </c>
      <c r="J37" s="80" t="n">
        <f aca="false">IF((G37+H37)=0,0,E37*12/((G37+H37)/2))</f>
        <v>7.26011510643887</v>
      </c>
    </row>
    <row r="38" customFormat="false" ht="15" hidden="false" customHeight="true" outlineLevel="0" collapsed="false">
      <c r="A38" s="32" t="n">
        <v>2025</v>
      </c>
      <c r="B38" s="32" t="n">
        <v>1</v>
      </c>
      <c r="C38" s="32" t="s">
        <v>148</v>
      </c>
      <c r="D38" s="32" t="s">
        <v>142</v>
      </c>
      <c r="E38" s="78" t="n">
        <f aca="false">SUMIFS(DRE_por_UN!$J:$J,DRE_por_UN!$C:$C,$C38,DRE_por_UN!$E:$E,$D38)</f>
        <v>25516.472</v>
      </c>
      <c r="F38" s="44" t="n">
        <f aca="false">VLOOKUP($D38,Premissas!$A$52:$P$56,15,0)</f>
        <v>55</v>
      </c>
      <c r="G38" s="33" t="n">
        <f aca="false">E38*F38/30</f>
        <v>46780.1986666667</v>
      </c>
      <c r="H38" s="33" t="n">
        <f aca="false">G38</f>
        <v>46780.1986666667</v>
      </c>
      <c r="I38" s="33" t="n">
        <f aca="false">E38+(G38-H38)</f>
        <v>25516.472</v>
      </c>
      <c r="J38" s="80" t="n">
        <f aca="false">IF((G38+H38)=0,0,E38*12/((G38+H38)/2))</f>
        <v>6.54545454545455</v>
      </c>
    </row>
    <row r="39" customFormat="false" ht="15" hidden="false" customHeight="true" outlineLevel="0" collapsed="false">
      <c r="A39" s="32" t="n">
        <v>2025</v>
      </c>
      <c r="B39" s="32" t="n">
        <v>2</v>
      </c>
      <c r="C39" s="32" t="s">
        <v>149</v>
      </c>
      <c r="D39" s="32" t="s">
        <v>142</v>
      </c>
      <c r="E39" s="78" t="n">
        <f aca="false">SUMIFS(DRE_por_UN!$J:$J,DRE_por_UN!$C:$C,$C39,DRE_por_UN!$E:$E,$D39)</f>
        <v>25534.3528</v>
      </c>
      <c r="F39" s="44" t="n">
        <f aca="false">VLOOKUP($D39,Premissas!$A$52:$P$56,15,0)</f>
        <v>55</v>
      </c>
      <c r="G39" s="33" t="n">
        <f aca="false">E39*F39/30</f>
        <v>46812.9801333333</v>
      </c>
      <c r="H39" s="33" t="n">
        <f aca="false">G38</f>
        <v>46780.1986666667</v>
      </c>
      <c r="I39" s="33" t="n">
        <f aca="false">E39+(G39-H39)</f>
        <v>25567.1342666667</v>
      </c>
      <c r="J39" s="80" t="n">
        <f aca="false">IF((G39+H39)=0,0,E39*12/((G39+H39)/2))</f>
        <v>6.54774712278498</v>
      </c>
    </row>
    <row r="40" customFormat="false" ht="15" hidden="false" customHeight="true" outlineLevel="0" collapsed="false">
      <c r="A40" s="32" t="n">
        <v>2025</v>
      </c>
      <c r="B40" s="32" t="n">
        <v>3</v>
      </c>
      <c r="C40" s="32" t="s">
        <v>150</v>
      </c>
      <c r="D40" s="32" t="s">
        <v>142</v>
      </c>
      <c r="E40" s="78" t="n">
        <f aca="false">SUMIFS(DRE_por_UN!$J:$J,DRE_por_UN!$C:$C,$C40,DRE_por_UN!$E:$E,$D40)</f>
        <v>25326.473</v>
      </c>
      <c r="F40" s="44" t="n">
        <f aca="false">VLOOKUP($D40,Premissas!$A$52:$P$56,15,0)</f>
        <v>55</v>
      </c>
      <c r="G40" s="33" t="n">
        <f aca="false">E40*F40/30</f>
        <v>46431.8671666667</v>
      </c>
      <c r="H40" s="33" t="n">
        <f aca="false">G39</f>
        <v>46812.9801333333</v>
      </c>
      <c r="I40" s="33" t="n">
        <f aca="false">E40+(G40-H40)</f>
        <v>24945.3600333333</v>
      </c>
      <c r="J40" s="80" t="n">
        <f aca="false">IF((G40+H40)=0,0,E40*12/((G40+H40)/2))</f>
        <v>6.51870177924566</v>
      </c>
    </row>
    <row r="41" customFormat="false" ht="15" hidden="false" customHeight="true" outlineLevel="0" collapsed="false">
      <c r="A41" s="32" t="n">
        <v>2025</v>
      </c>
      <c r="B41" s="32" t="n">
        <v>4</v>
      </c>
      <c r="C41" s="32" t="s">
        <v>151</v>
      </c>
      <c r="D41" s="32" t="s">
        <v>142</v>
      </c>
      <c r="E41" s="78" t="n">
        <f aca="false">SUMIFS(DRE_por_UN!$J:$J,DRE_por_UN!$C:$C,$C41,DRE_por_UN!$E:$E,$D41)</f>
        <v>29760.2542</v>
      </c>
      <c r="F41" s="44" t="n">
        <f aca="false">VLOOKUP($D41,Premissas!$A$52:$P$56,15,0)</f>
        <v>55</v>
      </c>
      <c r="G41" s="33" t="n">
        <f aca="false">E41*F41/30</f>
        <v>54560.4660333333</v>
      </c>
      <c r="H41" s="33" t="n">
        <f aca="false">G40</f>
        <v>46431.8671666667</v>
      </c>
      <c r="I41" s="33" t="n">
        <f aca="false">E41+(G41-H41)</f>
        <v>37888.8530666667</v>
      </c>
      <c r="J41" s="80" t="n">
        <f aca="false">IF((G41+H41)=0,0,E41*12/((G41+H41)/2))</f>
        <v>7.07228042138153</v>
      </c>
    </row>
    <row r="42" customFormat="false" ht="15" hidden="false" customHeight="true" outlineLevel="0" collapsed="false">
      <c r="A42" s="32" t="n">
        <v>2025</v>
      </c>
      <c r="B42" s="32" t="n">
        <v>5</v>
      </c>
      <c r="C42" s="32" t="s">
        <v>152</v>
      </c>
      <c r="D42" s="32" t="s">
        <v>142</v>
      </c>
      <c r="E42" s="78" t="n">
        <f aca="false">SUMIFS(DRE_por_UN!$J:$J,DRE_por_UN!$C:$C,$C42,DRE_por_UN!$E:$E,$D42)</f>
        <v>27843.3072</v>
      </c>
      <c r="F42" s="44" t="n">
        <f aca="false">VLOOKUP($D42,Premissas!$A$52:$P$56,15,0)</f>
        <v>55</v>
      </c>
      <c r="G42" s="33" t="n">
        <f aca="false">E42*F42/30</f>
        <v>51046.0632</v>
      </c>
      <c r="H42" s="33" t="n">
        <f aca="false">G41</f>
        <v>54560.4660333333</v>
      </c>
      <c r="I42" s="33" t="n">
        <f aca="false">E42+(G42-H42)</f>
        <v>24328.9043666667</v>
      </c>
      <c r="J42" s="80" t="n">
        <f aca="false">IF((G42+H42)=0,0,E42*12/((G42+H42)/2))</f>
        <v>6.32763312695896</v>
      </c>
    </row>
    <row r="43" customFormat="false" ht="15" hidden="false" customHeight="true" outlineLevel="0" collapsed="false">
      <c r="A43" s="32" t="n">
        <v>2025</v>
      </c>
      <c r="B43" s="32" t="n">
        <v>6</v>
      </c>
      <c r="C43" s="32" t="s">
        <v>153</v>
      </c>
      <c r="D43" s="32" t="s">
        <v>142</v>
      </c>
      <c r="E43" s="78" t="n">
        <f aca="false">SUMIFS(DRE_por_UN!$J:$J,DRE_por_UN!$C:$C,$C43,DRE_por_UN!$E:$E,$D43)</f>
        <v>38710.5804</v>
      </c>
      <c r="F43" s="44" t="n">
        <f aca="false">VLOOKUP($D43,Premissas!$A$52:$P$56,15,0)</f>
        <v>55</v>
      </c>
      <c r="G43" s="33" t="n">
        <f aca="false">E43*F43/30</f>
        <v>70969.3974</v>
      </c>
      <c r="H43" s="33" t="n">
        <f aca="false">G42</f>
        <v>51046.0632</v>
      </c>
      <c r="I43" s="33" t="n">
        <f aca="false">E43+(G43-H43)</f>
        <v>58633.9146</v>
      </c>
      <c r="J43" s="80" t="n">
        <f aca="false">IF((G43+H43)=0,0,E43*12/((G43+H43)/2))</f>
        <v>7.614231221449</v>
      </c>
    </row>
    <row r="44" customFormat="false" ht="15" hidden="false" customHeight="true" outlineLevel="0" collapsed="false">
      <c r="A44" s="32" t="n">
        <v>2025</v>
      </c>
      <c r="B44" s="32" t="n">
        <v>7</v>
      </c>
      <c r="C44" s="32" t="s">
        <v>154</v>
      </c>
      <c r="D44" s="32" t="s">
        <v>142</v>
      </c>
      <c r="E44" s="78" t="n">
        <f aca="false">SUMIFS(DRE_por_UN!$J:$J,DRE_por_UN!$C:$C,$C44,DRE_por_UN!$E:$E,$D44)</f>
        <v>35106.7622</v>
      </c>
      <c r="F44" s="44" t="n">
        <f aca="false">VLOOKUP($D44,Premissas!$A$52:$P$56,15,0)</f>
        <v>55</v>
      </c>
      <c r="G44" s="33" t="n">
        <f aca="false">E44*F44/30</f>
        <v>64362.3973666667</v>
      </c>
      <c r="H44" s="33" t="n">
        <f aca="false">G43</f>
        <v>70969.3974</v>
      </c>
      <c r="I44" s="33" t="n">
        <f aca="false">E44+(G44-H44)</f>
        <v>28499.7621666667</v>
      </c>
      <c r="J44" s="80" t="n">
        <f aca="false">IF((G44+H44)=0,0,E44*12/((G44+H44)/2))</f>
        <v>6.22590053026867</v>
      </c>
    </row>
    <row r="45" customFormat="false" ht="15" hidden="false" customHeight="true" outlineLevel="0" collapsed="false">
      <c r="A45" s="32" t="n">
        <v>2025</v>
      </c>
      <c r="B45" s="32" t="n">
        <v>8</v>
      </c>
      <c r="C45" s="32" t="s">
        <v>155</v>
      </c>
      <c r="D45" s="32" t="s">
        <v>142</v>
      </c>
      <c r="E45" s="78" t="n">
        <f aca="false">SUMIFS(DRE_por_UN!$J:$J,DRE_por_UN!$C:$C,$C45,DRE_por_UN!$E:$E,$D45)</f>
        <v>30608.3894</v>
      </c>
      <c r="F45" s="44" t="n">
        <f aca="false">VLOOKUP($D45,Premissas!$A$52:$P$56,15,0)</f>
        <v>55</v>
      </c>
      <c r="G45" s="33" t="n">
        <f aca="false">E45*F45/30</f>
        <v>56115.3805666667</v>
      </c>
      <c r="H45" s="33" t="n">
        <f aca="false">G44</f>
        <v>64362.3973666667</v>
      </c>
      <c r="I45" s="33" t="n">
        <f aca="false">E45+(G45-H45)</f>
        <v>22361.3726</v>
      </c>
      <c r="J45" s="80" t="n">
        <f aca="false">IF((G45+H45)=0,0,E45*12/((G45+H45)/2))</f>
        <v>6.09740118220385</v>
      </c>
    </row>
    <row r="46" customFormat="false" ht="15" hidden="false" customHeight="true" outlineLevel="0" collapsed="false">
      <c r="A46" s="32" t="n">
        <v>2025</v>
      </c>
      <c r="B46" s="32" t="n">
        <v>9</v>
      </c>
      <c r="C46" s="32" t="s">
        <v>156</v>
      </c>
      <c r="D46" s="32" t="s">
        <v>142</v>
      </c>
      <c r="E46" s="78" t="n">
        <f aca="false">SUMIFS(DRE_por_UN!$J:$J,DRE_por_UN!$C:$C,$C46,DRE_por_UN!$E:$E,$D46)</f>
        <v>28250.1512</v>
      </c>
      <c r="F46" s="44" t="n">
        <f aca="false">VLOOKUP($D46,Premissas!$A$52:$P$56,15,0)</f>
        <v>55</v>
      </c>
      <c r="G46" s="33" t="n">
        <f aca="false">E46*F46/30</f>
        <v>51791.9438666667</v>
      </c>
      <c r="H46" s="33" t="n">
        <f aca="false">G45</f>
        <v>56115.3805666667</v>
      </c>
      <c r="I46" s="33" t="n">
        <f aca="false">E46+(G46-H46)</f>
        <v>23926.7145</v>
      </c>
      <c r="J46" s="80" t="n">
        <f aca="false">IF((G46+H46)=0,0,E46*12/((G46+H46)/2))</f>
        <v>6.28320303890845</v>
      </c>
    </row>
    <row r="47" customFormat="false" ht="15" hidden="false" customHeight="true" outlineLevel="0" collapsed="false">
      <c r="A47" s="32" t="n">
        <v>2025</v>
      </c>
      <c r="B47" s="32" t="n">
        <v>10</v>
      </c>
      <c r="C47" s="32" t="s">
        <v>157</v>
      </c>
      <c r="D47" s="32" t="s">
        <v>142</v>
      </c>
      <c r="E47" s="78" t="n">
        <f aca="false">SUMIFS(DRE_por_UN!$J:$J,DRE_por_UN!$C:$C,$C47,DRE_por_UN!$E:$E,$D47)</f>
        <v>29020.6004</v>
      </c>
      <c r="F47" s="44" t="n">
        <f aca="false">VLOOKUP($D47,Premissas!$A$52:$P$56,15,0)</f>
        <v>55</v>
      </c>
      <c r="G47" s="33" t="n">
        <f aca="false">E47*F47/30</f>
        <v>53204.4340666667</v>
      </c>
      <c r="H47" s="33" t="n">
        <f aca="false">G46</f>
        <v>51791.9438666667</v>
      </c>
      <c r="I47" s="33" t="n">
        <f aca="false">E47+(G47-H47)</f>
        <v>30433.0906</v>
      </c>
      <c r="J47" s="80" t="n">
        <f aca="false">IF((G47+H47)=0,0,E47*12/((G47+H47)/2))</f>
        <v>6.63350892010993</v>
      </c>
    </row>
    <row r="48" customFormat="false" ht="15" hidden="false" customHeight="true" outlineLevel="0" collapsed="false">
      <c r="A48" s="32" t="n">
        <v>2025</v>
      </c>
      <c r="B48" s="32" t="n">
        <v>11</v>
      </c>
      <c r="C48" s="32" t="s">
        <v>158</v>
      </c>
      <c r="D48" s="32" t="s">
        <v>142</v>
      </c>
      <c r="E48" s="78" t="n">
        <f aca="false">SUMIFS(DRE_por_UN!$J:$J,DRE_por_UN!$C:$C,$C48,DRE_por_UN!$E:$E,$D48)</f>
        <v>36682.2752</v>
      </c>
      <c r="F48" s="44" t="n">
        <f aca="false">VLOOKUP($D48,Premissas!$A$52:$P$56,15,0)</f>
        <v>55</v>
      </c>
      <c r="G48" s="33" t="n">
        <f aca="false">E48*F48/30</f>
        <v>67250.8378666667</v>
      </c>
      <c r="H48" s="33" t="n">
        <f aca="false">G47</f>
        <v>53204.4340666667</v>
      </c>
      <c r="I48" s="33" t="n">
        <f aca="false">E48+(G48-H48)</f>
        <v>50728.679</v>
      </c>
      <c r="J48" s="80" t="n">
        <f aca="false">IF((G48+H48)=0,0,E48*12/((G48+H48)/2))</f>
        <v>7.30872622401491</v>
      </c>
    </row>
    <row r="49" customFormat="false" ht="15" hidden="false" customHeight="true" outlineLevel="0" collapsed="false">
      <c r="A49" s="32" t="n">
        <v>2025</v>
      </c>
      <c r="B49" s="32" t="n">
        <v>12</v>
      </c>
      <c r="C49" s="32" t="s">
        <v>159</v>
      </c>
      <c r="D49" s="32" t="s">
        <v>142</v>
      </c>
      <c r="E49" s="78" t="n">
        <f aca="false">SUMIFS(DRE_por_UN!$J:$J,DRE_por_UN!$C:$C,$C49,DRE_por_UN!$E:$E,$D49)</f>
        <v>41058.2972</v>
      </c>
      <c r="F49" s="44" t="n">
        <f aca="false">VLOOKUP($D49,Premissas!$A$52:$P$56,15,0)</f>
        <v>55</v>
      </c>
      <c r="G49" s="33" t="n">
        <f aca="false">E49*F49/30</f>
        <v>75273.5448666667</v>
      </c>
      <c r="H49" s="33" t="n">
        <f aca="false">G48</f>
        <v>67250.8378666667</v>
      </c>
      <c r="I49" s="33" t="n">
        <f aca="false">E49+(G49-H49)</f>
        <v>49081.0042</v>
      </c>
      <c r="J49" s="80" t="n">
        <f aca="false">IF((G49+H49)=0,0,E49*12/((G49+H49)/2))</f>
        <v>6.91389861792074</v>
      </c>
    </row>
    <row r="50" customFormat="false" ht="15" hidden="false" customHeight="true" outlineLevel="0" collapsed="false">
      <c r="A50" s="32" t="n">
        <v>2026</v>
      </c>
      <c r="B50" s="32" t="n">
        <v>1</v>
      </c>
      <c r="C50" s="32" t="s">
        <v>160</v>
      </c>
      <c r="D50" s="32" t="s">
        <v>142</v>
      </c>
      <c r="E50" s="78" t="n">
        <f aca="false">SUMIFS(DRE_por_UN!$J:$J,DRE_por_UN!$C:$C,$C50,DRE_por_UN!$E:$E,$D50)</f>
        <v>27584.7462</v>
      </c>
      <c r="F50" s="44" t="n">
        <f aca="false">VLOOKUP($D50,Premissas!$A$52:$P$56,15,0)</f>
        <v>55</v>
      </c>
      <c r="G50" s="33" t="n">
        <f aca="false">E50*F50/30</f>
        <v>50572.0347</v>
      </c>
      <c r="H50" s="33" t="n">
        <f aca="false">G49</f>
        <v>75273.5448666667</v>
      </c>
      <c r="I50" s="33" t="n">
        <f aca="false">E50+(G50-H50)</f>
        <v>2883.23603333333</v>
      </c>
      <c r="J50" s="80" t="n">
        <f aca="false">IF((G50+H50)=0,0,E50*12/((G50+H50)/2))</f>
        <v>5.26068465082071</v>
      </c>
    </row>
    <row r="51" customFormat="false" ht="15" hidden="false" customHeight="true" outlineLevel="0" collapsed="false">
      <c r="A51" s="32" t="n">
        <v>2026</v>
      </c>
      <c r="B51" s="32" t="n">
        <v>2</v>
      </c>
      <c r="C51" s="32" t="s">
        <v>161</v>
      </c>
      <c r="D51" s="32" t="s">
        <v>142</v>
      </c>
      <c r="E51" s="78" t="n">
        <f aca="false">SUMIFS(DRE_por_UN!$J:$J,DRE_por_UN!$C:$C,$C51,DRE_por_UN!$E:$E,$D51)</f>
        <v>21296.9394</v>
      </c>
      <c r="F51" s="44" t="n">
        <f aca="false">VLOOKUP($D51,Premissas!$A$52:$P$56,15,0)</f>
        <v>55</v>
      </c>
      <c r="G51" s="33" t="n">
        <f aca="false">E51*F51/30</f>
        <v>39044.3889</v>
      </c>
      <c r="H51" s="33" t="n">
        <f aca="false">G50</f>
        <v>50572.0347</v>
      </c>
      <c r="I51" s="33" t="n">
        <f aca="false">E51+(G51-H51)</f>
        <v>9769.29359999999</v>
      </c>
      <c r="J51" s="80" t="n">
        <f aca="false">IF((G51+H51)=0,0,E51*12/((G51+H51)/2))</f>
        <v>5.70349189431389</v>
      </c>
    </row>
    <row r="52" customFormat="false" ht="15" hidden="false" customHeight="true" outlineLevel="0" collapsed="false">
      <c r="A52" s="32" t="n">
        <v>2026</v>
      </c>
      <c r="B52" s="32" t="n">
        <v>3</v>
      </c>
      <c r="C52" s="32" t="s">
        <v>162</v>
      </c>
      <c r="D52" s="32" t="s">
        <v>142</v>
      </c>
      <c r="E52" s="78" t="n">
        <f aca="false">SUMIFS(DRE_por_UN!$J:$J,DRE_por_UN!$C:$C,$C52,DRE_por_UN!$E:$E,$D52)</f>
        <v>35530.5588</v>
      </c>
      <c r="F52" s="44" t="n">
        <f aca="false">VLOOKUP($D52,Premissas!$A$52:$P$56,15,0)</f>
        <v>55</v>
      </c>
      <c r="G52" s="33" t="n">
        <f aca="false">E52*F52/30</f>
        <v>65139.3578</v>
      </c>
      <c r="H52" s="33" t="n">
        <f aca="false">G51</f>
        <v>39044.3889</v>
      </c>
      <c r="I52" s="33" t="n">
        <f aca="false">E52+(G52-H52)</f>
        <v>61625.5277</v>
      </c>
      <c r="J52" s="80" t="n">
        <f aca="false">IF((G52+H52)=0,0,E52*12/((G52+H52)/2))</f>
        <v>8.18489868343351</v>
      </c>
    </row>
    <row r="53" customFormat="false" ht="15" hidden="false" customHeight="true" outlineLevel="0" collapsed="false">
      <c r="A53" s="32" t="n">
        <v>2026</v>
      </c>
      <c r="B53" s="32" t="n">
        <v>4</v>
      </c>
      <c r="C53" s="32" t="s">
        <v>163</v>
      </c>
      <c r="D53" s="32" t="s">
        <v>142</v>
      </c>
      <c r="E53" s="78" t="n">
        <f aca="false">SUMIFS(DRE_por_UN!$J:$J,DRE_por_UN!$C:$C,$C53,DRE_por_UN!$E:$E,$D53)</f>
        <v>23347.3284</v>
      </c>
      <c r="F53" s="44" t="n">
        <f aca="false">VLOOKUP($D53,Premissas!$A$52:$P$56,15,0)</f>
        <v>55</v>
      </c>
      <c r="G53" s="33" t="n">
        <f aca="false">E53*F53/30</f>
        <v>42803.4354</v>
      </c>
      <c r="H53" s="33" t="n">
        <f aca="false">G52</f>
        <v>65139.3578</v>
      </c>
      <c r="I53" s="33" t="n">
        <f aca="false">E53+(G53-H53)</f>
        <v>1011.40600000001</v>
      </c>
      <c r="J53" s="80" t="n">
        <f aca="false">IF((G53+H53)=0,0,E53*12/((G53+H53)/2))</f>
        <v>5.1910448580091</v>
      </c>
    </row>
    <row r="54" customFormat="false" ht="15" hidden="false" customHeight="true" outlineLevel="0" collapsed="false">
      <c r="A54" s="32" t="n">
        <v>2026</v>
      </c>
      <c r="B54" s="32" t="n">
        <v>5</v>
      </c>
      <c r="C54" s="32" t="s">
        <v>164</v>
      </c>
      <c r="D54" s="32" t="s">
        <v>142</v>
      </c>
      <c r="E54" s="78" t="n">
        <f aca="false">SUMIFS(DRE_por_UN!$J:$J,DRE_por_UN!$C:$C,$C54,DRE_por_UN!$E:$E,$D54)</f>
        <v>34821.1248</v>
      </c>
      <c r="F54" s="44" t="n">
        <f aca="false">VLOOKUP($D54,Premissas!$A$52:$P$56,15,0)</f>
        <v>55</v>
      </c>
      <c r="G54" s="33" t="n">
        <f aca="false">E54*F54/30</f>
        <v>63838.7288</v>
      </c>
      <c r="H54" s="33" t="n">
        <f aca="false">G53</f>
        <v>42803.4354</v>
      </c>
      <c r="I54" s="33" t="n">
        <f aca="false">E54+(G54-H54)</f>
        <v>55856.4182</v>
      </c>
      <c r="J54" s="80" t="n">
        <f aca="false">IF((G54+H54)=0,0,E54*12/((G54+H54)/2))</f>
        <v>7.83655321953791</v>
      </c>
    </row>
    <row r="55" customFormat="false" ht="15" hidden="false" customHeight="true" outlineLevel="0" collapsed="false">
      <c r="A55" s="32" t="n">
        <v>2026</v>
      </c>
      <c r="B55" s="32" t="n">
        <v>6</v>
      </c>
      <c r="C55" s="32" t="s">
        <v>165</v>
      </c>
      <c r="D55" s="32" t="s">
        <v>142</v>
      </c>
      <c r="E55" s="78" t="n">
        <f aca="false">SUMIFS(DRE_por_UN!$J:$J,DRE_por_UN!$C:$C,$C55,DRE_por_UN!$E:$E,$D55)</f>
        <v>33493.6932</v>
      </c>
      <c r="F55" s="44" t="n">
        <f aca="false">VLOOKUP($D55,Premissas!$A$52:$P$56,15,0)</f>
        <v>55</v>
      </c>
      <c r="G55" s="33" t="n">
        <f aca="false">E55*F55/30</f>
        <v>61405.1042</v>
      </c>
      <c r="H55" s="33" t="n">
        <f aca="false">G54</f>
        <v>63838.7288</v>
      </c>
      <c r="I55" s="33" t="n">
        <f aca="false">E55+(G55-H55)</f>
        <v>31060.0686</v>
      </c>
      <c r="J55" s="80" t="n">
        <f aca="false">IF((G55+H55)=0,0,E55*12/((G55+H55)/2))</f>
        <v>6.4182692077142</v>
      </c>
    </row>
    <row r="56" customFormat="false" ht="15" hidden="false" customHeight="true" outlineLevel="0" collapsed="false">
      <c r="A56" s="32" t="n">
        <v>2026</v>
      </c>
      <c r="B56" s="32" t="n">
        <v>7</v>
      </c>
      <c r="C56" s="32" t="s">
        <v>166</v>
      </c>
      <c r="D56" s="32" t="s">
        <v>142</v>
      </c>
      <c r="E56" s="78" t="n">
        <f aca="false">SUMIFS(DRE_por_UN!$J:$J,DRE_por_UN!$C:$C,$C56,DRE_por_UN!$E:$E,$D56)</f>
        <v>37084.3704</v>
      </c>
      <c r="F56" s="44" t="n">
        <f aca="false">VLOOKUP($D56,Premissas!$A$52:$P$56,15,0)</f>
        <v>55</v>
      </c>
      <c r="G56" s="33" t="n">
        <f aca="false">E56*F56/30</f>
        <v>67988.0124</v>
      </c>
      <c r="H56" s="33" t="n">
        <f aca="false">G55</f>
        <v>61405.1042</v>
      </c>
      <c r="I56" s="33" t="n">
        <f aca="false">E56+(G56-H56)</f>
        <v>43667.2786</v>
      </c>
      <c r="J56" s="80" t="n">
        <f aca="false">IF((G56+H56)=0,0,E56*12/((G56+H56)/2))</f>
        <v>6.87845623466496</v>
      </c>
    </row>
    <row r="57" customFormat="false" ht="15" hidden="false" customHeight="true" outlineLevel="0" collapsed="false">
      <c r="A57" s="32" t="n">
        <v>2026</v>
      </c>
      <c r="B57" s="32" t="n">
        <v>8</v>
      </c>
      <c r="C57" s="32" t="s">
        <v>167</v>
      </c>
      <c r="D57" s="32" t="s">
        <v>142</v>
      </c>
      <c r="E57" s="78" t="n">
        <f aca="false">SUMIFS(DRE_por_UN!$J:$J,DRE_por_UN!$C:$C,$C57,DRE_por_UN!$E:$E,$D57)</f>
        <v>32763.0468</v>
      </c>
      <c r="F57" s="44" t="n">
        <f aca="false">VLOOKUP($D57,Premissas!$A$52:$P$56,15,0)</f>
        <v>55</v>
      </c>
      <c r="G57" s="33" t="n">
        <f aca="false">E57*F57/30</f>
        <v>60065.5858</v>
      </c>
      <c r="H57" s="33" t="n">
        <f aca="false">G56</f>
        <v>67988.0124</v>
      </c>
      <c r="I57" s="33" t="n">
        <f aca="false">E57+(G57-H57)</f>
        <v>24840.6202</v>
      </c>
      <c r="J57" s="80" t="n">
        <f aca="false">IF((G57+H57)=0,0,E57*12/((G57+H57)/2))</f>
        <v>6.14050002696449</v>
      </c>
    </row>
    <row r="58" customFormat="false" ht="15" hidden="false" customHeight="true" outlineLevel="0" collapsed="false">
      <c r="A58" s="32" t="n">
        <v>2026</v>
      </c>
      <c r="B58" s="32" t="n">
        <v>9</v>
      </c>
      <c r="C58" s="32" t="s">
        <v>168</v>
      </c>
      <c r="D58" s="32" t="s">
        <v>142</v>
      </c>
      <c r="E58" s="78" t="n">
        <f aca="false">SUMIFS(DRE_por_UN!$J:$J,DRE_por_UN!$C:$C,$C58,DRE_por_UN!$E:$E,$D58)</f>
        <v>39207.7092</v>
      </c>
      <c r="F58" s="44" t="n">
        <f aca="false">VLOOKUP($D58,Premissas!$A$52:$P$56,15,0)</f>
        <v>55</v>
      </c>
      <c r="G58" s="33" t="n">
        <f aca="false">E58*F58/30</f>
        <v>71880.8002</v>
      </c>
      <c r="H58" s="33" t="n">
        <f aca="false">G57</f>
        <v>60065.5858</v>
      </c>
      <c r="I58" s="33" t="n">
        <f aca="false">E58+(G58-H58)</f>
        <v>51022.9236</v>
      </c>
      <c r="J58" s="80" t="n">
        <f aca="false">IF((G58+H58)=0,0,E58*12/((G58+H58)/2))</f>
        <v>7.13157100642378</v>
      </c>
    </row>
    <row r="59" customFormat="false" ht="15" hidden="false" customHeight="true" outlineLevel="0" collapsed="false">
      <c r="A59" s="32" t="n">
        <v>2026</v>
      </c>
      <c r="B59" s="32" t="n">
        <v>10</v>
      </c>
      <c r="C59" s="32" t="s">
        <v>169</v>
      </c>
      <c r="D59" s="32" t="s">
        <v>142</v>
      </c>
      <c r="E59" s="78" t="n">
        <f aca="false">SUMIFS(DRE_por_UN!$J:$J,DRE_por_UN!$C:$C,$C59,DRE_por_UN!$E:$E,$D59)</f>
        <v>25356.6918</v>
      </c>
      <c r="F59" s="44" t="n">
        <f aca="false">VLOOKUP($D59,Premissas!$A$52:$P$56,15,0)</f>
        <v>55</v>
      </c>
      <c r="G59" s="33" t="n">
        <f aca="false">E59*F59/30</f>
        <v>46487.2683</v>
      </c>
      <c r="H59" s="33" t="n">
        <f aca="false">G58</f>
        <v>71880.8002</v>
      </c>
      <c r="I59" s="33" t="n">
        <f aca="false">E59+(G59-H59)</f>
        <v>-36.840099999994</v>
      </c>
      <c r="J59" s="80" t="n">
        <f aca="false">IF((G59+H59)=0,0,E59*12/((G59+H59)/2))</f>
        <v>5.14125651378691</v>
      </c>
    </row>
    <row r="60" customFormat="false" ht="15" hidden="false" customHeight="true" outlineLevel="0" collapsed="false">
      <c r="A60" s="32" t="n">
        <v>2026</v>
      </c>
      <c r="B60" s="32" t="n">
        <v>11</v>
      </c>
      <c r="C60" s="32" t="s">
        <v>170</v>
      </c>
      <c r="D60" s="32" t="s">
        <v>142</v>
      </c>
      <c r="E60" s="78" t="n">
        <f aca="false">SUMIFS(DRE_por_UN!$J:$J,DRE_por_UN!$C:$C,$C60,DRE_por_UN!$E:$E,$D60)</f>
        <v>40333.3194</v>
      </c>
      <c r="F60" s="44" t="n">
        <f aca="false">VLOOKUP($D60,Premissas!$A$52:$P$56,15,0)</f>
        <v>55</v>
      </c>
      <c r="G60" s="33" t="n">
        <f aca="false">E60*F60/30</f>
        <v>73944.4189</v>
      </c>
      <c r="H60" s="33" t="n">
        <f aca="false">G59</f>
        <v>46487.2683</v>
      </c>
      <c r="I60" s="33" t="n">
        <f aca="false">E60+(G60-H60)</f>
        <v>67790.47</v>
      </c>
      <c r="J60" s="80" t="n">
        <f aca="false">IF((G60+H60)=0,0,E60*12/((G60+H60)/2))</f>
        <v>8.0377489355642</v>
      </c>
    </row>
    <row r="61" customFormat="false" ht="15" hidden="false" customHeight="true" outlineLevel="0" collapsed="false">
      <c r="A61" s="32" t="n">
        <v>2026</v>
      </c>
      <c r="B61" s="32" t="n">
        <v>12</v>
      </c>
      <c r="C61" s="32" t="s">
        <v>171</v>
      </c>
      <c r="D61" s="32" t="s">
        <v>142</v>
      </c>
      <c r="E61" s="78" t="n">
        <f aca="false">SUMIFS(DRE_por_UN!$J:$J,DRE_por_UN!$C:$C,$C61,DRE_por_UN!$E:$E,$D61)</f>
        <v>45499.5156</v>
      </c>
      <c r="F61" s="44" t="n">
        <f aca="false">VLOOKUP($D61,Premissas!$A$52:$P$56,15,0)</f>
        <v>55</v>
      </c>
      <c r="G61" s="33" t="n">
        <f aca="false">E61*F61/30</f>
        <v>83415.7786</v>
      </c>
      <c r="H61" s="33" t="n">
        <f aca="false">G60</f>
        <v>73944.4189</v>
      </c>
      <c r="I61" s="33" t="n">
        <f aca="false">E61+(G61-H61)</f>
        <v>54970.8753</v>
      </c>
      <c r="J61" s="80" t="n">
        <f aca="false">IF((G61+H61)=0,0,E61*12/((G61+H61)/2))</f>
        <v>6.93941919080268</v>
      </c>
    </row>
    <row r="62" customFormat="false" ht="15" hidden="false" customHeight="true" outlineLevel="0" collapsed="false">
      <c r="A62" s="32" t="n">
        <v>2027</v>
      </c>
      <c r="B62" s="32" t="n">
        <v>1</v>
      </c>
      <c r="C62" s="32" t="s">
        <v>172</v>
      </c>
      <c r="D62" s="32" t="s">
        <v>142</v>
      </c>
      <c r="E62" s="78" t="n">
        <f aca="false">SUMIFS(DRE_por_UN!$J:$J,DRE_por_UN!$C:$C,$C62,DRE_por_UN!$E:$E,$D62)</f>
        <v>29373.484164696</v>
      </c>
      <c r="F62" s="44" t="n">
        <f aca="false">VLOOKUP($D62,Premissas!$A$52:$P$56,15,0)</f>
        <v>55</v>
      </c>
      <c r="G62" s="33" t="n">
        <f aca="false">E62*F62/30</f>
        <v>53851.387635276</v>
      </c>
      <c r="H62" s="33" t="n">
        <f aca="false">G61</f>
        <v>83415.7786</v>
      </c>
      <c r="I62" s="33" t="n">
        <f aca="false">E62+(G62-H62)</f>
        <v>-190.906800028017</v>
      </c>
      <c r="J62" s="80" t="n">
        <f aca="false">IF((G62+H62)=0,0,E62*12/((G62+H62)/2))</f>
        <v>5.13570462104824</v>
      </c>
    </row>
    <row r="63" customFormat="false" ht="15" hidden="false" customHeight="true" outlineLevel="0" collapsed="false">
      <c r="A63" s="32" t="n">
        <v>2027</v>
      </c>
      <c r="B63" s="32" t="n">
        <v>2</v>
      </c>
      <c r="C63" s="32" t="s">
        <v>173</v>
      </c>
      <c r="D63" s="32" t="s">
        <v>142</v>
      </c>
      <c r="E63" s="78" t="n">
        <f aca="false">SUMIFS(DRE_por_UN!$J:$J,DRE_por_UN!$C:$C,$C63,DRE_por_UN!$E:$E,$D63)</f>
        <v>22870.087969134</v>
      </c>
      <c r="F63" s="44" t="n">
        <f aca="false">VLOOKUP($D63,Premissas!$A$52:$P$56,15,0)</f>
        <v>55</v>
      </c>
      <c r="G63" s="33" t="n">
        <f aca="false">E63*F63/30</f>
        <v>41928.494610079</v>
      </c>
      <c r="H63" s="33" t="n">
        <f aca="false">G62</f>
        <v>53851.387635276</v>
      </c>
      <c r="I63" s="33" t="n">
        <f aca="false">E63+(G63-H63)</f>
        <v>10947.194943937</v>
      </c>
      <c r="J63" s="80" t="n">
        <f aca="false">IF((G63+H63)=0,0,E63*12/((G63+H63)/2))</f>
        <v>5.73066178817353</v>
      </c>
    </row>
    <row r="64" customFormat="false" ht="15" hidden="false" customHeight="true" outlineLevel="0" collapsed="false">
      <c r="A64" s="32" t="n">
        <v>2027</v>
      </c>
      <c r="B64" s="32" t="n">
        <v>3</v>
      </c>
      <c r="C64" s="32" t="s">
        <v>174</v>
      </c>
      <c r="D64" s="32" t="s">
        <v>142</v>
      </c>
      <c r="E64" s="78" t="n">
        <f aca="false">SUMIFS(DRE_por_UN!$J:$J,DRE_por_UN!$C:$C,$C64,DRE_por_UN!$E:$E,$D64)</f>
        <v>38231.336006136</v>
      </c>
      <c r="F64" s="44" t="n">
        <f aca="false">VLOOKUP($D64,Premissas!$A$52:$P$56,15,0)</f>
        <v>55</v>
      </c>
      <c r="G64" s="33" t="n">
        <f aca="false">E64*F64/30</f>
        <v>70090.782677916</v>
      </c>
      <c r="H64" s="33" t="n">
        <f aca="false">G63</f>
        <v>41928.494610079</v>
      </c>
      <c r="I64" s="33" t="n">
        <f aca="false">E64+(G64-H64)</f>
        <v>66393.624073973</v>
      </c>
      <c r="J64" s="80" t="n">
        <f aca="false">IF((G64+H64)=0,0,E64*12/((G64+H64)/2))</f>
        <v>8.1910193170439</v>
      </c>
    </row>
    <row r="65" customFormat="false" ht="15" hidden="false" customHeight="true" outlineLevel="0" collapsed="false">
      <c r="A65" s="32" t="n">
        <v>2027</v>
      </c>
      <c r="B65" s="32" t="n">
        <v>4</v>
      </c>
      <c r="C65" s="32" t="s">
        <v>175</v>
      </c>
      <c r="D65" s="32" t="s">
        <v>142</v>
      </c>
      <c r="E65" s="78" t="n">
        <f aca="false">SUMIFS(DRE_por_UN!$J:$J,DRE_por_UN!$C:$C,$C65,DRE_por_UN!$E:$E,$D65)</f>
        <v>25284.216006504</v>
      </c>
      <c r="F65" s="44" t="n">
        <f aca="false">VLOOKUP($D65,Premissas!$A$52:$P$56,15,0)</f>
        <v>55</v>
      </c>
      <c r="G65" s="33" t="n">
        <f aca="false">E65*F65/30</f>
        <v>46354.396011924</v>
      </c>
      <c r="H65" s="33" t="n">
        <f aca="false">G64</f>
        <v>70090.782677916</v>
      </c>
      <c r="I65" s="33" t="n">
        <f aca="false">E65+(G65-H65)</f>
        <v>1547.82934051201</v>
      </c>
      <c r="J65" s="80" t="n">
        <f aca="false">IF((G65+H65)=0,0,E65*12/((G65+H65)/2))</f>
        <v>5.21121776773951</v>
      </c>
    </row>
    <row r="66" customFormat="false" ht="15" hidden="false" customHeight="true" outlineLevel="0" collapsed="false">
      <c r="A66" s="32" t="n">
        <v>2027</v>
      </c>
      <c r="B66" s="32" t="n">
        <v>5</v>
      </c>
      <c r="C66" s="32" t="s">
        <v>176</v>
      </c>
      <c r="D66" s="32" t="s">
        <v>142</v>
      </c>
      <c r="E66" s="78" t="n">
        <f aca="false">SUMIFS(DRE_por_UN!$J:$J,DRE_por_UN!$C:$C,$C66,DRE_por_UN!$E:$E,$D66)</f>
        <v>36792.314415108</v>
      </c>
      <c r="F66" s="44" t="n">
        <f aca="false">VLOOKUP($D66,Premissas!$A$52:$P$56,15,0)</f>
        <v>55</v>
      </c>
      <c r="G66" s="33" t="n">
        <f aca="false">E66*F66/30</f>
        <v>67452.576427698</v>
      </c>
      <c r="H66" s="33" t="n">
        <f aca="false">G65</f>
        <v>46354.396011924</v>
      </c>
      <c r="I66" s="33" t="n">
        <f aca="false">E66+(G66-H66)</f>
        <v>57890.494830882</v>
      </c>
      <c r="J66" s="80" t="n">
        <f aca="false">IF((G66+H66)=0,0,E66*12/((G66+H66)/2))</f>
        <v>7.75888794011332</v>
      </c>
    </row>
    <row r="67" customFormat="false" ht="15" hidden="false" customHeight="true" outlineLevel="0" collapsed="false">
      <c r="A67" s="32" t="n">
        <v>2027</v>
      </c>
      <c r="B67" s="32" t="n">
        <v>6</v>
      </c>
      <c r="C67" s="32" t="s">
        <v>177</v>
      </c>
      <c r="D67" s="32" t="s">
        <v>142</v>
      </c>
      <c r="E67" s="78" t="n">
        <f aca="false">SUMIFS(DRE_por_UN!$J:$J,DRE_por_UN!$C:$C,$C67,DRE_por_UN!$E:$E,$D67)</f>
        <v>35052.58930362</v>
      </c>
      <c r="F67" s="44" t="n">
        <f aca="false">VLOOKUP($D67,Premissas!$A$52:$P$56,15,0)</f>
        <v>55</v>
      </c>
      <c r="G67" s="33" t="n">
        <f aca="false">E67*F67/30</f>
        <v>64263.08038997</v>
      </c>
      <c r="H67" s="33" t="n">
        <f aca="false">G66</f>
        <v>67452.576427698</v>
      </c>
      <c r="I67" s="33" t="n">
        <f aca="false">E67+(G67-H67)</f>
        <v>31863.093265892</v>
      </c>
      <c r="J67" s="80" t="n">
        <f aca="false">IF((G67+H67)=0,0,E67*12/((G67+H67)/2))</f>
        <v>6.38695629367302</v>
      </c>
    </row>
    <row r="68" customFormat="false" ht="15" hidden="false" customHeight="true" outlineLevel="0" collapsed="false">
      <c r="A68" s="32" t="n">
        <v>2027</v>
      </c>
      <c r="B68" s="32" t="n">
        <v>7</v>
      </c>
      <c r="C68" s="32" t="s">
        <v>178</v>
      </c>
      <c r="D68" s="32" t="s">
        <v>142</v>
      </c>
      <c r="E68" s="78" t="n">
        <f aca="false">SUMIFS(DRE_por_UN!$J:$J,DRE_por_UN!$C:$C,$C68,DRE_por_UN!$E:$E,$D68)</f>
        <v>40093.473348138</v>
      </c>
      <c r="F68" s="44" t="n">
        <f aca="false">VLOOKUP($D68,Premissas!$A$52:$P$56,15,0)</f>
        <v>55</v>
      </c>
      <c r="G68" s="33" t="n">
        <f aca="false">E68*F68/30</f>
        <v>73504.701138253</v>
      </c>
      <c r="H68" s="33" t="n">
        <f aca="false">G67</f>
        <v>64263.08038997</v>
      </c>
      <c r="I68" s="33" t="n">
        <f aca="false">E68+(G68-H68)</f>
        <v>49335.094096421</v>
      </c>
      <c r="J68" s="80" t="n">
        <f aca="false">IF((G68+H68)=0,0,E68*12/((G68+H68)/2))</f>
        <v>6.9845311413263</v>
      </c>
    </row>
    <row r="69" customFormat="false" ht="15" hidden="false" customHeight="true" outlineLevel="0" collapsed="false">
      <c r="A69" s="32" t="n">
        <v>2027</v>
      </c>
      <c r="B69" s="32" t="n">
        <v>8</v>
      </c>
      <c r="C69" s="32" t="s">
        <v>179</v>
      </c>
      <c r="D69" s="32" t="s">
        <v>142</v>
      </c>
      <c r="E69" s="78" t="n">
        <f aca="false">SUMIFS(DRE_por_UN!$J:$J,DRE_por_UN!$C:$C,$C69,DRE_por_UN!$E:$E,$D69)</f>
        <v>35232.730428336</v>
      </c>
      <c r="F69" s="44" t="n">
        <f aca="false">VLOOKUP($D69,Premissas!$A$52:$P$56,15,0)</f>
        <v>55</v>
      </c>
      <c r="G69" s="33" t="n">
        <f aca="false">E69*F69/30</f>
        <v>64593.339118616</v>
      </c>
      <c r="H69" s="33" t="n">
        <f aca="false">G68</f>
        <v>73504.701138253</v>
      </c>
      <c r="I69" s="33" t="n">
        <f aca="false">E69+(G69-H69)</f>
        <v>26321.368408699</v>
      </c>
      <c r="J69" s="80" t="n">
        <f aca="false">IF((G69+H69)=0,0,E69*12/((G69+H69)/2))</f>
        <v>6.12308131749903</v>
      </c>
    </row>
    <row r="70" customFormat="false" ht="15" hidden="false" customHeight="true" outlineLevel="0" collapsed="false">
      <c r="A70" s="32" t="n">
        <v>2027</v>
      </c>
      <c r="B70" s="32" t="n">
        <v>9</v>
      </c>
      <c r="C70" s="32" t="s">
        <v>180</v>
      </c>
      <c r="D70" s="32" t="s">
        <v>142</v>
      </c>
      <c r="E70" s="78" t="n">
        <f aca="false">SUMIFS(DRE_por_UN!$J:$J,DRE_por_UN!$C:$C,$C70,DRE_por_UN!$E:$E,$D70)</f>
        <v>42085.07570841</v>
      </c>
      <c r="F70" s="44" t="n">
        <f aca="false">VLOOKUP($D70,Premissas!$A$52:$P$56,15,0)</f>
        <v>55</v>
      </c>
      <c r="G70" s="33" t="n">
        <f aca="false">E70*F70/30</f>
        <v>77155.972132085</v>
      </c>
      <c r="H70" s="33" t="n">
        <f aca="false">G69</f>
        <v>64593.339118616</v>
      </c>
      <c r="I70" s="33" t="n">
        <f aca="false">E70+(G70-H70)</f>
        <v>54647.708721879</v>
      </c>
      <c r="J70" s="80" t="n">
        <f aca="false">IF((G70+H70)=0,0,E70*12/((G70+H70)/2))</f>
        <v>7.12555008620435</v>
      </c>
    </row>
    <row r="71" customFormat="false" ht="15" hidden="false" customHeight="true" outlineLevel="0" collapsed="false">
      <c r="A71" s="32" t="n">
        <v>2027</v>
      </c>
      <c r="B71" s="32" t="n">
        <v>10</v>
      </c>
      <c r="C71" s="32" t="s">
        <v>181</v>
      </c>
      <c r="D71" s="32" t="s">
        <v>142</v>
      </c>
      <c r="E71" s="78" t="n">
        <f aca="false">SUMIFS(DRE_por_UN!$J:$J,DRE_por_UN!$C:$C,$C71,DRE_por_UN!$E:$E,$D71)</f>
        <v>27105.60546918</v>
      </c>
      <c r="F71" s="44" t="n">
        <f aca="false">VLOOKUP($D71,Premissas!$A$52:$P$56,15,0)</f>
        <v>55</v>
      </c>
      <c r="G71" s="33" t="n">
        <f aca="false">E71*F71/30</f>
        <v>49693.61002683</v>
      </c>
      <c r="H71" s="33" t="n">
        <f aca="false">G70</f>
        <v>77155.972132085</v>
      </c>
      <c r="I71" s="33" t="n">
        <f aca="false">E71+(G71-H71)</f>
        <v>-356.756636074992</v>
      </c>
      <c r="J71" s="80" t="n">
        <f aca="false">IF((G71+H71)=0,0,E71*12/((G71+H71)/2))</f>
        <v>5.12839317393526</v>
      </c>
    </row>
    <row r="72" customFormat="false" ht="15" hidden="false" customHeight="true" outlineLevel="0" collapsed="false">
      <c r="A72" s="32" t="n">
        <v>2027</v>
      </c>
      <c r="B72" s="32" t="n">
        <v>11</v>
      </c>
      <c r="C72" s="32" t="s">
        <v>182</v>
      </c>
      <c r="D72" s="32" t="s">
        <v>142</v>
      </c>
      <c r="E72" s="78" t="n">
        <f aca="false">SUMIFS(DRE_por_UN!$J:$J,DRE_por_UN!$C:$C,$C72,DRE_por_UN!$E:$E,$D72)</f>
        <v>42990.689248038</v>
      </c>
      <c r="F72" s="44" t="n">
        <f aca="false">VLOOKUP($D72,Premissas!$A$52:$P$56,15,0)</f>
        <v>55</v>
      </c>
      <c r="G72" s="33" t="n">
        <f aca="false">E72*F72/30</f>
        <v>78816.263621403</v>
      </c>
      <c r="H72" s="33" t="n">
        <f aca="false">G71</f>
        <v>49693.61002683</v>
      </c>
      <c r="I72" s="33" t="n">
        <f aca="false">E72+(G72-H72)</f>
        <v>72113.342842611</v>
      </c>
      <c r="J72" s="80" t="n">
        <f aca="false">IF((G72+H72)=0,0,E72*12/((G72+H72)/2))</f>
        <v>8.02877251888963</v>
      </c>
    </row>
    <row r="73" customFormat="false" ht="15" hidden="false" customHeight="true" outlineLevel="0" collapsed="false">
      <c r="A73" s="32" t="n">
        <v>2027</v>
      </c>
      <c r="B73" s="32" t="n">
        <v>12</v>
      </c>
      <c r="C73" s="32" t="s">
        <v>183</v>
      </c>
      <c r="D73" s="32" t="s">
        <v>142</v>
      </c>
      <c r="E73" s="78" t="n">
        <f aca="false">SUMIFS(DRE_por_UN!$J:$J,DRE_por_UN!$C:$C,$C73,DRE_por_UN!$E:$E,$D73)</f>
        <v>48776.550927258</v>
      </c>
      <c r="F73" s="44" t="n">
        <f aca="false">VLOOKUP($D73,Premissas!$A$52:$P$56,15,0)</f>
        <v>55</v>
      </c>
      <c r="G73" s="33" t="n">
        <f aca="false">E73*F73/30</f>
        <v>89423.676699973</v>
      </c>
      <c r="H73" s="33" t="n">
        <f aca="false">G72</f>
        <v>78816.263621403</v>
      </c>
      <c r="I73" s="33" t="n">
        <f aca="false">E73+(G73-H73)</f>
        <v>59383.964005828</v>
      </c>
      <c r="J73" s="80" t="n">
        <f aca="false">IF((G73+H73)=0,0,E73*12/((G73+H73)/2))</f>
        <v>6.95814097424198</v>
      </c>
    </row>
    <row r="74" customFormat="false" ht="15" hidden="false" customHeight="true" outlineLevel="0" collapsed="false">
      <c r="A74" s="32" t="n">
        <v>2025</v>
      </c>
      <c r="B74" s="32" t="n">
        <v>1</v>
      </c>
      <c r="C74" s="32" t="s">
        <v>148</v>
      </c>
      <c r="D74" s="32" t="s">
        <v>143</v>
      </c>
      <c r="E74" s="78" t="n">
        <f aca="false">SUMIFS(DRE_por_UN!$J:$J,DRE_por_UN!$C:$C,$C74,DRE_por_UN!$E:$E,$D74)</f>
        <v>9744.8932</v>
      </c>
      <c r="F74" s="44" t="n">
        <f aca="false">VLOOKUP($D74,Premissas!$A$52:$P$56,15,0)</f>
        <v>45</v>
      </c>
      <c r="G74" s="33" t="n">
        <f aca="false">E74*F74/30</f>
        <v>14617.3398</v>
      </c>
      <c r="H74" s="33" t="n">
        <f aca="false">G74</f>
        <v>14617.3398</v>
      </c>
      <c r="I74" s="33" t="n">
        <f aca="false">E74+(G74-H74)</f>
        <v>9744.8932</v>
      </c>
      <c r="J74" s="80" t="n">
        <f aca="false">IF((G74+H74)=0,0,E74*12/((G74+H74)/2))</f>
        <v>8</v>
      </c>
    </row>
    <row r="75" customFormat="false" ht="15" hidden="false" customHeight="true" outlineLevel="0" collapsed="false">
      <c r="A75" s="32" t="n">
        <v>2025</v>
      </c>
      <c r="B75" s="32" t="n">
        <v>2</v>
      </c>
      <c r="C75" s="32" t="s">
        <v>149</v>
      </c>
      <c r="D75" s="32" t="s">
        <v>143</v>
      </c>
      <c r="E75" s="78" t="n">
        <f aca="false">SUMIFS(DRE_por_UN!$J:$J,DRE_por_UN!$C:$C,$C75,DRE_por_UN!$E:$E,$D75)</f>
        <v>1960.7074</v>
      </c>
      <c r="F75" s="44" t="n">
        <f aca="false">VLOOKUP($D75,Premissas!$A$52:$P$56,15,0)</f>
        <v>45</v>
      </c>
      <c r="G75" s="33" t="n">
        <f aca="false">E75*F75/30</f>
        <v>2941.0611</v>
      </c>
      <c r="H75" s="33" t="n">
        <f aca="false">G74</f>
        <v>14617.3398</v>
      </c>
      <c r="I75" s="33" t="n">
        <f aca="false">E75+(G75-H75)</f>
        <v>-9715.5713</v>
      </c>
      <c r="J75" s="80" t="n">
        <f aca="false">IF((G75+H75)=0,0,E75*12/((G75+H75)/2))</f>
        <v>2.68002637985103</v>
      </c>
    </row>
    <row r="76" customFormat="false" ht="15" hidden="false" customHeight="true" outlineLevel="0" collapsed="false">
      <c r="A76" s="32" t="n">
        <v>2025</v>
      </c>
      <c r="B76" s="32" t="n">
        <v>3</v>
      </c>
      <c r="C76" s="32" t="s">
        <v>150</v>
      </c>
      <c r="D76" s="32" t="s">
        <v>143</v>
      </c>
      <c r="E76" s="78" t="n">
        <f aca="false">SUMIFS(DRE_por_UN!$J:$J,DRE_por_UN!$C:$C,$C76,DRE_por_UN!$E:$E,$D76)</f>
        <v>3114.9886</v>
      </c>
      <c r="F76" s="44" t="n">
        <f aca="false">VLOOKUP($D76,Premissas!$A$52:$P$56,15,0)</f>
        <v>45</v>
      </c>
      <c r="G76" s="33" t="n">
        <f aca="false">E76*F76/30</f>
        <v>4672.4829</v>
      </c>
      <c r="H76" s="33" t="n">
        <f aca="false">G75</f>
        <v>2941.0611</v>
      </c>
      <c r="I76" s="33" t="n">
        <f aca="false">E76+(G76-H76)</f>
        <v>4846.4104</v>
      </c>
      <c r="J76" s="80" t="n">
        <f aca="false">IF((G76+H76)=0,0,E76*12/((G76+H76)/2))</f>
        <v>9.81930706645946</v>
      </c>
    </row>
    <row r="77" customFormat="false" ht="15" hidden="false" customHeight="true" outlineLevel="0" collapsed="false">
      <c r="A77" s="32" t="n">
        <v>2025</v>
      </c>
      <c r="B77" s="32" t="n">
        <v>4</v>
      </c>
      <c r="C77" s="32" t="s">
        <v>151</v>
      </c>
      <c r="D77" s="32" t="s">
        <v>143</v>
      </c>
      <c r="E77" s="78" t="n">
        <f aca="false">SUMIFS(DRE_por_UN!$J:$J,DRE_por_UN!$C:$C,$C77,DRE_por_UN!$E:$E,$D77)</f>
        <v>3033.4116</v>
      </c>
      <c r="F77" s="44" t="n">
        <f aca="false">VLOOKUP($D77,Premissas!$A$52:$P$56,15,0)</f>
        <v>45</v>
      </c>
      <c r="G77" s="33" t="n">
        <f aca="false">E77*F77/30</f>
        <v>4550.1174</v>
      </c>
      <c r="H77" s="33" t="n">
        <f aca="false">G76</f>
        <v>4672.4829</v>
      </c>
      <c r="I77" s="33" t="n">
        <f aca="false">E77+(G77-H77)</f>
        <v>2911.0461</v>
      </c>
      <c r="J77" s="80" t="n">
        <f aca="false">IF((G77+H77)=0,0,E77*12/((G77+H77)/2))</f>
        <v>7.89385596597957</v>
      </c>
    </row>
    <row r="78" customFormat="false" ht="15" hidden="false" customHeight="true" outlineLevel="0" collapsed="false">
      <c r="A78" s="32" t="n">
        <v>2025</v>
      </c>
      <c r="B78" s="32" t="n">
        <v>5</v>
      </c>
      <c r="C78" s="32" t="s">
        <v>152</v>
      </c>
      <c r="D78" s="32" t="s">
        <v>143</v>
      </c>
      <c r="E78" s="78" t="n">
        <f aca="false">SUMIFS(DRE_por_UN!$J:$J,DRE_por_UN!$C:$C,$C78,DRE_por_UN!$E:$E,$D78)</f>
        <v>3010.4494</v>
      </c>
      <c r="F78" s="44" t="n">
        <f aca="false">VLOOKUP($D78,Premissas!$A$52:$P$56,15,0)</f>
        <v>45</v>
      </c>
      <c r="G78" s="33" t="n">
        <f aca="false">E78*F78/30</f>
        <v>4515.6741</v>
      </c>
      <c r="H78" s="33" t="n">
        <f aca="false">G77</f>
        <v>4550.1174</v>
      </c>
      <c r="I78" s="33" t="n">
        <f aca="false">E78+(G78-H78)</f>
        <v>2976.0061</v>
      </c>
      <c r="J78" s="80" t="n">
        <f aca="false">IF((G78+H78)=0,0,E78*12/((G78+H78)/2))</f>
        <v>7.96960591913017</v>
      </c>
    </row>
    <row r="79" customFormat="false" ht="15" hidden="false" customHeight="true" outlineLevel="0" collapsed="false">
      <c r="A79" s="32" t="n">
        <v>2025</v>
      </c>
      <c r="B79" s="32" t="n">
        <v>6</v>
      </c>
      <c r="C79" s="32" t="s">
        <v>153</v>
      </c>
      <c r="D79" s="32" t="s">
        <v>143</v>
      </c>
      <c r="E79" s="78" t="n">
        <f aca="false">SUMIFS(DRE_por_UN!$J:$J,DRE_por_UN!$C:$C,$C79,DRE_por_UN!$E:$E,$D79)</f>
        <v>2465.2146</v>
      </c>
      <c r="F79" s="44" t="n">
        <f aca="false">VLOOKUP($D79,Premissas!$A$52:$P$56,15,0)</f>
        <v>45</v>
      </c>
      <c r="G79" s="33" t="n">
        <f aca="false">E79*F79/30</f>
        <v>3697.8219</v>
      </c>
      <c r="H79" s="33" t="n">
        <f aca="false">G78</f>
        <v>4515.6741</v>
      </c>
      <c r="I79" s="33" t="n">
        <f aca="false">E79+(G79-H79)</f>
        <v>1647.3624</v>
      </c>
      <c r="J79" s="80" t="n">
        <f aca="false">IF((G79+H79)=0,0,E79*12/((G79+H79)/2))</f>
        <v>7.20340649097534</v>
      </c>
    </row>
    <row r="80" customFormat="false" ht="15" hidden="false" customHeight="true" outlineLevel="0" collapsed="false">
      <c r="A80" s="32" t="n">
        <v>2025</v>
      </c>
      <c r="B80" s="32" t="n">
        <v>7</v>
      </c>
      <c r="C80" s="32" t="s">
        <v>154</v>
      </c>
      <c r="D80" s="32" t="s">
        <v>143</v>
      </c>
      <c r="E80" s="78" t="n">
        <f aca="false">SUMIFS(DRE_por_UN!$J:$J,DRE_por_UN!$C:$C,$C80,DRE_por_UN!$E:$E,$D80)</f>
        <v>2038.0562</v>
      </c>
      <c r="F80" s="44" t="n">
        <f aca="false">VLOOKUP($D80,Premissas!$A$52:$P$56,15,0)</f>
        <v>45</v>
      </c>
      <c r="G80" s="33" t="n">
        <f aca="false">E80*F80/30</f>
        <v>3057.0843</v>
      </c>
      <c r="H80" s="33" t="n">
        <f aca="false">G79</f>
        <v>3697.8219</v>
      </c>
      <c r="I80" s="33" t="n">
        <f aca="false">E80+(G80-H80)</f>
        <v>1397.3186</v>
      </c>
      <c r="J80" s="80" t="n">
        <f aca="false">IF((G80+H80)=0,0,E80*12/((G80+H80)/2))</f>
        <v>7.24115884836417</v>
      </c>
    </row>
    <row r="81" customFormat="false" ht="15" hidden="false" customHeight="true" outlineLevel="0" collapsed="false">
      <c r="A81" s="32" t="n">
        <v>2025</v>
      </c>
      <c r="B81" s="32" t="n">
        <v>8</v>
      </c>
      <c r="C81" s="32" t="s">
        <v>155</v>
      </c>
      <c r="D81" s="32" t="s">
        <v>143</v>
      </c>
      <c r="E81" s="78" t="n">
        <f aca="false">SUMIFS(DRE_por_UN!$J:$J,DRE_por_UN!$C:$C,$C81,DRE_por_UN!$E:$E,$D81)</f>
        <v>2144.7066</v>
      </c>
      <c r="F81" s="44" t="n">
        <f aca="false">VLOOKUP($D81,Premissas!$A$52:$P$56,15,0)</f>
        <v>45</v>
      </c>
      <c r="G81" s="33" t="n">
        <f aca="false">E81*F81/30</f>
        <v>3217.0599</v>
      </c>
      <c r="H81" s="33" t="n">
        <f aca="false">G80</f>
        <v>3057.0843</v>
      </c>
      <c r="I81" s="33" t="n">
        <f aca="false">E81+(G81-H81)</f>
        <v>2304.6822</v>
      </c>
      <c r="J81" s="80" t="n">
        <f aca="false">IF((G81+H81)=0,0,E81*12/((G81+H81)/2))</f>
        <v>8.20398077557733</v>
      </c>
    </row>
    <row r="82" customFormat="false" ht="15" hidden="false" customHeight="true" outlineLevel="0" collapsed="false">
      <c r="A82" s="32" t="n">
        <v>2025</v>
      </c>
      <c r="B82" s="32" t="n">
        <v>9</v>
      </c>
      <c r="C82" s="32" t="s">
        <v>156</v>
      </c>
      <c r="D82" s="32" t="s">
        <v>143</v>
      </c>
      <c r="E82" s="78" t="n">
        <f aca="false">SUMIFS(DRE_por_UN!$J:$J,DRE_por_UN!$C:$C,$C82,DRE_por_UN!$E:$E,$D82)</f>
        <v>7826.9202</v>
      </c>
      <c r="F82" s="44" t="n">
        <f aca="false">VLOOKUP($D82,Premissas!$A$52:$P$56,15,0)</f>
        <v>45</v>
      </c>
      <c r="G82" s="33" t="n">
        <f aca="false">E82*F82/30</f>
        <v>11740.3803</v>
      </c>
      <c r="H82" s="33" t="n">
        <f aca="false">G81</f>
        <v>3217.0599</v>
      </c>
      <c r="I82" s="33" t="n">
        <f aca="false">E82+(G82-H82)</f>
        <v>16350.2406</v>
      </c>
      <c r="J82" s="80" t="n">
        <f aca="false">IF((G82+H82)=0,0,E82*12/((G82+H82)/2))</f>
        <v>12.5587053859657</v>
      </c>
    </row>
    <row r="83" customFormat="false" ht="15" hidden="false" customHeight="true" outlineLevel="0" collapsed="false">
      <c r="A83" s="32" t="n">
        <v>2025</v>
      </c>
      <c r="B83" s="32" t="n">
        <v>10</v>
      </c>
      <c r="C83" s="32" t="s">
        <v>157</v>
      </c>
      <c r="D83" s="32" t="s">
        <v>143</v>
      </c>
      <c r="E83" s="78" t="n">
        <f aca="false">SUMIFS(DRE_por_UN!$J:$J,DRE_por_UN!$C:$C,$C83,DRE_por_UN!$E:$E,$D83)</f>
        <v>2339.8302</v>
      </c>
      <c r="F83" s="44" t="n">
        <f aca="false">VLOOKUP($D83,Premissas!$A$52:$P$56,15,0)</f>
        <v>45</v>
      </c>
      <c r="G83" s="33" t="n">
        <f aca="false">E83*F83/30</f>
        <v>3509.7453</v>
      </c>
      <c r="H83" s="33" t="n">
        <f aca="false">G82</f>
        <v>11740.3803</v>
      </c>
      <c r="I83" s="33" t="n">
        <f aca="false">E83+(G83-H83)</f>
        <v>-5890.8048</v>
      </c>
      <c r="J83" s="80" t="n">
        <f aca="false">IF((G83+H83)=0,0,E83*12/((G83+H83)/2))</f>
        <v>3.68232539671673</v>
      </c>
    </row>
    <row r="84" customFormat="false" ht="15" hidden="false" customHeight="true" outlineLevel="0" collapsed="false">
      <c r="A84" s="32" t="n">
        <v>2025</v>
      </c>
      <c r="B84" s="32" t="n">
        <v>11</v>
      </c>
      <c r="C84" s="32" t="s">
        <v>158</v>
      </c>
      <c r="D84" s="32" t="s">
        <v>143</v>
      </c>
      <c r="E84" s="78" t="n">
        <f aca="false">SUMIFS(DRE_por_UN!$J:$J,DRE_por_UN!$C:$C,$C84,DRE_por_UN!$E:$E,$D84)</f>
        <v>1950.9692</v>
      </c>
      <c r="F84" s="44" t="n">
        <f aca="false">VLOOKUP($D84,Premissas!$A$52:$P$56,15,0)</f>
        <v>45</v>
      </c>
      <c r="G84" s="33" t="n">
        <f aca="false">E84*F84/30</f>
        <v>2926.4538</v>
      </c>
      <c r="H84" s="33" t="n">
        <f aca="false">G83</f>
        <v>3509.7453</v>
      </c>
      <c r="I84" s="33" t="n">
        <f aca="false">E84+(G84-H84)</f>
        <v>1367.6777</v>
      </c>
      <c r="J84" s="80" t="n">
        <f aca="false">IF((G84+H84)=0,0,E84*12/((G84+H84)/2))</f>
        <v>7.27498638132559</v>
      </c>
    </row>
    <row r="85" customFormat="false" ht="15" hidden="false" customHeight="true" outlineLevel="0" collapsed="false">
      <c r="A85" s="32" t="n">
        <v>2025</v>
      </c>
      <c r="B85" s="32" t="n">
        <v>12</v>
      </c>
      <c r="C85" s="32" t="s">
        <v>159</v>
      </c>
      <c r="D85" s="32" t="s">
        <v>143</v>
      </c>
      <c r="E85" s="78" t="n">
        <f aca="false">SUMIFS(DRE_por_UN!$J:$J,DRE_por_UN!$C:$C,$C85,DRE_por_UN!$E:$E,$D85)</f>
        <v>5535.1256</v>
      </c>
      <c r="F85" s="44" t="n">
        <f aca="false">VLOOKUP($D85,Premissas!$A$52:$P$56,15,0)</f>
        <v>45</v>
      </c>
      <c r="G85" s="33" t="n">
        <f aca="false">E85*F85/30</f>
        <v>8302.6884</v>
      </c>
      <c r="H85" s="33" t="n">
        <f aca="false">G84</f>
        <v>2926.4538</v>
      </c>
      <c r="I85" s="33" t="n">
        <f aca="false">E85+(G85-H85)</f>
        <v>10911.3602</v>
      </c>
      <c r="J85" s="80" t="n">
        <f aca="false">IF((G85+H85)=0,0,E85*12/((G85+H85)/2))</f>
        <v>11.8302014556375</v>
      </c>
    </row>
    <row r="86" customFormat="false" ht="15" hidden="false" customHeight="true" outlineLevel="0" collapsed="false">
      <c r="A86" s="32" t="n">
        <v>2026</v>
      </c>
      <c r="B86" s="32" t="n">
        <v>1</v>
      </c>
      <c r="C86" s="32" t="s">
        <v>160</v>
      </c>
      <c r="D86" s="32" t="s">
        <v>143</v>
      </c>
      <c r="E86" s="78" t="n">
        <f aca="false">SUMIFS(DRE_por_UN!$J:$J,DRE_por_UN!$C:$C,$C86,DRE_por_UN!$E:$E,$D86)</f>
        <v>8073.5362</v>
      </c>
      <c r="F86" s="44" t="n">
        <f aca="false">VLOOKUP($D86,Premissas!$A$52:$P$56,15,0)</f>
        <v>45</v>
      </c>
      <c r="G86" s="33" t="n">
        <f aca="false">E86*F86/30</f>
        <v>12110.3043</v>
      </c>
      <c r="H86" s="33" t="n">
        <f aca="false">G85</f>
        <v>8302.6884</v>
      </c>
      <c r="I86" s="33" t="n">
        <f aca="false">E86+(G86-H86)</f>
        <v>11881.1521</v>
      </c>
      <c r="J86" s="80" t="n">
        <f aca="false">IF((G86+H86)=0,0,E86*12/((G86+H86)/2))</f>
        <v>9.49223230751462</v>
      </c>
    </row>
    <row r="87" customFormat="false" ht="15" hidden="false" customHeight="true" outlineLevel="0" collapsed="false">
      <c r="A87" s="32" t="n">
        <v>2026</v>
      </c>
      <c r="B87" s="32" t="n">
        <v>2</v>
      </c>
      <c r="C87" s="32" t="s">
        <v>161</v>
      </c>
      <c r="D87" s="32" t="s">
        <v>143</v>
      </c>
      <c r="E87" s="78" t="n">
        <f aca="false">SUMIFS(DRE_por_UN!$J:$J,DRE_por_UN!$C:$C,$C87,DRE_por_UN!$E:$E,$D87)</f>
        <v>1272.2068</v>
      </c>
      <c r="F87" s="44" t="n">
        <f aca="false">VLOOKUP($D87,Premissas!$A$52:$P$56,15,0)</f>
        <v>45</v>
      </c>
      <c r="G87" s="33" t="n">
        <f aca="false">E87*F87/30</f>
        <v>1908.3102</v>
      </c>
      <c r="H87" s="33" t="n">
        <f aca="false">G86</f>
        <v>12110.3043</v>
      </c>
      <c r="I87" s="33" t="n">
        <f aca="false">E87+(G87-H87)</f>
        <v>-8929.7873</v>
      </c>
      <c r="J87" s="80" t="n">
        <f aca="false">IF((G87+H87)=0,0,E87*12/((G87+H87)/2))</f>
        <v>2.17803001858707</v>
      </c>
    </row>
    <row r="88" customFormat="false" ht="15" hidden="false" customHeight="true" outlineLevel="0" collapsed="false">
      <c r="A88" s="32" t="n">
        <v>2026</v>
      </c>
      <c r="B88" s="32" t="n">
        <v>3</v>
      </c>
      <c r="C88" s="32" t="s">
        <v>162</v>
      </c>
      <c r="D88" s="32" t="s">
        <v>143</v>
      </c>
      <c r="E88" s="78" t="n">
        <f aca="false">SUMIFS(DRE_por_UN!$J:$J,DRE_por_UN!$C:$C,$C88,DRE_por_UN!$E:$E,$D88)</f>
        <v>2417.2892</v>
      </c>
      <c r="F88" s="44" t="n">
        <f aca="false">VLOOKUP($D88,Premissas!$A$52:$P$56,15,0)</f>
        <v>45</v>
      </c>
      <c r="G88" s="33" t="n">
        <f aca="false">E88*F88/30</f>
        <v>3625.9338</v>
      </c>
      <c r="H88" s="33" t="n">
        <f aca="false">G87</f>
        <v>1908.3102</v>
      </c>
      <c r="I88" s="33" t="n">
        <f aca="false">E88+(G88-H88)</f>
        <v>4134.9128</v>
      </c>
      <c r="J88" s="80" t="n">
        <f aca="false">IF((G88+H88)=0,0,E88*12/((G88+H88)/2))</f>
        <v>10.4829025969943</v>
      </c>
    </row>
    <row r="89" customFormat="false" ht="15" hidden="false" customHeight="true" outlineLevel="0" collapsed="false">
      <c r="A89" s="32" t="n">
        <v>2026</v>
      </c>
      <c r="B89" s="32" t="n">
        <v>4</v>
      </c>
      <c r="C89" s="32" t="s">
        <v>163</v>
      </c>
      <c r="D89" s="32" t="s">
        <v>143</v>
      </c>
      <c r="E89" s="78" t="n">
        <f aca="false">SUMIFS(DRE_por_UN!$J:$J,DRE_por_UN!$C:$C,$C89,DRE_por_UN!$E:$E,$D89)</f>
        <v>2257.592</v>
      </c>
      <c r="F89" s="44" t="n">
        <f aca="false">VLOOKUP($D89,Premissas!$A$52:$P$56,15,0)</f>
        <v>45</v>
      </c>
      <c r="G89" s="33" t="n">
        <f aca="false">E89*F89/30</f>
        <v>3386.388</v>
      </c>
      <c r="H89" s="33" t="n">
        <f aca="false">G88</f>
        <v>3625.9338</v>
      </c>
      <c r="I89" s="33" t="n">
        <f aca="false">E89+(G89-H89)</f>
        <v>2018.0462</v>
      </c>
      <c r="J89" s="80" t="n">
        <f aca="false">IF((G89+H89)=0,0,E89*12/((G89+H89)/2))</f>
        <v>7.72671442431521</v>
      </c>
    </row>
    <row r="90" customFormat="false" ht="15" hidden="false" customHeight="true" outlineLevel="0" collapsed="false">
      <c r="A90" s="32" t="n">
        <v>2026</v>
      </c>
      <c r="B90" s="32" t="n">
        <v>5</v>
      </c>
      <c r="C90" s="32" t="s">
        <v>164</v>
      </c>
      <c r="D90" s="32" t="s">
        <v>143</v>
      </c>
      <c r="E90" s="78" t="n">
        <f aca="false">SUMIFS(DRE_por_UN!$J:$J,DRE_por_UN!$C:$C,$C90,DRE_por_UN!$E:$E,$D90)</f>
        <v>13765.9114</v>
      </c>
      <c r="F90" s="44" t="n">
        <f aca="false">VLOOKUP($D90,Premissas!$A$52:$P$56,15,0)</f>
        <v>45</v>
      </c>
      <c r="G90" s="33" t="n">
        <f aca="false">E90*F90/30</f>
        <v>20648.8671</v>
      </c>
      <c r="H90" s="33" t="n">
        <f aca="false">G89</f>
        <v>3386.388</v>
      </c>
      <c r="I90" s="33" t="n">
        <f aca="false">E90+(G90-H90)</f>
        <v>31028.3905</v>
      </c>
      <c r="J90" s="80" t="n">
        <f aca="false">IF((G90+H90)=0,0,E90*12/((G90+H90)/2))</f>
        <v>13.7457194535872</v>
      </c>
    </row>
    <row r="91" customFormat="false" ht="15" hidden="false" customHeight="true" outlineLevel="0" collapsed="false">
      <c r="A91" s="32" t="n">
        <v>2026</v>
      </c>
      <c r="B91" s="32" t="n">
        <v>6</v>
      </c>
      <c r="C91" s="32" t="s">
        <v>165</v>
      </c>
      <c r="D91" s="32" t="s">
        <v>143</v>
      </c>
      <c r="E91" s="78" t="n">
        <f aca="false">SUMIFS(DRE_por_UN!$J:$J,DRE_por_UN!$C:$C,$C91,DRE_por_UN!$E:$E,$D91)</f>
        <v>11433.4704</v>
      </c>
      <c r="F91" s="44" t="n">
        <f aca="false">VLOOKUP($D91,Premissas!$A$52:$P$56,15,0)</f>
        <v>45</v>
      </c>
      <c r="G91" s="33" t="n">
        <f aca="false">E91*F91/30</f>
        <v>17150.2056</v>
      </c>
      <c r="H91" s="33" t="n">
        <f aca="false">G90</f>
        <v>20648.8671</v>
      </c>
      <c r="I91" s="33" t="n">
        <f aca="false">E91+(G91-H91)</f>
        <v>7934.80889999999</v>
      </c>
      <c r="J91" s="80" t="n">
        <f aca="false">IF((G91+H91)=0,0,E91*12/((G91+H91)/2))</f>
        <v>7.25952437452255</v>
      </c>
    </row>
    <row r="92" customFormat="false" ht="15" hidden="false" customHeight="true" outlineLevel="0" collapsed="false">
      <c r="A92" s="32" t="n">
        <v>2026</v>
      </c>
      <c r="B92" s="32" t="n">
        <v>7</v>
      </c>
      <c r="C92" s="32" t="s">
        <v>166</v>
      </c>
      <c r="D92" s="32" t="s">
        <v>143</v>
      </c>
      <c r="E92" s="78" t="n">
        <f aca="false">SUMIFS(DRE_por_UN!$J:$J,DRE_por_UN!$C:$C,$C92,DRE_por_UN!$E:$E,$D92)</f>
        <v>3892.9716</v>
      </c>
      <c r="F92" s="44" t="n">
        <f aca="false">VLOOKUP($D92,Premissas!$A$52:$P$56,15,0)</f>
        <v>45</v>
      </c>
      <c r="G92" s="33" t="n">
        <f aca="false">E92*F92/30</f>
        <v>5839.4574</v>
      </c>
      <c r="H92" s="33" t="n">
        <f aca="false">G91</f>
        <v>17150.2056</v>
      </c>
      <c r="I92" s="33" t="n">
        <f aca="false">E92+(G92-H92)</f>
        <v>-7417.7766</v>
      </c>
      <c r="J92" s="80" t="n">
        <f aca="false">IF((G92+H92)=0,0,E92*12/((G92+H92)/2))</f>
        <v>4.06405776370015</v>
      </c>
    </row>
    <row r="93" customFormat="false" ht="15" hidden="false" customHeight="true" outlineLevel="0" collapsed="false">
      <c r="A93" s="32" t="n">
        <v>2026</v>
      </c>
      <c r="B93" s="32" t="n">
        <v>8</v>
      </c>
      <c r="C93" s="32" t="s">
        <v>167</v>
      </c>
      <c r="D93" s="32" t="s">
        <v>143</v>
      </c>
      <c r="E93" s="78" t="n">
        <f aca="false">SUMIFS(DRE_por_UN!$J:$J,DRE_por_UN!$C:$C,$C93,DRE_por_UN!$E:$E,$D93)</f>
        <v>5791.6654</v>
      </c>
      <c r="F93" s="44" t="n">
        <f aca="false">VLOOKUP($D93,Premissas!$A$52:$P$56,15,0)</f>
        <v>45</v>
      </c>
      <c r="G93" s="33" t="n">
        <f aca="false">E93*F93/30</f>
        <v>8687.4981</v>
      </c>
      <c r="H93" s="33" t="n">
        <f aca="false">G92</f>
        <v>5839.4574</v>
      </c>
      <c r="I93" s="33" t="n">
        <f aca="false">E93+(G93-H93)</f>
        <v>8639.7061</v>
      </c>
      <c r="J93" s="80" t="n">
        <f aca="false">IF((G93+H93)=0,0,E93*12/((G93+H93)/2))</f>
        <v>9.5684171125877</v>
      </c>
    </row>
    <row r="94" customFormat="false" ht="15" hidden="false" customHeight="true" outlineLevel="0" collapsed="false">
      <c r="A94" s="32" t="n">
        <v>2026</v>
      </c>
      <c r="B94" s="32" t="n">
        <v>9</v>
      </c>
      <c r="C94" s="32" t="s">
        <v>168</v>
      </c>
      <c r="D94" s="32" t="s">
        <v>143</v>
      </c>
      <c r="E94" s="78" t="n">
        <f aca="false">SUMIFS(DRE_por_UN!$J:$J,DRE_por_UN!$C:$C,$C94,DRE_por_UN!$E:$E,$D94)</f>
        <v>4759.7062</v>
      </c>
      <c r="F94" s="44" t="n">
        <f aca="false">VLOOKUP($D94,Premissas!$A$52:$P$56,15,0)</f>
        <v>45</v>
      </c>
      <c r="G94" s="33" t="n">
        <f aca="false">E94*F94/30</f>
        <v>7139.5593</v>
      </c>
      <c r="H94" s="33" t="n">
        <f aca="false">G93</f>
        <v>8687.4981</v>
      </c>
      <c r="I94" s="33" t="n">
        <f aca="false">E94+(G94-H94)</f>
        <v>3211.7674</v>
      </c>
      <c r="J94" s="80" t="n">
        <f aca="false">IF((G94+H94)=0,0,E94*12/((G94+H94)/2))</f>
        <v>7.21757341955429</v>
      </c>
    </row>
    <row r="95" customFormat="false" ht="15" hidden="false" customHeight="true" outlineLevel="0" collapsed="false">
      <c r="A95" s="32" t="n">
        <v>2026</v>
      </c>
      <c r="B95" s="32" t="n">
        <v>10</v>
      </c>
      <c r="C95" s="32" t="s">
        <v>169</v>
      </c>
      <c r="D95" s="32" t="s">
        <v>143</v>
      </c>
      <c r="E95" s="78" t="n">
        <f aca="false">SUMIFS(DRE_por_UN!$J:$J,DRE_por_UN!$C:$C,$C95,DRE_por_UN!$E:$E,$D95)</f>
        <v>7926.3148</v>
      </c>
      <c r="F95" s="44" t="n">
        <f aca="false">VLOOKUP($D95,Premissas!$A$52:$P$56,15,0)</f>
        <v>45</v>
      </c>
      <c r="G95" s="33" t="n">
        <f aca="false">E95*F95/30</f>
        <v>11889.4722</v>
      </c>
      <c r="H95" s="33" t="n">
        <f aca="false">G94</f>
        <v>7139.5593</v>
      </c>
      <c r="I95" s="33" t="n">
        <f aca="false">E95+(G95-H95)</f>
        <v>12676.2277</v>
      </c>
      <c r="J95" s="80" t="n">
        <f aca="false">IF((G95+H95)=0,0,E95*12/((G95+H95)/2))</f>
        <v>9.99691209718161</v>
      </c>
    </row>
    <row r="96" customFormat="false" ht="15" hidden="false" customHeight="true" outlineLevel="0" collapsed="false">
      <c r="A96" s="32" t="n">
        <v>2026</v>
      </c>
      <c r="B96" s="32" t="n">
        <v>11</v>
      </c>
      <c r="C96" s="32" t="s">
        <v>170</v>
      </c>
      <c r="D96" s="32" t="s">
        <v>143</v>
      </c>
      <c r="E96" s="78" t="n">
        <f aca="false">SUMIFS(DRE_por_UN!$J:$J,DRE_por_UN!$C:$C,$C96,DRE_por_UN!$E:$E,$D96)</f>
        <v>7087.8552</v>
      </c>
      <c r="F96" s="44" t="n">
        <f aca="false">VLOOKUP($D96,Premissas!$A$52:$P$56,15,0)</f>
        <v>45</v>
      </c>
      <c r="G96" s="33" t="n">
        <f aca="false">E96*F96/30</f>
        <v>10631.7828</v>
      </c>
      <c r="H96" s="33" t="n">
        <f aca="false">G95</f>
        <v>11889.4722</v>
      </c>
      <c r="I96" s="33" t="n">
        <f aca="false">E96+(G96-H96)</f>
        <v>5830.1658</v>
      </c>
      <c r="J96" s="80" t="n">
        <f aca="false">IF((G96+H96)=0,0,E96*12/((G96+H96)/2))</f>
        <v>7.55324358256234</v>
      </c>
    </row>
    <row r="97" customFormat="false" ht="15" hidden="false" customHeight="true" outlineLevel="0" collapsed="false">
      <c r="A97" s="32" t="n">
        <v>2026</v>
      </c>
      <c r="B97" s="32" t="n">
        <v>12</v>
      </c>
      <c r="C97" s="32" t="s">
        <v>171</v>
      </c>
      <c r="D97" s="32" t="s">
        <v>143</v>
      </c>
      <c r="E97" s="78" t="n">
        <f aca="false">SUMIFS(DRE_por_UN!$J:$J,DRE_por_UN!$C:$C,$C97,DRE_por_UN!$E:$E,$D97)</f>
        <v>3885.8956</v>
      </c>
      <c r="F97" s="44" t="n">
        <f aca="false">VLOOKUP($D97,Premissas!$A$52:$P$56,15,0)</f>
        <v>45</v>
      </c>
      <c r="G97" s="33" t="n">
        <f aca="false">E97*F97/30</f>
        <v>5828.8434</v>
      </c>
      <c r="H97" s="33" t="n">
        <f aca="false">G96</f>
        <v>10631.7828</v>
      </c>
      <c r="I97" s="33" t="n">
        <f aca="false">E97+(G97-H97)</f>
        <v>-917.043799999998</v>
      </c>
      <c r="J97" s="80" t="n">
        <f aca="false">IF((G97+H97)=0,0,E97*12/((G97+H97)/2))</f>
        <v>5.665731866264</v>
      </c>
    </row>
    <row r="98" customFormat="false" ht="15" hidden="false" customHeight="true" outlineLevel="0" collapsed="false">
      <c r="A98" s="32" t="n">
        <v>2027</v>
      </c>
      <c r="B98" s="32" t="n">
        <v>1</v>
      </c>
      <c r="C98" s="32" t="s">
        <v>172</v>
      </c>
      <c r="D98" s="32" t="s">
        <v>143</v>
      </c>
      <c r="E98" s="78" t="n">
        <f aca="false">SUMIFS(DRE_por_UN!$J:$J,DRE_por_UN!$C:$C,$C98,DRE_por_UN!$E:$E,$D98)</f>
        <v>10211.901262178</v>
      </c>
      <c r="F98" s="44" t="n">
        <f aca="false">VLOOKUP($D98,Premissas!$A$52:$P$56,15,0)</f>
        <v>45</v>
      </c>
      <c r="G98" s="33" t="n">
        <f aca="false">E98*F98/30</f>
        <v>15317.851893267</v>
      </c>
      <c r="H98" s="33" t="n">
        <f aca="false">G97</f>
        <v>5828.8434</v>
      </c>
      <c r="I98" s="33" t="n">
        <f aca="false">E98+(G98-H98)</f>
        <v>19700.909755445</v>
      </c>
      <c r="J98" s="80" t="n">
        <f aca="false">IF((G98+H98)=0,0,E98*12/((G98+H98)/2))</f>
        <v>11.5897839777502</v>
      </c>
    </row>
    <row r="99" customFormat="false" ht="15" hidden="false" customHeight="true" outlineLevel="0" collapsed="false">
      <c r="A99" s="32" t="n">
        <v>2027</v>
      </c>
      <c r="B99" s="32" t="n">
        <v>2</v>
      </c>
      <c r="C99" s="32" t="s">
        <v>173</v>
      </c>
      <c r="D99" s="32" t="s">
        <v>143</v>
      </c>
      <c r="E99" s="78" t="n">
        <f aca="false">SUMIFS(DRE_por_UN!$J:$J,DRE_por_UN!$C:$C,$C99,DRE_por_UN!$E:$E,$D99)</f>
        <v>1470.14230902</v>
      </c>
      <c r="F99" s="44" t="n">
        <f aca="false">VLOOKUP($D99,Premissas!$A$52:$P$56,15,0)</f>
        <v>45</v>
      </c>
      <c r="G99" s="33" t="n">
        <f aca="false">E99*F99/30</f>
        <v>2205.21346353</v>
      </c>
      <c r="H99" s="33" t="n">
        <f aca="false">G98</f>
        <v>15317.851893267</v>
      </c>
      <c r="I99" s="33" t="n">
        <f aca="false">E99+(G99-H99)</f>
        <v>-11642.496120717</v>
      </c>
      <c r="J99" s="80" t="n">
        <f aca="false">IF((G99+H99)=0,0,E99*12/((G99+H99)/2))</f>
        <v>2.01354127819845</v>
      </c>
    </row>
    <row r="100" customFormat="false" ht="15" hidden="false" customHeight="true" outlineLevel="0" collapsed="false">
      <c r="A100" s="32" t="n">
        <v>2027</v>
      </c>
      <c r="B100" s="32" t="n">
        <v>3</v>
      </c>
      <c r="C100" s="32" t="s">
        <v>174</v>
      </c>
      <c r="D100" s="32" t="s">
        <v>143</v>
      </c>
      <c r="E100" s="78" t="n">
        <f aca="false">SUMIFS(DRE_por_UN!$J:$J,DRE_por_UN!$C:$C,$C100,DRE_por_UN!$E:$E,$D100)</f>
        <v>2633.259867832</v>
      </c>
      <c r="F100" s="44" t="n">
        <f aca="false">VLOOKUP($D100,Premissas!$A$52:$P$56,15,0)</f>
        <v>45</v>
      </c>
      <c r="G100" s="33" t="n">
        <f aca="false">E100*F100/30</f>
        <v>3949.889801748</v>
      </c>
      <c r="H100" s="33" t="n">
        <f aca="false">G99</f>
        <v>2205.21346353</v>
      </c>
      <c r="I100" s="33" t="n">
        <f aca="false">E100+(G100-H100)</f>
        <v>4377.93620605</v>
      </c>
      <c r="J100" s="80" t="n">
        <f aca="false">IF((G100+H100)=0,0,E100*12/((G100+H100)/2))</f>
        <v>10.267616009707</v>
      </c>
    </row>
    <row r="101" customFormat="false" ht="15" hidden="false" customHeight="true" outlineLevel="0" collapsed="false">
      <c r="A101" s="32" t="n">
        <v>2027</v>
      </c>
      <c r="B101" s="32" t="n">
        <v>4</v>
      </c>
      <c r="C101" s="32" t="s">
        <v>175</v>
      </c>
      <c r="D101" s="32" t="s">
        <v>143</v>
      </c>
      <c r="E101" s="78" t="n">
        <f aca="false">SUMIFS(DRE_por_UN!$J:$J,DRE_por_UN!$C:$C,$C101,DRE_por_UN!$E:$E,$D101)</f>
        <v>2539.077366144</v>
      </c>
      <c r="F101" s="44" t="n">
        <f aca="false">VLOOKUP($D101,Premissas!$A$52:$P$56,15,0)</f>
        <v>45</v>
      </c>
      <c r="G101" s="33" t="n">
        <f aca="false">E101*F101/30</f>
        <v>3808.616049216</v>
      </c>
      <c r="H101" s="33" t="n">
        <f aca="false">G100</f>
        <v>3949.889801748</v>
      </c>
      <c r="I101" s="33" t="n">
        <f aca="false">E101+(G101-H101)</f>
        <v>2397.803613612</v>
      </c>
      <c r="J101" s="80" t="n">
        <f aca="false">IF((G101+H101)=0,0,E101*12/((G101+H101)/2))</f>
        <v>7.85432890791523</v>
      </c>
    </row>
    <row r="102" customFormat="false" ht="15" hidden="false" customHeight="true" outlineLevel="0" collapsed="false">
      <c r="A102" s="32" t="n">
        <v>2027</v>
      </c>
      <c r="B102" s="32" t="n">
        <v>5</v>
      </c>
      <c r="C102" s="32" t="s">
        <v>176</v>
      </c>
      <c r="D102" s="32" t="s">
        <v>143</v>
      </c>
      <c r="E102" s="78" t="n">
        <f aca="false">SUMIFS(DRE_por_UN!$J:$J,DRE_por_UN!$C:$C,$C102,DRE_por_UN!$E:$E,$D102)</f>
        <v>14292.84405901</v>
      </c>
      <c r="F102" s="44" t="n">
        <f aca="false">VLOOKUP($D102,Premissas!$A$52:$P$56,15,0)</f>
        <v>45</v>
      </c>
      <c r="G102" s="33" t="n">
        <f aca="false">E102*F102/30</f>
        <v>21439.266088515</v>
      </c>
      <c r="H102" s="33" t="n">
        <f aca="false">G101</f>
        <v>3808.616049216</v>
      </c>
      <c r="I102" s="33" t="n">
        <f aca="false">E102+(G102-H102)</f>
        <v>31923.494098309</v>
      </c>
      <c r="J102" s="80" t="n">
        <f aca="false">IF((G102+H102)=0,0,E102*12/((G102+H102)/2))</f>
        <v>13.5864170921335</v>
      </c>
    </row>
    <row r="103" customFormat="false" ht="15" hidden="false" customHeight="true" outlineLevel="0" collapsed="false">
      <c r="A103" s="32" t="n">
        <v>2027</v>
      </c>
      <c r="B103" s="32" t="n">
        <v>6</v>
      </c>
      <c r="C103" s="32" t="s">
        <v>177</v>
      </c>
      <c r="D103" s="32" t="s">
        <v>143</v>
      </c>
      <c r="E103" s="78" t="n">
        <f aca="false">SUMIFS(DRE_por_UN!$J:$J,DRE_por_UN!$C:$C,$C103,DRE_por_UN!$E:$E,$D103)</f>
        <v>10542.672651192</v>
      </c>
      <c r="F103" s="44" t="n">
        <f aca="false">VLOOKUP($D103,Premissas!$A$52:$P$56,15,0)</f>
        <v>45</v>
      </c>
      <c r="G103" s="33" t="n">
        <f aca="false">E103*F103/30</f>
        <v>15814.008976788</v>
      </c>
      <c r="H103" s="33" t="n">
        <f aca="false">G102</f>
        <v>21439.266088515</v>
      </c>
      <c r="I103" s="33" t="n">
        <f aca="false">E103+(G103-H103)</f>
        <v>4917.415539465</v>
      </c>
      <c r="J103" s="80" t="n">
        <f aca="false">IF((G103+H103)=0,0,E103*12/((G103+H103)/2))</f>
        <v>6.79199729916552</v>
      </c>
    </row>
    <row r="104" customFormat="false" ht="15" hidden="false" customHeight="true" outlineLevel="0" collapsed="false">
      <c r="A104" s="32" t="n">
        <v>2027</v>
      </c>
      <c r="B104" s="32" t="n">
        <v>7</v>
      </c>
      <c r="C104" s="32" t="s">
        <v>178</v>
      </c>
      <c r="D104" s="32" t="s">
        <v>143</v>
      </c>
      <c r="E104" s="78" t="n">
        <f aca="false">SUMIFS(DRE_por_UN!$J:$J,DRE_por_UN!$C:$C,$C104,DRE_por_UN!$E:$E,$D104)</f>
        <v>4397.531145348</v>
      </c>
      <c r="F104" s="44" t="n">
        <f aca="false">VLOOKUP($D104,Premissas!$A$52:$P$56,15,0)</f>
        <v>45</v>
      </c>
      <c r="G104" s="33" t="n">
        <f aca="false">E104*F104/30</f>
        <v>6596.296718022</v>
      </c>
      <c r="H104" s="33" t="n">
        <f aca="false">G103</f>
        <v>15814.008976788</v>
      </c>
      <c r="I104" s="33" t="n">
        <f aca="false">E104+(G104-H104)</f>
        <v>-4820.181113418</v>
      </c>
      <c r="J104" s="80" t="n">
        <f aca="false">IF((G104+H104)=0,0,E104*12/((G104+H104)/2))</f>
        <v>4.70947379860125</v>
      </c>
    </row>
    <row r="105" customFormat="false" ht="15" hidden="false" customHeight="true" outlineLevel="0" collapsed="false">
      <c r="A105" s="32" t="n">
        <v>2027</v>
      </c>
      <c r="B105" s="32" t="n">
        <v>8</v>
      </c>
      <c r="C105" s="32" t="s">
        <v>179</v>
      </c>
      <c r="D105" s="32" t="s">
        <v>143</v>
      </c>
      <c r="E105" s="78" t="n">
        <f aca="false">SUMIFS(DRE_por_UN!$J:$J,DRE_por_UN!$C:$C,$C105,DRE_por_UN!$E:$E,$D105)</f>
        <v>6976.126969658</v>
      </c>
      <c r="F105" s="44" t="n">
        <f aca="false">VLOOKUP($D105,Premissas!$A$52:$P$56,15,0)</f>
        <v>45</v>
      </c>
      <c r="G105" s="33" t="n">
        <f aca="false">E105*F105/30</f>
        <v>10464.190454487</v>
      </c>
      <c r="H105" s="33" t="n">
        <f aca="false">G104</f>
        <v>6596.296718022</v>
      </c>
      <c r="I105" s="33" t="n">
        <f aca="false">E105+(G105-H105)</f>
        <v>10844.020706123</v>
      </c>
      <c r="J105" s="80" t="n">
        <f aca="false">IF((G105+H105)=0,0,E105*12/((G105+H105)/2))</f>
        <v>9.81373190453678</v>
      </c>
    </row>
    <row r="106" customFormat="false" ht="15" hidden="false" customHeight="true" outlineLevel="0" collapsed="false">
      <c r="A106" s="32" t="n">
        <v>2027</v>
      </c>
      <c r="B106" s="32" t="n">
        <v>9</v>
      </c>
      <c r="C106" s="32" t="s">
        <v>180</v>
      </c>
      <c r="D106" s="32" t="s">
        <v>143</v>
      </c>
      <c r="E106" s="78" t="n">
        <f aca="false">SUMIFS(DRE_por_UN!$J:$J,DRE_por_UN!$C:$C,$C106,DRE_por_UN!$E:$E,$D106)</f>
        <v>5834.730453244</v>
      </c>
      <c r="F106" s="44" t="n">
        <f aca="false">VLOOKUP($D106,Premissas!$A$52:$P$56,15,0)</f>
        <v>45</v>
      </c>
      <c r="G106" s="33" t="n">
        <f aca="false">E106*F106/30</f>
        <v>8752.095679866</v>
      </c>
      <c r="H106" s="33" t="n">
        <f aca="false">G105</f>
        <v>10464.190454487</v>
      </c>
      <c r="I106" s="33" t="n">
        <f aca="false">E106+(G106-H106)</f>
        <v>4122.635678623</v>
      </c>
      <c r="J106" s="80" t="n">
        <f aca="false">IF((G106+H106)=0,0,E106*12/((G106+H106)/2))</f>
        <v>7.28723177302807</v>
      </c>
    </row>
    <row r="107" customFormat="false" ht="15" hidden="false" customHeight="true" outlineLevel="0" collapsed="false">
      <c r="A107" s="32" t="n">
        <v>2027</v>
      </c>
      <c r="B107" s="32" t="n">
        <v>10</v>
      </c>
      <c r="C107" s="32" t="s">
        <v>181</v>
      </c>
      <c r="D107" s="32" t="s">
        <v>143</v>
      </c>
      <c r="E107" s="78" t="n">
        <f aca="false">SUMIFS(DRE_por_UN!$J:$J,DRE_por_UN!$C:$C,$C107,DRE_por_UN!$E:$E,$D107)</f>
        <v>7052.41928017</v>
      </c>
      <c r="F107" s="44" t="n">
        <f aca="false">VLOOKUP($D107,Premissas!$A$52:$P$56,15,0)</f>
        <v>45</v>
      </c>
      <c r="G107" s="33" t="n">
        <f aca="false">E107*F107/30</f>
        <v>10578.628920255</v>
      </c>
      <c r="H107" s="33" t="n">
        <f aca="false">G106</f>
        <v>8752.095679866</v>
      </c>
      <c r="I107" s="33" t="n">
        <f aca="false">E107+(G107-H107)</f>
        <v>8878.952520559</v>
      </c>
      <c r="J107" s="80" t="n">
        <f aca="false">IF((G107+H107)=0,0,E107*12/((G107+H107)/2))</f>
        <v>8.7559088562578</v>
      </c>
    </row>
    <row r="108" customFormat="false" ht="15" hidden="false" customHeight="true" outlineLevel="0" collapsed="false">
      <c r="A108" s="32" t="n">
        <v>2027</v>
      </c>
      <c r="B108" s="32" t="n">
        <v>11</v>
      </c>
      <c r="C108" s="32" t="s">
        <v>182</v>
      </c>
      <c r="D108" s="32" t="s">
        <v>143</v>
      </c>
      <c r="E108" s="78" t="n">
        <f aca="false">SUMIFS(DRE_por_UN!$J:$J,DRE_por_UN!$C:$C,$C108,DRE_por_UN!$E:$E,$D108)</f>
        <v>6156.378927138</v>
      </c>
      <c r="F108" s="44" t="n">
        <f aca="false">VLOOKUP($D108,Premissas!$A$52:$P$56,15,0)</f>
        <v>45</v>
      </c>
      <c r="G108" s="33" t="n">
        <f aca="false">E108*F108/30</f>
        <v>9234.568390707</v>
      </c>
      <c r="H108" s="33" t="n">
        <f aca="false">G107</f>
        <v>10578.628920255</v>
      </c>
      <c r="I108" s="33" t="n">
        <f aca="false">E108+(G108-H108)</f>
        <v>4812.31839759</v>
      </c>
      <c r="J108" s="80" t="n">
        <f aca="false">IF((G108+H108)=0,0,E108*12/((G108+H108)/2))</f>
        <v>7.45730696224203</v>
      </c>
    </row>
    <row r="109" customFormat="false" ht="15" hidden="false" customHeight="true" outlineLevel="0" collapsed="false">
      <c r="A109" s="32" t="n">
        <v>2027</v>
      </c>
      <c r="B109" s="32" t="n">
        <v>12</v>
      </c>
      <c r="C109" s="32" t="s">
        <v>183</v>
      </c>
      <c r="D109" s="32" t="s">
        <v>143</v>
      </c>
      <c r="E109" s="78" t="n">
        <f aca="false">SUMIFS(DRE_por_UN!$J:$J,DRE_por_UN!$C:$C,$C109,DRE_por_UN!$E:$E,$D109)</f>
        <v>4095.481476394</v>
      </c>
      <c r="F109" s="44" t="n">
        <f aca="false">VLOOKUP($D109,Premissas!$A$52:$P$56,15,0)</f>
        <v>45</v>
      </c>
      <c r="G109" s="33" t="n">
        <f aca="false">E109*F109/30</f>
        <v>6143.222214591</v>
      </c>
      <c r="H109" s="33" t="n">
        <f aca="false">G108</f>
        <v>9234.568390707</v>
      </c>
      <c r="I109" s="33" t="n">
        <f aca="false">E109+(G109-H109)</f>
        <v>1004.135300278</v>
      </c>
      <c r="J109" s="80" t="n">
        <f aca="false">IF((G109+H109)=0,0,E109*12/((G109+H109)/2))</f>
        <v>6.39178656780463</v>
      </c>
    </row>
    <row r="110" customFormat="false" ht="15" hidden="false" customHeight="true" outlineLevel="0" collapsed="false">
      <c r="A110" s="32" t="n">
        <v>2025</v>
      </c>
      <c r="B110" s="32" t="n">
        <v>1</v>
      </c>
      <c r="C110" s="32" t="s">
        <v>148</v>
      </c>
      <c r="D110" s="32" t="s">
        <v>144</v>
      </c>
      <c r="E110" s="78" t="n">
        <f aca="false">SUMIFS(DRE_por_UN!$J:$J,DRE_por_UN!$C:$C,$C110,DRE_por_UN!$E:$E,$D110)</f>
        <v>16797.2994</v>
      </c>
      <c r="F110" s="44" t="n">
        <f aca="false">VLOOKUP($D110,Premissas!$A$52:$P$56,15,0)</f>
        <v>40</v>
      </c>
      <c r="G110" s="33" t="n">
        <f aca="false">E110*F110/30</f>
        <v>22396.3992</v>
      </c>
      <c r="H110" s="33" t="n">
        <f aca="false">G110</f>
        <v>22396.3992</v>
      </c>
      <c r="I110" s="33" t="n">
        <f aca="false">E110+(G110-H110)</f>
        <v>16797.2994</v>
      </c>
      <c r="J110" s="80" t="n">
        <f aca="false">IF((G110+H110)=0,0,E110*12/((G110+H110)/2))</f>
        <v>9</v>
      </c>
    </row>
    <row r="111" customFormat="false" ht="15" hidden="false" customHeight="true" outlineLevel="0" collapsed="false">
      <c r="A111" s="32" t="n">
        <v>2025</v>
      </c>
      <c r="B111" s="32" t="n">
        <v>2</v>
      </c>
      <c r="C111" s="32" t="s">
        <v>149</v>
      </c>
      <c r="D111" s="32" t="s">
        <v>144</v>
      </c>
      <c r="E111" s="78" t="n">
        <f aca="false">SUMIFS(DRE_por_UN!$J:$J,DRE_por_UN!$C:$C,$C111,DRE_por_UN!$E:$E,$D111)</f>
        <v>18310.401</v>
      </c>
      <c r="F111" s="44" t="n">
        <f aca="false">VLOOKUP($D111,Premissas!$A$52:$P$56,15,0)</f>
        <v>40</v>
      </c>
      <c r="G111" s="33" t="n">
        <f aca="false">E111*F111/30</f>
        <v>24413.868</v>
      </c>
      <c r="H111" s="33" t="n">
        <f aca="false">G110</f>
        <v>22396.3992</v>
      </c>
      <c r="I111" s="33" t="n">
        <f aca="false">E111+(G111-H111)</f>
        <v>20327.8698</v>
      </c>
      <c r="J111" s="80" t="n">
        <f aca="false">IF((G111+H111)=0,0,E111*12/((G111+H111)/2))</f>
        <v>9.38788967220422</v>
      </c>
    </row>
    <row r="112" customFormat="false" ht="15" hidden="false" customHeight="true" outlineLevel="0" collapsed="false">
      <c r="A112" s="32" t="n">
        <v>2025</v>
      </c>
      <c r="B112" s="32" t="n">
        <v>3</v>
      </c>
      <c r="C112" s="32" t="s">
        <v>150</v>
      </c>
      <c r="D112" s="32" t="s">
        <v>144</v>
      </c>
      <c r="E112" s="78" t="n">
        <f aca="false">SUMIFS(DRE_por_UN!$J:$J,DRE_por_UN!$C:$C,$C112,DRE_por_UN!$E:$E,$D112)</f>
        <v>19419.5286</v>
      </c>
      <c r="F112" s="44" t="n">
        <f aca="false">VLOOKUP($D112,Premissas!$A$52:$P$56,15,0)</f>
        <v>40</v>
      </c>
      <c r="G112" s="33" t="n">
        <f aca="false">E112*F112/30</f>
        <v>25892.7048</v>
      </c>
      <c r="H112" s="33" t="n">
        <f aca="false">G111</f>
        <v>24413.868</v>
      </c>
      <c r="I112" s="33" t="n">
        <f aca="false">E112+(G112-H112)</f>
        <v>20898.3654</v>
      </c>
      <c r="J112" s="80" t="n">
        <f aca="false">IF((G112+H112)=0,0,E112*12/((G112+H112)/2))</f>
        <v>9.26456843428618</v>
      </c>
    </row>
    <row r="113" customFormat="false" ht="15" hidden="false" customHeight="true" outlineLevel="0" collapsed="false">
      <c r="A113" s="32" t="n">
        <v>2025</v>
      </c>
      <c r="B113" s="32" t="n">
        <v>4</v>
      </c>
      <c r="C113" s="32" t="s">
        <v>151</v>
      </c>
      <c r="D113" s="32" t="s">
        <v>144</v>
      </c>
      <c r="E113" s="78" t="n">
        <f aca="false">SUMIFS(DRE_por_UN!$J:$J,DRE_por_UN!$C:$C,$C113,DRE_por_UN!$E:$E,$D113)</f>
        <v>22669.5024</v>
      </c>
      <c r="F113" s="44" t="n">
        <f aca="false">VLOOKUP($D113,Premissas!$A$52:$P$56,15,0)</f>
        <v>40</v>
      </c>
      <c r="G113" s="33" t="n">
        <f aca="false">E113*F113/30</f>
        <v>30226.0032</v>
      </c>
      <c r="H113" s="33" t="n">
        <f aca="false">G112</f>
        <v>25892.7048</v>
      </c>
      <c r="I113" s="33" t="n">
        <f aca="false">E113+(G113-H113)</f>
        <v>27002.8008</v>
      </c>
      <c r="J113" s="80" t="n">
        <f aca="false">IF((G113+H113)=0,0,E113*12/((G113+H113)/2))</f>
        <v>9.69494981245827</v>
      </c>
    </row>
    <row r="114" customFormat="false" ht="15" hidden="false" customHeight="true" outlineLevel="0" collapsed="false">
      <c r="A114" s="32" t="n">
        <v>2025</v>
      </c>
      <c r="B114" s="32" t="n">
        <v>5</v>
      </c>
      <c r="C114" s="32" t="s">
        <v>152</v>
      </c>
      <c r="D114" s="32" t="s">
        <v>144</v>
      </c>
      <c r="E114" s="78" t="n">
        <f aca="false">SUMIFS(DRE_por_UN!$J:$J,DRE_por_UN!$C:$C,$C114,DRE_por_UN!$E:$E,$D114)</f>
        <v>19779.8922</v>
      </c>
      <c r="F114" s="44" t="n">
        <f aca="false">VLOOKUP($D114,Premissas!$A$52:$P$56,15,0)</f>
        <v>40</v>
      </c>
      <c r="G114" s="33" t="n">
        <f aca="false">E114*F114/30</f>
        <v>26373.1896</v>
      </c>
      <c r="H114" s="33" t="n">
        <f aca="false">G113</f>
        <v>30226.0032</v>
      </c>
      <c r="I114" s="33" t="n">
        <f aca="false">E114+(G114-H114)</f>
        <v>15927.0786</v>
      </c>
      <c r="J114" s="80" t="n">
        <f aca="false">IF((G114+H114)=0,0,E114*12/((G114+H114)/2))</f>
        <v>8.38735305779838</v>
      </c>
    </row>
    <row r="115" customFormat="false" ht="15" hidden="false" customHeight="true" outlineLevel="0" collapsed="false">
      <c r="A115" s="32" t="n">
        <v>2025</v>
      </c>
      <c r="B115" s="32" t="n">
        <v>6</v>
      </c>
      <c r="C115" s="32" t="s">
        <v>153</v>
      </c>
      <c r="D115" s="32" t="s">
        <v>144</v>
      </c>
      <c r="E115" s="78" t="n">
        <f aca="false">SUMIFS(DRE_por_UN!$J:$J,DRE_por_UN!$C:$C,$C115,DRE_por_UN!$E:$E,$D115)</f>
        <v>18517.7502</v>
      </c>
      <c r="F115" s="44" t="n">
        <f aca="false">VLOOKUP($D115,Premissas!$A$52:$P$56,15,0)</f>
        <v>40</v>
      </c>
      <c r="G115" s="33" t="n">
        <f aca="false">E115*F115/30</f>
        <v>24690.3336</v>
      </c>
      <c r="H115" s="33" t="n">
        <f aca="false">G114</f>
        <v>26373.1896</v>
      </c>
      <c r="I115" s="33" t="n">
        <f aca="false">E115+(G115-H115)</f>
        <v>16834.8942</v>
      </c>
      <c r="J115" s="80" t="n">
        <f aca="false">IF((G115+H115)=0,0,E115*12/((G115+H115)/2))</f>
        <v>8.70339484918268</v>
      </c>
    </row>
    <row r="116" customFormat="false" ht="15" hidden="false" customHeight="true" outlineLevel="0" collapsed="false">
      <c r="A116" s="32" t="n">
        <v>2025</v>
      </c>
      <c r="B116" s="32" t="n">
        <v>7</v>
      </c>
      <c r="C116" s="32" t="s">
        <v>154</v>
      </c>
      <c r="D116" s="32" t="s">
        <v>144</v>
      </c>
      <c r="E116" s="78" t="n">
        <f aca="false">SUMIFS(DRE_por_UN!$J:$J,DRE_por_UN!$C:$C,$C116,DRE_por_UN!$E:$E,$D116)</f>
        <v>22354.3044</v>
      </c>
      <c r="F116" s="44" t="n">
        <f aca="false">VLOOKUP($D116,Premissas!$A$52:$P$56,15,0)</f>
        <v>40</v>
      </c>
      <c r="G116" s="33" t="n">
        <f aca="false">E116*F116/30</f>
        <v>29805.7392</v>
      </c>
      <c r="H116" s="33" t="n">
        <f aca="false">G115</f>
        <v>24690.3336</v>
      </c>
      <c r="I116" s="33" t="n">
        <f aca="false">E116+(G116-H116)</f>
        <v>27469.71</v>
      </c>
      <c r="J116" s="80" t="n">
        <f aca="false">IF((G116+H116)=0,0,E116*12/((G116+H116)/2))</f>
        <v>9.84480675458875</v>
      </c>
    </row>
    <row r="117" customFormat="false" ht="15" hidden="false" customHeight="true" outlineLevel="0" collapsed="false">
      <c r="A117" s="32" t="n">
        <v>2025</v>
      </c>
      <c r="B117" s="32" t="n">
        <v>8</v>
      </c>
      <c r="C117" s="32" t="s">
        <v>155</v>
      </c>
      <c r="D117" s="32" t="s">
        <v>144</v>
      </c>
      <c r="E117" s="78" t="n">
        <f aca="false">SUMIFS(DRE_por_UN!$J:$J,DRE_por_UN!$C:$C,$C117,DRE_por_UN!$E:$E,$D117)</f>
        <v>16750.827</v>
      </c>
      <c r="F117" s="44" t="n">
        <f aca="false">VLOOKUP($D117,Premissas!$A$52:$P$56,15,0)</f>
        <v>40</v>
      </c>
      <c r="G117" s="33" t="n">
        <f aca="false">E117*F117/30</f>
        <v>22334.436</v>
      </c>
      <c r="H117" s="33" t="n">
        <f aca="false">G116</f>
        <v>29805.7392</v>
      </c>
      <c r="I117" s="33" t="n">
        <f aca="false">E117+(G117-H117)</f>
        <v>9279.5238</v>
      </c>
      <c r="J117" s="80" t="n">
        <f aca="false">IF((G117+H117)=0,0,E117*12/((G117+H117)/2))</f>
        <v>7.71036626666341</v>
      </c>
    </row>
    <row r="118" customFormat="false" ht="15" hidden="false" customHeight="true" outlineLevel="0" collapsed="false">
      <c r="A118" s="32" t="n">
        <v>2025</v>
      </c>
      <c r="B118" s="32" t="n">
        <v>9</v>
      </c>
      <c r="C118" s="32" t="s">
        <v>156</v>
      </c>
      <c r="D118" s="32" t="s">
        <v>144</v>
      </c>
      <c r="E118" s="78" t="n">
        <f aca="false">SUMIFS(DRE_por_UN!$J:$J,DRE_por_UN!$C:$C,$C118,DRE_por_UN!$E:$E,$D118)</f>
        <v>16565.715</v>
      </c>
      <c r="F118" s="44" t="n">
        <f aca="false">VLOOKUP($D118,Premissas!$A$52:$P$56,15,0)</f>
        <v>40</v>
      </c>
      <c r="G118" s="33" t="n">
        <f aca="false">E118*F118/30</f>
        <v>22087.62</v>
      </c>
      <c r="H118" s="33" t="n">
        <f aca="false">G117</f>
        <v>22334.436</v>
      </c>
      <c r="I118" s="33" t="n">
        <f aca="false">E118+(G118-H118)</f>
        <v>16318.899</v>
      </c>
      <c r="J118" s="80" t="n">
        <f aca="false">IF((G118+H118)=0,0,E118*12/((G118+H118)/2))</f>
        <v>8.94999457026483</v>
      </c>
    </row>
    <row r="119" customFormat="false" ht="15" hidden="false" customHeight="true" outlineLevel="0" collapsed="false">
      <c r="A119" s="32" t="n">
        <v>2025</v>
      </c>
      <c r="B119" s="32" t="n">
        <v>10</v>
      </c>
      <c r="C119" s="32" t="s">
        <v>157</v>
      </c>
      <c r="D119" s="32" t="s">
        <v>144</v>
      </c>
      <c r="E119" s="78" t="n">
        <f aca="false">SUMIFS(DRE_por_UN!$J:$J,DRE_por_UN!$C:$C,$C119,DRE_por_UN!$E:$E,$D119)</f>
        <v>21782.7576</v>
      </c>
      <c r="F119" s="44" t="n">
        <f aca="false">VLOOKUP($D119,Premissas!$A$52:$P$56,15,0)</f>
        <v>40</v>
      </c>
      <c r="G119" s="33" t="n">
        <f aca="false">E119*F119/30</f>
        <v>29043.6768</v>
      </c>
      <c r="H119" s="33" t="n">
        <f aca="false">G118</f>
        <v>22087.62</v>
      </c>
      <c r="I119" s="33" t="n">
        <f aca="false">E119+(G119-H119)</f>
        <v>28738.8144</v>
      </c>
      <c r="J119" s="80" t="n">
        <f aca="false">IF((G119+H119)=0,0,E119*12/((G119+H119)/2))</f>
        <v>10.2243873149722</v>
      </c>
    </row>
    <row r="120" customFormat="false" ht="15" hidden="false" customHeight="true" outlineLevel="0" collapsed="false">
      <c r="A120" s="32" t="n">
        <v>2025</v>
      </c>
      <c r="B120" s="32" t="n">
        <v>11</v>
      </c>
      <c r="C120" s="32" t="s">
        <v>158</v>
      </c>
      <c r="D120" s="32" t="s">
        <v>144</v>
      </c>
      <c r="E120" s="78" t="n">
        <f aca="false">SUMIFS(DRE_por_UN!$J:$J,DRE_por_UN!$C:$C,$C120,DRE_por_UN!$E:$E,$D120)</f>
        <v>25548.1722</v>
      </c>
      <c r="F120" s="44" t="n">
        <f aca="false">VLOOKUP($D120,Premissas!$A$52:$P$56,15,0)</f>
        <v>40</v>
      </c>
      <c r="G120" s="33" t="n">
        <f aca="false">E120*F120/30</f>
        <v>34064.2296</v>
      </c>
      <c r="H120" s="33" t="n">
        <f aca="false">G119</f>
        <v>29043.6768</v>
      </c>
      <c r="I120" s="33" t="n">
        <f aca="false">E120+(G120-H120)</f>
        <v>30568.725</v>
      </c>
      <c r="J120" s="80" t="n">
        <f aca="false">IF((G120+H120)=0,0,E120*12/((G120+H120)/2))</f>
        <v>9.7159954715278</v>
      </c>
    </row>
    <row r="121" customFormat="false" ht="15" hidden="false" customHeight="true" outlineLevel="0" collapsed="false">
      <c r="A121" s="32" t="n">
        <v>2025</v>
      </c>
      <c r="B121" s="32" t="n">
        <v>12</v>
      </c>
      <c r="C121" s="32" t="s">
        <v>159</v>
      </c>
      <c r="D121" s="32" t="s">
        <v>144</v>
      </c>
      <c r="E121" s="78" t="n">
        <f aca="false">SUMIFS(DRE_por_UN!$J:$J,DRE_por_UN!$C:$C,$C121,DRE_por_UN!$E:$E,$D121)</f>
        <v>24934.5594</v>
      </c>
      <c r="F121" s="44" t="n">
        <f aca="false">VLOOKUP($D121,Premissas!$A$52:$P$56,15,0)</f>
        <v>40</v>
      </c>
      <c r="G121" s="33" t="n">
        <f aca="false">E121*F121/30</f>
        <v>33246.0792</v>
      </c>
      <c r="H121" s="33" t="n">
        <f aca="false">G120</f>
        <v>34064.2296</v>
      </c>
      <c r="I121" s="33" t="n">
        <f aca="false">E121+(G121-H121)</f>
        <v>24116.409</v>
      </c>
      <c r="J121" s="80" t="n">
        <f aca="false">IF((G121+H121)=0,0,E121*12/((G121+H121)/2))</f>
        <v>8.89060585620133</v>
      </c>
    </row>
    <row r="122" customFormat="false" ht="15" hidden="false" customHeight="true" outlineLevel="0" collapsed="false">
      <c r="A122" s="32" t="n">
        <v>2026</v>
      </c>
      <c r="B122" s="32" t="n">
        <v>1</v>
      </c>
      <c r="C122" s="32" t="s">
        <v>160</v>
      </c>
      <c r="D122" s="32" t="s">
        <v>144</v>
      </c>
      <c r="E122" s="78" t="n">
        <f aca="false">SUMIFS(DRE_por_UN!$J:$J,DRE_por_UN!$C:$C,$C122,DRE_por_UN!$E:$E,$D122)</f>
        <v>17481.1338</v>
      </c>
      <c r="F122" s="44" t="n">
        <f aca="false">VLOOKUP($D122,Premissas!$A$52:$P$56,15,0)</f>
        <v>40</v>
      </c>
      <c r="G122" s="33" t="n">
        <f aca="false">E122*F122/30</f>
        <v>23308.1784</v>
      </c>
      <c r="H122" s="33" t="n">
        <f aca="false">G121</f>
        <v>33246.0792</v>
      </c>
      <c r="I122" s="33" t="n">
        <f aca="false">E122+(G122-H122)</f>
        <v>7543.23300000001</v>
      </c>
      <c r="J122" s="80" t="n">
        <f aca="false">IF((G122+H122)=0,0,E122*12/((G122+H122)/2))</f>
        <v>7.41849029594546</v>
      </c>
    </row>
    <row r="123" customFormat="false" ht="15" hidden="false" customHeight="true" outlineLevel="0" collapsed="false">
      <c r="A123" s="32" t="n">
        <v>2026</v>
      </c>
      <c r="B123" s="32" t="n">
        <v>2</v>
      </c>
      <c r="C123" s="32" t="s">
        <v>161</v>
      </c>
      <c r="D123" s="32" t="s">
        <v>144</v>
      </c>
      <c r="E123" s="78" t="n">
        <f aca="false">SUMIFS(DRE_por_UN!$J:$J,DRE_por_UN!$C:$C,$C123,DRE_por_UN!$E:$E,$D123)</f>
        <v>13213.7298</v>
      </c>
      <c r="F123" s="44" t="n">
        <f aca="false">VLOOKUP($D123,Premissas!$A$52:$P$56,15,0)</f>
        <v>40</v>
      </c>
      <c r="G123" s="33" t="n">
        <f aca="false">E123*F123/30</f>
        <v>17618.3064</v>
      </c>
      <c r="H123" s="33" t="n">
        <f aca="false">G122</f>
        <v>23308.1784</v>
      </c>
      <c r="I123" s="33" t="n">
        <f aca="false">E123+(G123-H123)</f>
        <v>7523.85779999999</v>
      </c>
      <c r="J123" s="80" t="n">
        <f aca="false">IF((G123+H123)=0,0,E123*12/((G123+H123)/2))</f>
        <v>7.74876016715709</v>
      </c>
    </row>
    <row r="124" customFormat="false" ht="15" hidden="false" customHeight="true" outlineLevel="0" collapsed="false">
      <c r="A124" s="32" t="n">
        <v>2026</v>
      </c>
      <c r="B124" s="32" t="n">
        <v>3</v>
      </c>
      <c r="C124" s="32" t="s">
        <v>162</v>
      </c>
      <c r="D124" s="32" t="s">
        <v>144</v>
      </c>
      <c r="E124" s="78" t="n">
        <f aca="false">SUMIFS(DRE_por_UN!$J:$J,DRE_por_UN!$C:$C,$C124,DRE_por_UN!$E:$E,$D124)</f>
        <v>17327.1528</v>
      </c>
      <c r="F124" s="44" t="n">
        <f aca="false">VLOOKUP($D124,Premissas!$A$52:$P$56,15,0)</f>
        <v>40</v>
      </c>
      <c r="G124" s="33" t="n">
        <f aca="false">E124*F124/30</f>
        <v>23102.8704</v>
      </c>
      <c r="H124" s="33" t="n">
        <f aca="false">G123</f>
        <v>17618.3064</v>
      </c>
      <c r="I124" s="33" t="n">
        <f aca="false">E124+(G124-H124)</f>
        <v>22811.7168</v>
      </c>
      <c r="J124" s="80" t="n">
        <f aca="false">IF((G124+H124)=0,0,E124*12/((G124+H124)/2))</f>
        <v>10.2121721393867</v>
      </c>
    </row>
    <row r="125" customFormat="false" ht="15" hidden="false" customHeight="true" outlineLevel="0" collapsed="false">
      <c r="A125" s="32" t="n">
        <v>2026</v>
      </c>
      <c r="B125" s="32" t="n">
        <v>4</v>
      </c>
      <c r="C125" s="32" t="s">
        <v>163</v>
      </c>
      <c r="D125" s="32" t="s">
        <v>144</v>
      </c>
      <c r="E125" s="78" t="n">
        <f aca="false">SUMIFS(DRE_por_UN!$J:$J,DRE_por_UN!$C:$C,$C125,DRE_por_UN!$E:$E,$D125)</f>
        <v>22053.6378</v>
      </c>
      <c r="F125" s="44" t="n">
        <f aca="false">VLOOKUP($D125,Premissas!$A$52:$P$56,15,0)</f>
        <v>40</v>
      </c>
      <c r="G125" s="33" t="n">
        <f aca="false">E125*F125/30</f>
        <v>29404.8504</v>
      </c>
      <c r="H125" s="33" t="n">
        <f aca="false">G124</f>
        <v>23102.8704</v>
      </c>
      <c r="I125" s="33" t="n">
        <f aca="false">E125+(G125-H125)</f>
        <v>28355.6178</v>
      </c>
      <c r="J125" s="80" t="n">
        <f aca="false">IF((G125+H125)=0,0,E125*12/((G125+H125)/2))</f>
        <v>10.08018057413</v>
      </c>
    </row>
    <row r="126" customFormat="false" ht="15" hidden="false" customHeight="true" outlineLevel="0" collapsed="false">
      <c r="A126" s="32" t="n">
        <v>2026</v>
      </c>
      <c r="B126" s="32" t="n">
        <v>5</v>
      </c>
      <c r="C126" s="32" t="s">
        <v>164</v>
      </c>
      <c r="D126" s="32" t="s">
        <v>144</v>
      </c>
      <c r="E126" s="78" t="n">
        <f aca="false">SUMIFS(DRE_por_UN!$J:$J,DRE_por_UN!$C:$C,$C126,DRE_por_UN!$E:$E,$D126)</f>
        <v>22976.919</v>
      </c>
      <c r="F126" s="44" t="n">
        <f aca="false">VLOOKUP($D126,Premissas!$A$52:$P$56,15,0)</f>
        <v>40</v>
      </c>
      <c r="G126" s="33" t="n">
        <f aca="false">E126*F126/30</f>
        <v>30635.892</v>
      </c>
      <c r="H126" s="33" t="n">
        <f aca="false">G125</f>
        <v>29404.8504</v>
      </c>
      <c r="I126" s="33" t="n">
        <f aca="false">E126+(G126-H126)</f>
        <v>24207.9606</v>
      </c>
      <c r="J126" s="80" t="n">
        <f aca="false">IF((G126+H126)=0,0,E126*12/((G126+H126)/2))</f>
        <v>9.18453093611314</v>
      </c>
    </row>
    <row r="127" customFormat="false" ht="15" hidden="false" customHeight="true" outlineLevel="0" collapsed="false">
      <c r="A127" s="32" t="n">
        <v>2026</v>
      </c>
      <c r="B127" s="32" t="n">
        <v>6</v>
      </c>
      <c r="C127" s="32" t="s">
        <v>165</v>
      </c>
      <c r="D127" s="32" t="s">
        <v>144</v>
      </c>
      <c r="E127" s="78" t="n">
        <f aca="false">SUMIFS(DRE_por_UN!$J:$J,DRE_por_UN!$C:$C,$C127,DRE_por_UN!$E:$E,$D127)</f>
        <v>23322.7512</v>
      </c>
      <c r="F127" s="44" t="n">
        <f aca="false">VLOOKUP($D127,Premissas!$A$52:$P$56,15,0)</f>
        <v>40</v>
      </c>
      <c r="G127" s="33" t="n">
        <f aca="false">E127*F127/30</f>
        <v>31097.0016</v>
      </c>
      <c r="H127" s="33" t="n">
        <f aca="false">G126</f>
        <v>30635.892</v>
      </c>
      <c r="I127" s="33" t="n">
        <f aca="false">E127+(G127-H127)</f>
        <v>23783.8608</v>
      </c>
      <c r="J127" s="80" t="n">
        <f aca="false">IF((G127+H127)=0,0,E127*12/((G127+H127)/2))</f>
        <v>9.06722488057809</v>
      </c>
    </row>
    <row r="128" customFormat="false" ht="15" hidden="false" customHeight="true" outlineLevel="0" collapsed="false">
      <c r="A128" s="32" t="n">
        <v>2026</v>
      </c>
      <c r="B128" s="32" t="n">
        <v>7</v>
      </c>
      <c r="C128" s="32" t="s">
        <v>166</v>
      </c>
      <c r="D128" s="32" t="s">
        <v>144</v>
      </c>
      <c r="E128" s="78" t="n">
        <f aca="false">SUMIFS(DRE_por_UN!$J:$J,DRE_por_UN!$C:$C,$C128,DRE_por_UN!$E:$E,$D128)</f>
        <v>27647.595</v>
      </c>
      <c r="F128" s="44" t="n">
        <f aca="false">VLOOKUP($D128,Premissas!$A$52:$P$56,15,0)</f>
        <v>40</v>
      </c>
      <c r="G128" s="33" t="n">
        <f aca="false">E128*F128/30</f>
        <v>36863.46</v>
      </c>
      <c r="H128" s="33" t="n">
        <f aca="false">G127</f>
        <v>31097.0016</v>
      </c>
      <c r="I128" s="33" t="n">
        <f aca="false">E128+(G128-H128)</f>
        <v>33414.0534</v>
      </c>
      <c r="J128" s="80" t="n">
        <f aca="false">IF((G128+H128)=0,0,E128*12/((G128+H128)/2))</f>
        <v>9.76365175247721</v>
      </c>
    </row>
    <row r="129" customFormat="false" ht="15" hidden="false" customHeight="true" outlineLevel="0" collapsed="false">
      <c r="A129" s="32" t="n">
        <v>2026</v>
      </c>
      <c r="B129" s="32" t="n">
        <v>8</v>
      </c>
      <c r="C129" s="32" t="s">
        <v>167</v>
      </c>
      <c r="D129" s="32" t="s">
        <v>144</v>
      </c>
      <c r="E129" s="78" t="n">
        <f aca="false">SUMIFS(DRE_por_UN!$J:$J,DRE_por_UN!$C:$C,$C129,DRE_por_UN!$E:$E,$D129)</f>
        <v>25195.0338</v>
      </c>
      <c r="F129" s="44" t="n">
        <f aca="false">VLOOKUP($D129,Premissas!$A$52:$P$56,15,0)</f>
        <v>40</v>
      </c>
      <c r="G129" s="33" t="n">
        <f aca="false">E129*F129/30</f>
        <v>33593.3784</v>
      </c>
      <c r="H129" s="33" t="n">
        <f aca="false">G128</f>
        <v>36863.46</v>
      </c>
      <c r="I129" s="33" t="n">
        <f aca="false">E129+(G129-H129)</f>
        <v>21924.9522</v>
      </c>
      <c r="J129" s="80" t="n">
        <f aca="false">IF((G129+H129)=0,0,E129*12/((G129+H129)/2))</f>
        <v>8.58228704170751</v>
      </c>
    </row>
    <row r="130" customFormat="false" ht="15" hidden="false" customHeight="true" outlineLevel="0" collapsed="false">
      <c r="A130" s="32" t="n">
        <v>2026</v>
      </c>
      <c r="B130" s="32" t="n">
        <v>9</v>
      </c>
      <c r="C130" s="32" t="s">
        <v>168</v>
      </c>
      <c r="D130" s="32" t="s">
        <v>144</v>
      </c>
      <c r="E130" s="78" t="n">
        <f aca="false">SUMIFS(DRE_por_UN!$J:$J,DRE_por_UN!$C:$C,$C130,DRE_por_UN!$E:$E,$D130)</f>
        <v>22030.9308</v>
      </c>
      <c r="F130" s="44" t="n">
        <f aca="false">VLOOKUP($D130,Premissas!$A$52:$P$56,15,0)</f>
        <v>40</v>
      </c>
      <c r="G130" s="33" t="n">
        <f aca="false">E130*F130/30</f>
        <v>29374.5744</v>
      </c>
      <c r="H130" s="33" t="n">
        <f aca="false">G129</f>
        <v>33593.3784</v>
      </c>
      <c r="I130" s="33" t="n">
        <f aca="false">E130+(G130-H130)</f>
        <v>17812.1268</v>
      </c>
      <c r="J130" s="80" t="n">
        <f aca="false">IF((G130+H130)=0,0,E130*12/((G130+H130)/2))</f>
        <v>8.3970069803508</v>
      </c>
    </row>
    <row r="131" customFormat="false" ht="15" hidden="false" customHeight="true" outlineLevel="0" collapsed="false">
      <c r="A131" s="32" t="n">
        <v>2026</v>
      </c>
      <c r="B131" s="32" t="n">
        <v>10</v>
      </c>
      <c r="C131" s="32" t="s">
        <v>169</v>
      </c>
      <c r="D131" s="32" t="s">
        <v>144</v>
      </c>
      <c r="E131" s="78" t="n">
        <f aca="false">SUMIFS(DRE_por_UN!$J:$J,DRE_por_UN!$C:$C,$C131,DRE_por_UN!$E:$E,$D131)</f>
        <v>18111.8484</v>
      </c>
      <c r="F131" s="44" t="n">
        <f aca="false">VLOOKUP($D131,Premissas!$A$52:$P$56,15,0)</f>
        <v>40</v>
      </c>
      <c r="G131" s="33" t="n">
        <f aca="false">E131*F131/30</f>
        <v>24149.1312</v>
      </c>
      <c r="H131" s="33" t="n">
        <f aca="false">G130</f>
        <v>29374.5744</v>
      </c>
      <c r="I131" s="33" t="n">
        <f aca="false">E131+(G131-H131)</f>
        <v>12886.4052</v>
      </c>
      <c r="J131" s="80" t="n">
        <f aca="false">IF((G131+H131)=0,0,E131*12/((G131+H131)/2))</f>
        <v>8.12134280926917</v>
      </c>
    </row>
    <row r="132" customFormat="false" ht="15" hidden="false" customHeight="true" outlineLevel="0" collapsed="false">
      <c r="A132" s="32" t="n">
        <v>2026</v>
      </c>
      <c r="B132" s="32" t="n">
        <v>11</v>
      </c>
      <c r="C132" s="32" t="s">
        <v>170</v>
      </c>
      <c r="D132" s="32" t="s">
        <v>144</v>
      </c>
      <c r="E132" s="78" t="n">
        <f aca="false">SUMIFS(DRE_por_UN!$J:$J,DRE_por_UN!$C:$C,$C132,DRE_por_UN!$E:$E,$D132)</f>
        <v>22681.134</v>
      </c>
      <c r="F132" s="44" t="n">
        <f aca="false">VLOOKUP($D132,Premissas!$A$52:$P$56,15,0)</f>
        <v>40</v>
      </c>
      <c r="G132" s="33" t="n">
        <f aca="false">E132*F132/30</f>
        <v>30241.512</v>
      </c>
      <c r="H132" s="33" t="n">
        <f aca="false">G131</f>
        <v>24149.1312</v>
      </c>
      <c r="I132" s="33" t="n">
        <f aca="false">E132+(G132-H132)</f>
        <v>28773.5148</v>
      </c>
      <c r="J132" s="80" t="n">
        <f aca="false">IF((G132+H132)=0,0,E132*12/((G132+H132)/2))</f>
        <v>10.0081040409539</v>
      </c>
    </row>
    <row r="133" customFormat="false" ht="15" hidden="false" customHeight="true" outlineLevel="0" collapsed="false">
      <c r="A133" s="32" t="n">
        <v>2026</v>
      </c>
      <c r="B133" s="32" t="n">
        <v>12</v>
      </c>
      <c r="C133" s="32" t="s">
        <v>171</v>
      </c>
      <c r="D133" s="32" t="s">
        <v>144</v>
      </c>
      <c r="E133" s="78" t="n">
        <f aca="false">SUMIFS(DRE_por_UN!$J:$J,DRE_por_UN!$C:$C,$C133,DRE_por_UN!$E:$E,$D133)</f>
        <v>27788.2002</v>
      </c>
      <c r="F133" s="44" t="n">
        <f aca="false">VLOOKUP($D133,Premissas!$A$52:$P$56,15,0)</f>
        <v>40</v>
      </c>
      <c r="G133" s="33" t="n">
        <f aca="false">E133*F133/30</f>
        <v>37050.9336</v>
      </c>
      <c r="H133" s="33" t="n">
        <f aca="false">G132</f>
        <v>30241.512</v>
      </c>
      <c r="I133" s="33" t="n">
        <f aca="false">E133+(G133-H133)</f>
        <v>34597.6218</v>
      </c>
      <c r="J133" s="80" t="n">
        <f aca="false">IF((G133+H133)=0,0,E133*12/((G133+H133)/2))</f>
        <v>9.91072324469064</v>
      </c>
    </row>
    <row r="134" customFormat="false" ht="15" hidden="false" customHeight="true" outlineLevel="0" collapsed="false">
      <c r="A134" s="32" t="n">
        <v>2027</v>
      </c>
      <c r="B134" s="32" t="n">
        <v>1</v>
      </c>
      <c r="C134" s="32" t="s">
        <v>172</v>
      </c>
      <c r="D134" s="32" t="s">
        <v>144</v>
      </c>
      <c r="E134" s="78" t="n">
        <f aca="false">SUMIFS(DRE_por_UN!$J:$J,DRE_por_UN!$C:$C,$C134,DRE_por_UN!$E:$E,$D134)</f>
        <v>18851.2601519088</v>
      </c>
      <c r="F134" s="44" t="n">
        <f aca="false">VLOOKUP($D134,Premissas!$A$52:$P$56,15,0)</f>
        <v>40</v>
      </c>
      <c r="G134" s="33" t="n">
        <f aca="false">E134*F134/30</f>
        <v>25135.0135358784</v>
      </c>
      <c r="H134" s="33" t="n">
        <f aca="false">G133</f>
        <v>37050.9336</v>
      </c>
      <c r="I134" s="33" t="n">
        <f aca="false">E134+(G134-H134)</f>
        <v>6935.3400877872</v>
      </c>
      <c r="J134" s="80" t="n">
        <f aca="false">IF((G134+H134)=0,0,E134*12/((G134+H134)/2))</f>
        <v>7.27544187205569</v>
      </c>
    </row>
    <row r="135" customFormat="false" ht="15" hidden="false" customHeight="true" outlineLevel="0" collapsed="false">
      <c r="A135" s="32" t="n">
        <v>2027</v>
      </c>
      <c r="B135" s="32" t="n">
        <v>2</v>
      </c>
      <c r="C135" s="32" t="s">
        <v>173</v>
      </c>
      <c r="D135" s="32" t="s">
        <v>144</v>
      </c>
      <c r="E135" s="78" t="n">
        <f aca="false">SUMIFS(DRE_por_UN!$J:$J,DRE_por_UN!$C:$C,$C135,DRE_por_UN!$E:$E,$D135)</f>
        <v>13943.0359791712</v>
      </c>
      <c r="F135" s="44" t="n">
        <f aca="false">VLOOKUP($D135,Premissas!$A$52:$P$56,15,0)</f>
        <v>40</v>
      </c>
      <c r="G135" s="33" t="n">
        <f aca="false">E135*F135/30</f>
        <v>18590.7146388949</v>
      </c>
      <c r="H135" s="33" t="n">
        <f aca="false">G134</f>
        <v>25135.0135358784</v>
      </c>
      <c r="I135" s="33" t="n">
        <f aca="false">E135+(G135-H135)</f>
        <v>7398.73708218773</v>
      </c>
      <c r="J135" s="80" t="n">
        <f aca="false">IF((G135+H135)=0,0,E135*12/((G135+H135)/2))</f>
        <v>7.65299693037859</v>
      </c>
    </row>
    <row r="136" customFormat="false" ht="15" hidden="false" customHeight="true" outlineLevel="0" collapsed="false">
      <c r="A136" s="32" t="n">
        <v>2027</v>
      </c>
      <c r="B136" s="32" t="n">
        <v>3</v>
      </c>
      <c r="C136" s="32" t="s">
        <v>174</v>
      </c>
      <c r="D136" s="32" t="s">
        <v>144</v>
      </c>
      <c r="E136" s="78" t="n">
        <f aca="false">SUMIFS(DRE_por_UN!$J:$J,DRE_por_UN!$C:$C,$C136,DRE_por_UN!$E:$E,$D136)</f>
        <v>18590.1972815856</v>
      </c>
      <c r="F136" s="44" t="n">
        <f aca="false">VLOOKUP($D136,Premissas!$A$52:$P$56,15,0)</f>
        <v>40</v>
      </c>
      <c r="G136" s="33" t="n">
        <f aca="false">E136*F136/30</f>
        <v>24786.9297087808</v>
      </c>
      <c r="H136" s="33" t="n">
        <f aca="false">G135</f>
        <v>18590.7146388949</v>
      </c>
      <c r="I136" s="33" t="n">
        <f aca="false">E136+(G136-H136)</f>
        <v>24786.4123514715</v>
      </c>
      <c r="J136" s="80" t="n">
        <f aca="false">IF((G136+H136)=0,0,E136*12/((G136+H136)/2))</f>
        <v>10.2855916098625</v>
      </c>
    </row>
    <row r="137" customFormat="false" ht="15" hidden="false" customHeight="true" outlineLevel="0" collapsed="false">
      <c r="A137" s="32" t="n">
        <v>2027</v>
      </c>
      <c r="B137" s="32" t="n">
        <v>4</v>
      </c>
      <c r="C137" s="32" t="s">
        <v>175</v>
      </c>
      <c r="D137" s="32" t="s">
        <v>144</v>
      </c>
      <c r="E137" s="78" t="n">
        <f aca="false">SUMIFS(DRE_por_UN!$J:$J,DRE_por_UN!$C:$C,$C137,DRE_por_UN!$E:$E,$D137)</f>
        <v>23444.396235128</v>
      </c>
      <c r="F137" s="44" t="n">
        <f aca="false">VLOOKUP($D137,Premissas!$A$52:$P$56,15,0)</f>
        <v>40</v>
      </c>
      <c r="G137" s="33" t="n">
        <f aca="false">E137*F137/30</f>
        <v>31259.1949801707</v>
      </c>
      <c r="H137" s="33" t="n">
        <f aca="false">G136</f>
        <v>24786.9297087808</v>
      </c>
      <c r="I137" s="33" t="n">
        <f aca="false">E137+(G137-H137)</f>
        <v>29916.6615065179</v>
      </c>
      <c r="J137" s="80" t="n">
        <f aca="false">IF((G137+H137)=0,0,E137*12/((G137+H137)/2))</f>
        <v>10.0393294409879</v>
      </c>
    </row>
    <row r="138" customFormat="false" ht="15" hidden="false" customHeight="true" outlineLevel="0" collapsed="false">
      <c r="A138" s="32" t="n">
        <v>2027</v>
      </c>
      <c r="B138" s="32" t="n">
        <v>5</v>
      </c>
      <c r="C138" s="32" t="s">
        <v>176</v>
      </c>
      <c r="D138" s="32" t="s">
        <v>144</v>
      </c>
      <c r="E138" s="78" t="n">
        <f aca="false">SUMIFS(DRE_por_UN!$J:$J,DRE_por_UN!$C:$C,$C138,DRE_por_UN!$E:$E,$D138)</f>
        <v>24552.947214576</v>
      </c>
      <c r="F138" s="44" t="n">
        <f aca="false">VLOOKUP($D138,Premissas!$A$52:$P$56,15,0)</f>
        <v>40</v>
      </c>
      <c r="G138" s="33" t="n">
        <f aca="false">E138*F138/30</f>
        <v>32737.262952768</v>
      </c>
      <c r="H138" s="33" t="n">
        <f aca="false">G137</f>
        <v>31259.1949801707</v>
      </c>
      <c r="I138" s="33" t="n">
        <f aca="false">E138+(G138-H138)</f>
        <v>26031.0151871733</v>
      </c>
      <c r="J138" s="80" t="n">
        <f aca="false">IF((G138+H138)=0,0,E138*12/((G138+H138)/2))</f>
        <v>9.20786481288255</v>
      </c>
    </row>
    <row r="139" customFormat="false" ht="15" hidden="false" customHeight="true" outlineLevel="0" collapsed="false">
      <c r="A139" s="32" t="n">
        <v>2027</v>
      </c>
      <c r="B139" s="32" t="n">
        <v>6</v>
      </c>
      <c r="C139" s="32" t="s">
        <v>177</v>
      </c>
      <c r="D139" s="32" t="s">
        <v>144</v>
      </c>
      <c r="E139" s="78" t="n">
        <f aca="false">SUMIFS(DRE_por_UN!$J:$J,DRE_por_UN!$C:$C,$C139,DRE_por_UN!$E:$E,$D139)</f>
        <v>25269.2655716336</v>
      </c>
      <c r="F139" s="44" t="n">
        <f aca="false">VLOOKUP($D139,Premissas!$A$52:$P$56,15,0)</f>
        <v>40</v>
      </c>
      <c r="G139" s="33" t="n">
        <f aca="false">E139*F139/30</f>
        <v>33692.3540955115</v>
      </c>
      <c r="H139" s="33" t="n">
        <f aca="false">G138</f>
        <v>32737.262952768</v>
      </c>
      <c r="I139" s="33" t="n">
        <f aca="false">E139+(G139-H139)</f>
        <v>26224.3567143771</v>
      </c>
      <c r="J139" s="80" t="n">
        <f aca="false">IF((G139+H139)=0,0,E139*12/((G139+H139)/2))</f>
        <v>9.12939740836447</v>
      </c>
    </row>
    <row r="140" customFormat="false" ht="15" hidden="false" customHeight="true" outlineLevel="0" collapsed="false">
      <c r="A140" s="32" t="n">
        <v>2027</v>
      </c>
      <c r="B140" s="32" t="n">
        <v>7</v>
      </c>
      <c r="C140" s="32" t="s">
        <v>178</v>
      </c>
      <c r="D140" s="32" t="s">
        <v>144</v>
      </c>
      <c r="E140" s="78" t="n">
        <f aca="false">SUMIFS(DRE_por_UN!$J:$J,DRE_por_UN!$C:$C,$C140,DRE_por_UN!$E:$E,$D140)</f>
        <v>29690.2484598192</v>
      </c>
      <c r="F140" s="44" t="n">
        <f aca="false">VLOOKUP($D140,Premissas!$A$52:$P$56,15,0)</f>
        <v>40</v>
      </c>
      <c r="G140" s="33" t="n">
        <f aca="false">E140*F140/30</f>
        <v>39586.9979464256</v>
      </c>
      <c r="H140" s="33" t="n">
        <f aca="false">G139</f>
        <v>33692.3540955115</v>
      </c>
      <c r="I140" s="33" t="n">
        <f aca="false">E140+(G140-H140)</f>
        <v>35584.8923107333</v>
      </c>
      <c r="J140" s="80" t="n">
        <f aca="false">IF((G140+H140)=0,0,E140*12/((G140+H140)/2))</f>
        <v>9.72396648141575</v>
      </c>
    </row>
    <row r="141" customFormat="false" ht="15" hidden="false" customHeight="true" outlineLevel="0" collapsed="false">
      <c r="A141" s="32" t="n">
        <v>2027</v>
      </c>
      <c r="B141" s="32" t="n">
        <v>8</v>
      </c>
      <c r="C141" s="32" t="s">
        <v>179</v>
      </c>
      <c r="D141" s="32" t="s">
        <v>144</v>
      </c>
      <c r="E141" s="78" t="n">
        <f aca="false">SUMIFS(DRE_por_UN!$J:$J,DRE_por_UN!$C:$C,$C141,DRE_por_UN!$E:$E,$D141)</f>
        <v>26256.1996924304</v>
      </c>
      <c r="F141" s="44" t="n">
        <f aca="false">VLOOKUP($D141,Premissas!$A$52:$P$56,15,0)</f>
        <v>40</v>
      </c>
      <c r="G141" s="33" t="n">
        <f aca="false">E141*F141/30</f>
        <v>35008.2662565739</v>
      </c>
      <c r="H141" s="33" t="n">
        <f aca="false">G140</f>
        <v>39586.9979464256</v>
      </c>
      <c r="I141" s="33" t="n">
        <f aca="false">E141+(G141-H141)</f>
        <v>21677.4680025787</v>
      </c>
      <c r="J141" s="80" t="n">
        <f aca="false">IF((G141+H141)=0,0,E141*12/((G141+H141)/2))</f>
        <v>8.44757102680778</v>
      </c>
    </row>
    <row r="142" customFormat="false" ht="15" hidden="false" customHeight="true" outlineLevel="0" collapsed="false">
      <c r="A142" s="32" t="n">
        <v>2027</v>
      </c>
      <c r="B142" s="32" t="n">
        <v>9</v>
      </c>
      <c r="C142" s="32" t="s">
        <v>180</v>
      </c>
      <c r="D142" s="32" t="s">
        <v>144</v>
      </c>
      <c r="E142" s="78" t="n">
        <f aca="false">SUMIFS(DRE_por_UN!$J:$J,DRE_por_UN!$C:$C,$C142,DRE_por_UN!$E:$E,$D142)</f>
        <v>23543.2391707568</v>
      </c>
      <c r="F142" s="44" t="n">
        <f aca="false">VLOOKUP($D142,Premissas!$A$52:$P$56,15,0)</f>
        <v>40</v>
      </c>
      <c r="G142" s="33" t="n">
        <f aca="false">E142*F142/30</f>
        <v>31390.9855610091</v>
      </c>
      <c r="H142" s="33" t="n">
        <f aca="false">G141</f>
        <v>35008.2662565739</v>
      </c>
      <c r="I142" s="33" t="n">
        <f aca="false">E142+(G142-H142)</f>
        <v>19925.958475192</v>
      </c>
      <c r="J142" s="80" t="n">
        <f aca="false">IF((G142+H142)=0,0,E142*12/((G142+H142)/2))</f>
        <v>8.50970040521658</v>
      </c>
    </row>
    <row r="143" customFormat="false" ht="15" hidden="false" customHeight="true" outlineLevel="0" collapsed="false">
      <c r="A143" s="32" t="n">
        <v>2027</v>
      </c>
      <c r="B143" s="32" t="n">
        <v>10</v>
      </c>
      <c r="C143" s="32" t="s">
        <v>181</v>
      </c>
      <c r="D143" s="32" t="s">
        <v>144</v>
      </c>
      <c r="E143" s="78" t="n">
        <f aca="false">SUMIFS(DRE_por_UN!$J:$J,DRE_por_UN!$C:$C,$C143,DRE_por_UN!$E:$E,$D143)</f>
        <v>19449.7434593792</v>
      </c>
      <c r="F143" s="44" t="n">
        <f aca="false">VLOOKUP($D143,Premissas!$A$52:$P$56,15,0)</f>
        <v>40</v>
      </c>
      <c r="G143" s="33" t="n">
        <f aca="false">E143*F143/30</f>
        <v>25932.9912791723</v>
      </c>
      <c r="H143" s="33" t="n">
        <f aca="false">G142</f>
        <v>31390.9855610091</v>
      </c>
      <c r="I143" s="33" t="n">
        <f aca="false">E143+(G143-H143)</f>
        <v>13991.7491775424</v>
      </c>
      <c r="J143" s="80" t="n">
        <f aca="false">IF((G143+H143)=0,0,E143*12/((G143+H143)/2))</f>
        <v>8.14308198341712</v>
      </c>
    </row>
    <row r="144" customFormat="false" ht="15" hidden="false" customHeight="true" outlineLevel="0" collapsed="false">
      <c r="A144" s="32" t="n">
        <v>2027</v>
      </c>
      <c r="B144" s="32" t="n">
        <v>11</v>
      </c>
      <c r="C144" s="32" t="s">
        <v>182</v>
      </c>
      <c r="D144" s="32" t="s">
        <v>144</v>
      </c>
      <c r="E144" s="78" t="n">
        <f aca="false">SUMIFS(DRE_por_UN!$J:$J,DRE_por_UN!$C:$C,$C144,DRE_por_UN!$E:$E,$D144)</f>
        <v>24843.4557311952</v>
      </c>
      <c r="F144" s="44" t="n">
        <f aca="false">VLOOKUP($D144,Premissas!$A$52:$P$56,15,0)</f>
        <v>40</v>
      </c>
      <c r="G144" s="33" t="n">
        <f aca="false">E144*F144/30</f>
        <v>33124.6076415936</v>
      </c>
      <c r="H144" s="33" t="n">
        <f aca="false">G143</f>
        <v>25932.9912791723</v>
      </c>
      <c r="I144" s="33" t="n">
        <f aca="false">E144+(G144-H144)</f>
        <v>32035.0720936165</v>
      </c>
      <c r="J144" s="80" t="n">
        <f aca="false">IF((G144+H144)=0,0,E144*12/((G144+H144)/2))</f>
        <v>10.0959562942718</v>
      </c>
    </row>
    <row r="145" customFormat="false" ht="15" hidden="false" customHeight="true" outlineLevel="0" collapsed="false">
      <c r="A145" s="32" t="n">
        <v>2027</v>
      </c>
      <c r="B145" s="32" t="n">
        <v>12</v>
      </c>
      <c r="C145" s="32" t="s">
        <v>183</v>
      </c>
      <c r="D145" s="32" t="s">
        <v>144</v>
      </c>
      <c r="E145" s="78" t="n">
        <f aca="false">SUMIFS(DRE_por_UN!$J:$J,DRE_por_UN!$C:$C,$C145,DRE_por_UN!$E:$E,$D145)</f>
        <v>29426.1164219088</v>
      </c>
      <c r="F145" s="44" t="n">
        <f aca="false">VLOOKUP($D145,Premissas!$A$52:$P$56,15,0)</f>
        <v>40</v>
      </c>
      <c r="G145" s="33" t="n">
        <f aca="false">E145*F145/30</f>
        <v>39234.8218958784</v>
      </c>
      <c r="H145" s="33" t="n">
        <f aca="false">G144</f>
        <v>33124.6076415936</v>
      </c>
      <c r="I145" s="33" t="n">
        <f aca="false">E145+(G145-H145)</f>
        <v>35536.3306761936</v>
      </c>
      <c r="J145" s="80" t="n">
        <f aca="false">IF((G145+H145)=0,0,E145*12/((G145+H145)/2))</f>
        <v>9.75998288875516</v>
      </c>
    </row>
    <row r="146" customFormat="false" ht="15" hidden="false" customHeight="true" outlineLevel="0" collapsed="false">
      <c r="A146" s="32" t="n">
        <v>2025</v>
      </c>
      <c r="B146" s="32" t="n">
        <v>1</v>
      </c>
      <c r="C146" s="32" t="s">
        <v>148</v>
      </c>
      <c r="D146" s="32" t="s">
        <v>145</v>
      </c>
      <c r="E146" s="78" t="n">
        <f aca="false">SUMIFS(DRE_por_UN!$J:$J,DRE_por_UN!$C:$C,$C146,DRE_por_UN!$E:$E,$D146)</f>
        <v>32877.7104</v>
      </c>
      <c r="F146" s="44" t="n">
        <f aca="false">VLOOKUP($D146,Premissas!$A$52:$P$56,15,0)</f>
        <v>60</v>
      </c>
      <c r="G146" s="33" t="n">
        <f aca="false">E146*F146/30</f>
        <v>65755.4208</v>
      </c>
      <c r="H146" s="33" t="n">
        <f aca="false">G146</f>
        <v>65755.4208</v>
      </c>
      <c r="I146" s="33" t="n">
        <f aca="false">E146+(G146-H146)</f>
        <v>32877.7104</v>
      </c>
      <c r="J146" s="80" t="n">
        <f aca="false">IF((G146+H146)=0,0,E146*12/((G146+H146)/2))</f>
        <v>6</v>
      </c>
    </row>
    <row r="147" customFormat="false" ht="15" hidden="false" customHeight="true" outlineLevel="0" collapsed="false">
      <c r="A147" s="32" t="n">
        <v>2025</v>
      </c>
      <c r="B147" s="32" t="n">
        <v>2</v>
      </c>
      <c r="C147" s="32" t="s">
        <v>149</v>
      </c>
      <c r="D147" s="32" t="s">
        <v>145</v>
      </c>
      <c r="E147" s="78" t="n">
        <f aca="false">SUMIFS(DRE_por_UN!$J:$J,DRE_por_UN!$C:$C,$C147,DRE_por_UN!$E:$E,$D147)</f>
        <v>31936.608</v>
      </c>
      <c r="F147" s="44" t="n">
        <f aca="false">VLOOKUP($D147,Premissas!$A$52:$P$56,15,0)</f>
        <v>60</v>
      </c>
      <c r="G147" s="33" t="n">
        <f aca="false">E147*F147/30</f>
        <v>63873.216</v>
      </c>
      <c r="H147" s="33" t="n">
        <f aca="false">G146</f>
        <v>65755.4208</v>
      </c>
      <c r="I147" s="33" t="n">
        <f aca="false">E147+(G147-H147)</f>
        <v>30054.4032</v>
      </c>
      <c r="J147" s="80" t="n">
        <f aca="false">IF((G147+H147)=0,0,E147*12/((G147+H147)/2))</f>
        <v>5.91288013915147</v>
      </c>
    </row>
    <row r="148" customFormat="false" ht="15" hidden="false" customHeight="true" outlineLevel="0" collapsed="false">
      <c r="A148" s="32" t="n">
        <v>2025</v>
      </c>
      <c r="B148" s="32" t="n">
        <v>3</v>
      </c>
      <c r="C148" s="32" t="s">
        <v>150</v>
      </c>
      <c r="D148" s="32" t="s">
        <v>145</v>
      </c>
      <c r="E148" s="78" t="n">
        <f aca="false">SUMIFS(DRE_por_UN!$J:$J,DRE_por_UN!$C:$C,$C148,DRE_por_UN!$E:$E,$D148)</f>
        <v>38368.8624</v>
      </c>
      <c r="F148" s="44" t="n">
        <f aca="false">VLOOKUP($D148,Premissas!$A$52:$P$56,15,0)</f>
        <v>60</v>
      </c>
      <c r="G148" s="33" t="n">
        <f aca="false">E148*F148/30</f>
        <v>76737.7248</v>
      </c>
      <c r="H148" s="33" t="n">
        <f aca="false">G147</f>
        <v>63873.216</v>
      </c>
      <c r="I148" s="33" t="n">
        <f aca="false">E148+(G148-H148)</f>
        <v>51233.3712</v>
      </c>
      <c r="J148" s="80" t="n">
        <f aca="false">IF((G148+H148)=0,0,E148*12/((G148+H148)/2))</f>
        <v>6.54894058997719</v>
      </c>
    </row>
    <row r="149" customFormat="false" ht="15" hidden="false" customHeight="true" outlineLevel="0" collapsed="false">
      <c r="A149" s="32" t="n">
        <v>2025</v>
      </c>
      <c r="B149" s="32" t="n">
        <v>4</v>
      </c>
      <c r="C149" s="32" t="s">
        <v>151</v>
      </c>
      <c r="D149" s="32" t="s">
        <v>145</v>
      </c>
      <c r="E149" s="78" t="n">
        <f aca="false">SUMIFS(DRE_por_UN!$J:$J,DRE_por_UN!$C:$C,$C149,DRE_por_UN!$E:$E,$D149)</f>
        <v>36953.136</v>
      </c>
      <c r="F149" s="44" t="n">
        <f aca="false">VLOOKUP($D149,Premissas!$A$52:$P$56,15,0)</f>
        <v>60</v>
      </c>
      <c r="G149" s="33" t="n">
        <f aca="false">E149*F149/30</f>
        <v>73906.272</v>
      </c>
      <c r="H149" s="33" t="n">
        <f aca="false">G148</f>
        <v>76737.7248</v>
      </c>
      <c r="I149" s="33" t="n">
        <f aca="false">E149+(G149-H149)</f>
        <v>34121.6832</v>
      </c>
      <c r="J149" s="80" t="n">
        <f aca="false">IF((G149+H149)=0,0,E149*12/((G149+H149)/2))</f>
        <v>5.88722606170258</v>
      </c>
    </row>
    <row r="150" customFormat="false" ht="15" hidden="false" customHeight="true" outlineLevel="0" collapsed="false">
      <c r="A150" s="32" t="n">
        <v>2025</v>
      </c>
      <c r="B150" s="32" t="n">
        <v>5</v>
      </c>
      <c r="C150" s="32" t="s">
        <v>152</v>
      </c>
      <c r="D150" s="32" t="s">
        <v>145</v>
      </c>
      <c r="E150" s="78" t="n">
        <f aca="false">SUMIFS(DRE_por_UN!$J:$J,DRE_por_UN!$C:$C,$C150,DRE_por_UN!$E:$E,$D150)</f>
        <v>38107.392</v>
      </c>
      <c r="F150" s="44" t="n">
        <f aca="false">VLOOKUP($D150,Premissas!$A$52:$P$56,15,0)</f>
        <v>60</v>
      </c>
      <c r="G150" s="33" t="n">
        <f aca="false">E150*F150/30</f>
        <v>76214.784</v>
      </c>
      <c r="H150" s="33" t="n">
        <f aca="false">G149</f>
        <v>73906.272</v>
      </c>
      <c r="I150" s="33" t="n">
        <f aca="false">E150+(G150-H150)</f>
        <v>40415.904</v>
      </c>
      <c r="J150" s="80" t="n">
        <f aca="false">IF((G150+H150)=0,0,E150*12/((G150+H150)/2))</f>
        <v>6.09226601763313</v>
      </c>
    </row>
    <row r="151" customFormat="false" ht="15" hidden="false" customHeight="true" outlineLevel="0" collapsed="false">
      <c r="A151" s="32" t="n">
        <v>2025</v>
      </c>
      <c r="B151" s="32" t="n">
        <v>6</v>
      </c>
      <c r="C151" s="32" t="s">
        <v>153</v>
      </c>
      <c r="D151" s="32" t="s">
        <v>145</v>
      </c>
      <c r="E151" s="78" t="n">
        <f aca="false">SUMIFS(DRE_por_UN!$J:$J,DRE_por_UN!$C:$C,$C151,DRE_por_UN!$E:$E,$D151)</f>
        <v>40017.3888</v>
      </c>
      <c r="F151" s="44" t="n">
        <f aca="false">VLOOKUP($D151,Premissas!$A$52:$P$56,15,0)</f>
        <v>60</v>
      </c>
      <c r="G151" s="33" t="n">
        <f aca="false">E151*F151/30</f>
        <v>80034.7776</v>
      </c>
      <c r="H151" s="33" t="n">
        <f aca="false">G150</f>
        <v>76214.784</v>
      </c>
      <c r="I151" s="33" t="n">
        <f aca="false">E151+(G151-H151)</f>
        <v>43837.3824</v>
      </c>
      <c r="J151" s="80" t="n">
        <f aca="false">IF((G151+H151)=0,0,E151*12/((G151+H151)/2))</f>
        <v>6.14668816581179</v>
      </c>
    </row>
    <row r="152" customFormat="false" ht="15" hidden="false" customHeight="true" outlineLevel="0" collapsed="false">
      <c r="A152" s="32" t="n">
        <v>2025</v>
      </c>
      <c r="B152" s="32" t="n">
        <v>7</v>
      </c>
      <c r="C152" s="32" t="s">
        <v>154</v>
      </c>
      <c r="D152" s="32" t="s">
        <v>145</v>
      </c>
      <c r="E152" s="78" t="n">
        <f aca="false">SUMIFS(DRE_por_UN!$J:$J,DRE_por_UN!$C:$C,$C152,DRE_por_UN!$E:$E,$D152)</f>
        <v>40112.112</v>
      </c>
      <c r="F152" s="44" t="n">
        <f aca="false">VLOOKUP($D152,Premissas!$A$52:$P$56,15,0)</f>
        <v>60</v>
      </c>
      <c r="G152" s="33" t="n">
        <f aca="false">E152*F152/30</f>
        <v>80224.224</v>
      </c>
      <c r="H152" s="33" t="n">
        <f aca="false">G151</f>
        <v>80034.7776</v>
      </c>
      <c r="I152" s="33" t="n">
        <f aca="false">E152+(G152-H152)</f>
        <v>40301.5584</v>
      </c>
      <c r="J152" s="80" t="n">
        <f aca="false">IF((G152+H152)=0,0,E152*12/((G152+H152)/2))</f>
        <v>6.00709275852621</v>
      </c>
    </row>
    <row r="153" customFormat="false" ht="15" hidden="false" customHeight="true" outlineLevel="0" collapsed="false">
      <c r="A153" s="32" t="n">
        <v>2025</v>
      </c>
      <c r="B153" s="32" t="n">
        <v>8</v>
      </c>
      <c r="C153" s="32" t="s">
        <v>155</v>
      </c>
      <c r="D153" s="32" t="s">
        <v>145</v>
      </c>
      <c r="E153" s="78" t="n">
        <f aca="false">SUMIFS(DRE_por_UN!$J:$J,DRE_por_UN!$C:$C,$C153,DRE_por_UN!$E:$E,$D153)</f>
        <v>38426.1072</v>
      </c>
      <c r="F153" s="44" t="n">
        <f aca="false">VLOOKUP($D153,Premissas!$A$52:$P$56,15,0)</f>
        <v>60</v>
      </c>
      <c r="G153" s="33" t="n">
        <f aca="false">E153*F153/30</f>
        <v>76852.2144</v>
      </c>
      <c r="H153" s="33" t="n">
        <f aca="false">G152</f>
        <v>80224.224</v>
      </c>
      <c r="I153" s="33" t="n">
        <f aca="false">E153+(G153-H153)</f>
        <v>35054.0976</v>
      </c>
      <c r="J153" s="80" t="n">
        <f aca="false">IF((G153+H153)=0,0,E153*12/((G153+H153)/2))</f>
        <v>5.8711961016809</v>
      </c>
    </row>
    <row r="154" customFormat="false" ht="15" hidden="false" customHeight="true" outlineLevel="0" collapsed="false">
      <c r="A154" s="32" t="n">
        <v>2025</v>
      </c>
      <c r="B154" s="32" t="n">
        <v>9</v>
      </c>
      <c r="C154" s="32" t="s">
        <v>156</v>
      </c>
      <c r="D154" s="32" t="s">
        <v>145</v>
      </c>
      <c r="E154" s="78" t="n">
        <f aca="false">SUMIFS(DRE_por_UN!$J:$J,DRE_por_UN!$C:$C,$C154,DRE_por_UN!$E:$E,$D154)</f>
        <v>38794.1952</v>
      </c>
      <c r="F154" s="44" t="n">
        <f aca="false">VLOOKUP($D154,Premissas!$A$52:$P$56,15,0)</f>
        <v>60</v>
      </c>
      <c r="G154" s="33" t="n">
        <f aca="false">E154*F154/30</f>
        <v>77588.3904</v>
      </c>
      <c r="H154" s="33" t="n">
        <f aca="false">G153</f>
        <v>76852.2144</v>
      </c>
      <c r="I154" s="33" t="n">
        <f aca="false">E154+(G154-H154)</f>
        <v>39530.3712</v>
      </c>
      <c r="J154" s="80" t="n">
        <f aca="false">IF((G154+H154)=0,0,E154*12/((G154+H154)/2))</f>
        <v>6.02860035419908</v>
      </c>
    </row>
    <row r="155" customFormat="false" ht="15" hidden="false" customHeight="true" outlineLevel="0" collapsed="false">
      <c r="A155" s="32" t="n">
        <v>2025</v>
      </c>
      <c r="B155" s="32" t="n">
        <v>10</v>
      </c>
      <c r="C155" s="32" t="s">
        <v>157</v>
      </c>
      <c r="D155" s="32" t="s">
        <v>145</v>
      </c>
      <c r="E155" s="78" t="n">
        <f aca="false">SUMIFS(DRE_por_UN!$J:$J,DRE_por_UN!$C:$C,$C155,DRE_por_UN!$E:$E,$D155)</f>
        <v>39090.7008</v>
      </c>
      <c r="F155" s="44" t="n">
        <f aca="false">VLOOKUP($D155,Premissas!$A$52:$P$56,15,0)</f>
        <v>60</v>
      </c>
      <c r="G155" s="33" t="n">
        <f aca="false">E155*F155/30</f>
        <v>78181.4016</v>
      </c>
      <c r="H155" s="33" t="n">
        <f aca="false">G154</f>
        <v>77588.3904</v>
      </c>
      <c r="I155" s="33" t="n">
        <f aca="false">E155+(G155-H155)</f>
        <v>39683.712</v>
      </c>
      <c r="J155" s="80" t="n">
        <f aca="false">IF((G155+H155)=0,0,E155*12/((G155+H155)/2))</f>
        <v>6.02284183059062</v>
      </c>
    </row>
    <row r="156" customFormat="false" ht="15" hidden="false" customHeight="true" outlineLevel="0" collapsed="false">
      <c r="A156" s="32" t="n">
        <v>2025</v>
      </c>
      <c r="B156" s="32" t="n">
        <v>11</v>
      </c>
      <c r="C156" s="32" t="s">
        <v>158</v>
      </c>
      <c r="D156" s="32" t="s">
        <v>145</v>
      </c>
      <c r="E156" s="78" t="n">
        <f aca="false">SUMIFS(DRE_por_UN!$J:$J,DRE_por_UN!$C:$C,$C156,DRE_por_UN!$E:$E,$D156)</f>
        <v>48554.0208</v>
      </c>
      <c r="F156" s="44" t="n">
        <f aca="false">VLOOKUP($D156,Premissas!$A$52:$P$56,15,0)</f>
        <v>60</v>
      </c>
      <c r="G156" s="33" t="n">
        <f aca="false">E156*F156/30</f>
        <v>97108.0416</v>
      </c>
      <c r="H156" s="33" t="n">
        <f aca="false">G155</f>
        <v>78181.4016</v>
      </c>
      <c r="I156" s="33" t="n">
        <f aca="false">E156+(G156-H156)</f>
        <v>67480.6608</v>
      </c>
      <c r="J156" s="80" t="n">
        <f aca="false">IF((G156+H156)=0,0,E156*12/((G156+H156)/2))</f>
        <v>6.64784186615523</v>
      </c>
    </row>
    <row r="157" customFormat="false" ht="15" hidden="false" customHeight="true" outlineLevel="0" collapsed="false">
      <c r="A157" s="32" t="n">
        <v>2025</v>
      </c>
      <c r="B157" s="32" t="n">
        <v>12</v>
      </c>
      <c r="C157" s="32" t="s">
        <v>159</v>
      </c>
      <c r="D157" s="32" t="s">
        <v>145</v>
      </c>
      <c r="E157" s="78" t="n">
        <f aca="false">SUMIFS(DRE_por_UN!$J:$J,DRE_por_UN!$C:$C,$C157,DRE_por_UN!$E:$E,$D157)</f>
        <v>50069.2416</v>
      </c>
      <c r="F157" s="44" t="n">
        <f aca="false">VLOOKUP($D157,Premissas!$A$52:$P$56,15,0)</f>
        <v>60</v>
      </c>
      <c r="G157" s="33" t="n">
        <f aca="false">E157*F157/30</f>
        <v>100138.4832</v>
      </c>
      <c r="H157" s="33" t="n">
        <f aca="false">G156</f>
        <v>97108.0416</v>
      </c>
      <c r="I157" s="33" t="n">
        <f aca="false">E157+(G157-H157)</f>
        <v>53099.6832</v>
      </c>
      <c r="J157" s="80" t="n">
        <f aca="false">IF((G157+H157)=0,0,E157*12/((G157+H157)/2))</f>
        <v>6.09218235717175</v>
      </c>
    </row>
    <row r="158" customFormat="false" ht="15" hidden="false" customHeight="true" outlineLevel="0" collapsed="false">
      <c r="A158" s="32" t="n">
        <v>2026</v>
      </c>
      <c r="B158" s="32" t="n">
        <v>1</v>
      </c>
      <c r="C158" s="32" t="s">
        <v>160</v>
      </c>
      <c r="D158" s="32" t="s">
        <v>145</v>
      </c>
      <c r="E158" s="78" t="n">
        <f aca="false">SUMIFS(DRE_por_UN!$J:$J,DRE_por_UN!$C:$C,$C158,DRE_por_UN!$E:$E,$D158)</f>
        <v>34881.4307</v>
      </c>
      <c r="F158" s="44" t="n">
        <f aca="false">VLOOKUP($D158,Premissas!$A$52:$P$56,15,0)</f>
        <v>60</v>
      </c>
      <c r="G158" s="33" t="n">
        <f aca="false">E158*F158/30</f>
        <v>69762.8614</v>
      </c>
      <c r="H158" s="33" t="n">
        <f aca="false">G157</f>
        <v>100138.4832</v>
      </c>
      <c r="I158" s="33" t="n">
        <f aca="false">E158+(G158-H158)</f>
        <v>4505.80889999999</v>
      </c>
      <c r="J158" s="80" t="n">
        <f aca="false">IF((G158+H158)=0,0,E158*12/((G158+H158)/2))</f>
        <v>4.92729671310677</v>
      </c>
    </row>
    <row r="159" customFormat="false" ht="15" hidden="false" customHeight="true" outlineLevel="0" collapsed="false">
      <c r="A159" s="32" t="n">
        <v>2026</v>
      </c>
      <c r="B159" s="32" t="n">
        <v>2</v>
      </c>
      <c r="C159" s="32" t="s">
        <v>161</v>
      </c>
      <c r="D159" s="32" t="s">
        <v>145</v>
      </c>
      <c r="E159" s="78" t="n">
        <f aca="false">SUMIFS(DRE_por_UN!$J:$J,DRE_por_UN!$C:$C,$C159,DRE_por_UN!$E:$E,$D159)</f>
        <v>32962.2468</v>
      </c>
      <c r="F159" s="44" t="n">
        <f aca="false">VLOOKUP($D159,Premissas!$A$52:$P$56,15,0)</f>
        <v>60</v>
      </c>
      <c r="G159" s="33" t="n">
        <f aca="false">E159*F159/30</f>
        <v>65924.4936</v>
      </c>
      <c r="H159" s="33" t="n">
        <f aca="false">G158</f>
        <v>69762.8614</v>
      </c>
      <c r="I159" s="33" t="n">
        <f aca="false">E159+(G159-H159)</f>
        <v>29123.879</v>
      </c>
      <c r="J159" s="80" t="n">
        <f aca="false">IF((G159+H159)=0,0,E159*12/((G159+H159)/2))</f>
        <v>5.83027005869486</v>
      </c>
    </row>
    <row r="160" customFormat="false" ht="15" hidden="false" customHeight="true" outlineLevel="0" collapsed="false">
      <c r="A160" s="32" t="n">
        <v>2026</v>
      </c>
      <c r="B160" s="32" t="n">
        <v>3</v>
      </c>
      <c r="C160" s="32" t="s">
        <v>162</v>
      </c>
      <c r="D160" s="32" t="s">
        <v>145</v>
      </c>
      <c r="E160" s="78" t="n">
        <f aca="false">SUMIFS(DRE_por_UN!$J:$J,DRE_por_UN!$C:$C,$C160,DRE_por_UN!$E:$E,$D160)</f>
        <v>38370.3676</v>
      </c>
      <c r="F160" s="44" t="n">
        <f aca="false">VLOOKUP($D160,Premissas!$A$52:$P$56,15,0)</f>
        <v>60</v>
      </c>
      <c r="G160" s="33" t="n">
        <f aca="false">E160*F160/30</f>
        <v>76740.7352</v>
      </c>
      <c r="H160" s="33" t="n">
        <f aca="false">G159</f>
        <v>65924.4936</v>
      </c>
      <c r="I160" s="33" t="n">
        <f aca="false">E160+(G160-H160)</f>
        <v>49186.6092</v>
      </c>
      <c r="J160" s="80" t="n">
        <f aca="false">IF((G160+H160)=0,0,E160*12/((G160+H160)/2))</f>
        <v>6.45489325006431</v>
      </c>
    </row>
    <row r="161" customFormat="false" ht="15" hidden="false" customHeight="true" outlineLevel="0" collapsed="false">
      <c r="A161" s="32" t="n">
        <v>2026</v>
      </c>
      <c r="B161" s="32" t="n">
        <v>4</v>
      </c>
      <c r="C161" s="32" t="s">
        <v>163</v>
      </c>
      <c r="D161" s="32" t="s">
        <v>145</v>
      </c>
      <c r="E161" s="78" t="n">
        <f aca="false">SUMIFS(DRE_por_UN!$J:$J,DRE_por_UN!$C:$C,$C161,DRE_por_UN!$E:$E,$D161)</f>
        <v>36757.7177</v>
      </c>
      <c r="F161" s="44" t="n">
        <f aca="false">VLOOKUP($D161,Premissas!$A$52:$P$56,15,0)</f>
        <v>60</v>
      </c>
      <c r="G161" s="33" t="n">
        <f aca="false">E161*F161/30</f>
        <v>73515.4354</v>
      </c>
      <c r="H161" s="33" t="n">
        <f aca="false">G160</f>
        <v>76740.7352</v>
      </c>
      <c r="I161" s="33" t="n">
        <f aca="false">E161+(G161-H161)</f>
        <v>33532.4179</v>
      </c>
      <c r="J161" s="80" t="n">
        <f aca="false">IF((G161+H161)=0,0,E161*12/((G161+H161)/2))</f>
        <v>5.87120795956183</v>
      </c>
    </row>
    <row r="162" customFormat="false" ht="15" hidden="false" customHeight="true" outlineLevel="0" collapsed="false">
      <c r="A162" s="32" t="n">
        <v>2026</v>
      </c>
      <c r="B162" s="32" t="n">
        <v>5</v>
      </c>
      <c r="C162" s="32" t="s">
        <v>164</v>
      </c>
      <c r="D162" s="32" t="s">
        <v>145</v>
      </c>
      <c r="E162" s="78" t="n">
        <f aca="false">SUMIFS(DRE_por_UN!$J:$J,DRE_por_UN!$C:$C,$C162,DRE_por_UN!$E:$E,$D162)</f>
        <v>40656.3395</v>
      </c>
      <c r="F162" s="44" t="n">
        <f aca="false">VLOOKUP($D162,Premissas!$A$52:$P$56,15,0)</f>
        <v>60</v>
      </c>
      <c r="G162" s="33" t="n">
        <f aca="false">E162*F162/30</f>
        <v>81312.679</v>
      </c>
      <c r="H162" s="33" t="n">
        <f aca="false">G161</f>
        <v>73515.4354</v>
      </c>
      <c r="I162" s="33" t="n">
        <f aca="false">E162+(G162-H162)</f>
        <v>48453.5831</v>
      </c>
      <c r="J162" s="80" t="n">
        <f aca="false">IF((G162+H162)=0,0,E162*12/((G162+H162)/2))</f>
        <v>6.30216386591866</v>
      </c>
    </row>
    <row r="163" customFormat="false" ht="15" hidden="false" customHeight="true" outlineLevel="0" collapsed="false">
      <c r="A163" s="32" t="n">
        <v>2026</v>
      </c>
      <c r="B163" s="32" t="n">
        <v>6</v>
      </c>
      <c r="C163" s="32" t="s">
        <v>165</v>
      </c>
      <c r="D163" s="32" t="s">
        <v>145</v>
      </c>
      <c r="E163" s="78" t="n">
        <f aca="false">SUMIFS(DRE_por_UN!$J:$J,DRE_por_UN!$C:$C,$C163,DRE_por_UN!$E:$E,$D163)</f>
        <v>40996.4033</v>
      </c>
      <c r="F163" s="44" t="n">
        <f aca="false">VLOOKUP($D163,Premissas!$A$52:$P$56,15,0)</f>
        <v>60</v>
      </c>
      <c r="G163" s="33" t="n">
        <f aca="false">E163*F163/30</f>
        <v>81992.8066</v>
      </c>
      <c r="H163" s="33" t="n">
        <f aca="false">G162</f>
        <v>81312.679</v>
      </c>
      <c r="I163" s="33" t="n">
        <f aca="false">E163+(G163-H163)</f>
        <v>41676.5309</v>
      </c>
      <c r="J163" s="80" t="n">
        <f aca="false">IF((G163+H163)=0,0,E163*12/((G163+H163)/2))</f>
        <v>6.02498853963789</v>
      </c>
    </row>
    <row r="164" customFormat="false" ht="15" hidden="false" customHeight="true" outlineLevel="0" collapsed="false">
      <c r="A164" s="32" t="n">
        <v>2026</v>
      </c>
      <c r="B164" s="32" t="n">
        <v>7</v>
      </c>
      <c r="C164" s="32" t="s">
        <v>166</v>
      </c>
      <c r="D164" s="32" t="s">
        <v>145</v>
      </c>
      <c r="E164" s="78" t="n">
        <f aca="false">SUMIFS(DRE_por_UN!$J:$J,DRE_por_UN!$C:$C,$C164,DRE_por_UN!$E:$E,$D164)</f>
        <v>42629.8272</v>
      </c>
      <c r="F164" s="44" t="n">
        <f aca="false">VLOOKUP($D164,Premissas!$A$52:$P$56,15,0)</f>
        <v>60</v>
      </c>
      <c r="G164" s="33" t="n">
        <f aca="false">E164*F164/30</f>
        <v>85259.6544</v>
      </c>
      <c r="H164" s="33" t="n">
        <f aca="false">G163</f>
        <v>81992.8066</v>
      </c>
      <c r="I164" s="33" t="n">
        <f aca="false">E164+(G164-H164)</f>
        <v>45896.675</v>
      </c>
      <c r="J164" s="80" t="n">
        <f aca="false">IF((G164+H164)=0,0,E164*12/((G164+H164)/2))</f>
        <v>6.1171946091723</v>
      </c>
    </row>
    <row r="165" customFormat="false" ht="15" hidden="false" customHeight="true" outlineLevel="0" collapsed="false">
      <c r="A165" s="32" t="n">
        <v>2026</v>
      </c>
      <c r="B165" s="32" t="n">
        <v>8</v>
      </c>
      <c r="C165" s="32" t="s">
        <v>167</v>
      </c>
      <c r="D165" s="32" t="s">
        <v>145</v>
      </c>
      <c r="E165" s="78" t="n">
        <f aca="false">SUMIFS(DRE_por_UN!$J:$J,DRE_por_UN!$C:$C,$C165,DRE_por_UN!$E:$E,$D165)</f>
        <v>39737.9078</v>
      </c>
      <c r="F165" s="44" t="n">
        <f aca="false">VLOOKUP($D165,Premissas!$A$52:$P$56,15,0)</f>
        <v>60</v>
      </c>
      <c r="G165" s="33" t="n">
        <f aca="false">E165*F165/30</f>
        <v>79475.8156</v>
      </c>
      <c r="H165" s="33" t="n">
        <f aca="false">G164</f>
        <v>85259.6544</v>
      </c>
      <c r="I165" s="33" t="n">
        <f aca="false">E165+(G165-H165)</f>
        <v>33954.069</v>
      </c>
      <c r="J165" s="80" t="n">
        <f aca="false">IF((G165+H165)=0,0,E165*12/((G165+H165)/2))</f>
        <v>5.78934085780069</v>
      </c>
    </row>
    <row r="166" customFormat="false" ht="15" hidden="false" customHeight="true" outlineLevel="0" collapsed="false">
      <c r="A166" s="32" t="n">
        <v>2026</v>
      </c>
      <c r="B166" s="32" t="n">
        <v>9</v>
      </c>
      <c r="C166" s="32" t="s">
        <v>168</v>
      </c>
      <c r="D166" s="32" t="s">
        <v>145</v>
      </c>
      <c r="E166" s="78" t="n">
        <f aca="false">SUMIFS(DRE_por_UN!$J:$J,DRE_por_UN!$C:$C,$C166,DRE_por_UN!$E:$E,$D166)</f>
        <v>37682.4709</v>
      </c>
      <c r="F166" s="44" t="n">
        <f aca="false">VLOOKUP($D166,Premissas!$A$52:$P$56,15,0)</f>
        <v>60</v>
      </c>
      <c r="G166" s="33" t="n">
        <f aca="false">E166*F166/30</f>
        <v>75364.9418</v>
      </c>
      <c r="H166" s="33" t="n">
        <f aca="false">G165</f>
        <v>79475.8156</v>
      </c>
      <c r="I166" s="33" t="n">
        <f aca="false">E166+(G166-H166)</f>
        <v>33571.5971</v>
      </c>
      <c r="J166" s="80" t="n">
        <f aca="false">IF((G166+H166)=0,0,E166*12/((G166+H166)/2))</f>
        <v>5.84070574689659</v>
      </c>
    </row>
    <row r="167" customFormat="false" ht="15" hidden="false" customHeight="true" outlineLevel="0" collapsed="false">
      <c r="A167" s="32" t="n">
        <v>2026</v>
      </c>
      <c r="B167" s="32" t="n">
        <v>10</v>
      </c>
      <c r="C167" s="32" t="s">
        <v>169</v>
      </c>
      <c r="D167" s="32" t="s">
        <v>145</v>
      </c>
      <c r="E167" s="78" t="n">
        <f aca="false">SUMIFS(DRE_por_UN!$J:$J,DRE_por_UN!$C:$C,$C167,DRE_por_UN!$E:$E,$D167)</f>
        <v>39724.4376</v>
      </c>
      <c r="F167" s="44" t="n">
        <f aca="false">VLOOKUP($D167,Premissas!$A$52:$P$56,15,0)</f>
        <v>60</v>
      </c>
      <c r="G167" s="33" t="n">
        <f aca="false">E167*F167/30</f>
        <v>79448.8752</v>
      </c>
      <c r="H167" s="33" t="n">
        <f aca="false">G166</f>
        <v>75364.9418</v>
      </c>
      <c r="I167" s="33" t="n">
        <f aca="false">E167+(G167-H167)</f>
        <v>43808.371</v>
      </c>
      <c r="J167" s="80" t="n">
        <f aca="false">IF((G167+H167)=0,0,E167*12/((G167+H167)/2))</f>
        <v>6.15827786482391</v>
      </c>
    </row>
    <row r="168" customFormat="false" ht="15" hidden="false" customHeight="true" outlineLevel="0" collapsed="false">
      <c r="A168" s="32" t="n">
        <v>2026</v>
      </c>
      <c r="B168" s="32" t="n">
        <v>11</v>
      </c>
      <c r="C168" s="32" t="s">
        <v>170</v>
      </c>
      <c r="D168" s="32" t="s">
        <v>145</v>
      </c>
      <c r="E168" s="78" t="n">
        <f aca="false">SUMIFS(DRE_por_UN!$J:$J,DRE_por_UN!$C:$C,$C168,DRE_por_UN!$E:$E,$D168)</f>
        <v>48530.1649</v>
      </c>
      <c r="F168" s="44" t="n">
        <f aca="false">VLOOKUP($D168,Premissas!$A$52:$P$56,15,0)</f>
        <v>60</v>
      </c>
      <c r="G168" s="33" t="n">
        <f aca="false">E168*F168/30</f>
        <v>97060.3298</v>
      </c>
      <c r="H168" s="33" t="n">
        <f aca="false">G167</f>
        <v>79448.8752</v>
      </c>
      <c r="I168" s="33" t="n">
        <f aca="false">E168+(G168-H168)</f>
        <v>66141.6195</v>
      </c>
      <c r="J168" s="80" t="n">
        <f aca="false">IF((G168+H168)=0,0,E168*12/((G168+H168)/2))</f>
        <v>6.5986584529685</v>
      </c>
    </row>
    <row r="169" customFormat="false" ht="15" hidden="false" customHeight="true" outlineLevel="0" collapsed="false">
      <c r="A169" s="32" t="n">
        <v>2026</v>
      </c>
      <c r="B169" s="32" t="n">
        <v>12</v>
      </c>
      <c r="C169" s="32" t="s">
        <v>171</v>
      </c>
      <c r="D169" s="32" t="s">
        <v>145</v>
      </c>
      <c r="E169" s="78" t="n">
        <f aca="false">SUMIFS(DRE_por_UN!$J:$J,DRE_por_UN!$C:$C,$C169,DRE_por_UN!$E:$E,$D169)</f>
        <v>51530.1467</v>
      </c>
      <c r="F169" s="44" t="n">
        <f aca="false">VLOOKUP($D169,Premissas!$A$52:$P$56,15,0)</f>
        <v>60</v>
      </c>
      <c r="G169" s="33" t="n">
        <f aca="false">E169*F169/30</f>
        <v>103060.2934</v>
      </c>
      <c r="H169" s="33" t="n">
        <f aca="false">G168</f>
        <v>97060.3298</v>
      </c>
      <c r="I169" s="33" t="n">
        <f aca="false">E169+(G169-H169)</f>
        <v>57530.1103</v>
      </c>
      <c r="J169" s="80" t="n">
        <f aca="false">IF((G169+H169)=0,0,E169*12/((G169+H169)/2))</f>
        <v>6.17989041321355</v>
      </c>
    </row>
    <row r="170" customFormat="false" ht="15" hidden="false" customHeight="true" outlineLevel="0" collapsed="false">
      <c r="A170" s="32" t="n">
        <v>2027</v>
      </c>
      <c r="B170" s="32" t="n">
        <v>1</v>
      </c>
      <c r="C170" s="32" t="s">
        <v>172</v>
      </c>
      <c r="D170" s="32" t="s">
        <v>145</v>
      </c>
      <c r="E170" s="78" t="n">
        <f aca="false">SUMIFS(DRE_por_UN!$J:$J,DRE_por_UN!$C:$C,$C170,DRE_por_UN!$E:$E,$D170)</f>
        <v>37310.3314887984</v>
      </c>
      <c r="F170" s="44" t="n">
        <f aca="false">VLOOKUP($D170,Premissas!$A$52:$P$56,15,0)</f>
        <v>60</v>
      </c>
      <c r="G170" s="33" t="n">
        <f aca="false">E170*F170/30</f>
        <v>74620.6629775968</v>
      </c>
      <c r="H170" s="33" t="n">
        <f aca="false">G169</f>
        <v>103060.2934</v>
      </c>
      <c r="I170" s="33" t="n">
        <f aca="false">E170+(G170-H170)</f>
        <v>8870.7010663952</v>
      </c>
      <c r="J170" s="80" t="n">
        <f aca="false">IF((G170+H170)=0,0,E170*12/((G170+H170)/2))</f>
        <v>5.03963944131531</v>
      </c>
    </row>
    <row r="171" customFormat="false" ht="15" hidden="false" customHeight="true" outlineLevel="0" collapsed="false">
      <c r="A171" s="32" t="n">
        <v>2027</v>
      </c>
      <c r="B171" s="32" t="n">
        <v>2</v>
      </c>
      <c r="C171" s="32" t="s">
        <v>173</v>
      </c>
      <c r="D171" s="32" t="s">
        <v>145</v>
      </c>
      <c r="E171" s="78" t="n">
        <f aca="false">SUMIFS(DRE_por_UN!$J:$J,DRE_por_UN!$C:$C,$C171,DRE_por_UN!$E:$E,$D171)</f>
        <v>35293.4770930416</v>
      </c>
      <c r="F171" s="44" t="n">
        <f aca="false">VLOOKUP($D171,Premissas!$A$52:$P$56,15,0)</f>
        <v>60</v>
      </c>
      <c r="G171" s="33" t="n">
        <f aca="false">E171*F171/30</f>
        <v>70586.9541860832</v>
      </c>
      <c r="H171" s="33" t="n">
        <f aca="false">G170</f>
        <v>74620.6629775968</v>
      </c>
      <c r="I171" s="33" t="n">
        <f aca="false">E171+(G171-H171)</f>
        <v>31259.768301528</v>
      </c>
      <c r="J171" s="80" t="n">
        <f aca="false">IF((G171+H171)=0,0,E171*12/((G171+H171)/2))</f>
        <v>5.83332656218854</v>
      </c>
    </row>
    <row r="172" customFormat="false" ht="15" hidden="false" customHeight="true" outlineLevel="0" collapsed="false">
      <c r="A172" s="32" t="n">
        <v>2027</v>
      </c>
      <c r="B172" s="32" t="n">
        <v>3</v>
      </c>
      <c r="C172" s="32" t="s">
        <v>174</v>
      </c>
      <c r="D172" s="32" t="s">
        <v>145</v>
      </c>
      <c r="E172" s="78" t="n">
        <f aca="false">SUMIFS(DRE_por_UN!$J:$J,DRE_por_UN!$C:$C,$C172,DRE_por_UN!$E:$E,$D172)</f>
        <v>41049.6698754804</v>
      </c>
      <c r="F172" s="44" t="n">
        <f aca="false">VLOOKUP($D172,Premissas!$A$52:$P$56,15,0)</f>
        <v>60</v>
      </c>
      <c r="G172" s="33" t="n">
        <f aca="false">E172*F172/30</f>
        <v>82099.3397509608</v>
      </c>
      <c r="H172" s="33" t="n">
        <f aca="false">G171</f>
        <v>70586.9541860832</v>
      </c>
      <c r="I172" s="33" t="n">
        <f aca="false">E172+(G172-H172)</f>
        <v>52562.055440358</v>
      </c>
      <c r="J172" s="80" t="n">
        <f aca="false">IF((G172+H172)=0,0,E172*12/((G172+H172)/2))</f>
        <v>6.45239367338202</v>
      </c>
    </row>
    <row r="173" customFormat="false" ht="15" hidden="false" customHeight="true" outlineLevel="0" collapsed="false">
      <c r="A173" s="32" t="n">
        <v>2027</v>
      </c>
      <c r="B173" s="32" t="n">
        <v>4</v>
      </c>
      <c r="C173" s="32" t="s">
        <v>175</v>
      </c>
      <c r="D173" s="32" t="s">
        <v>145</v>
      </c>
      <c r="E173" s="78" t="n">
        <f aca="false">SUMIFS(DRE_por_UN!$J:$J,DRE_por_UN!$C:$C,$C173,DRE_por_UN!$E:$E,$D173)</f>
        <v>39454.893302274</v>
      </c>
      <c r="F173" s="44" t="n">
        <f aca="false">VLOOKUP($D173,Premissas!$A$52:$P$56,15,0)</f>
        <v>60</v>
      </c>
      <c r="G173" s="33" t="n">
        <f aca="false">E173*F173/30</f>
        <v>78909.786604548</v>
      </c>
      <c r="H173" s="33" t="n">
        <f aca="false">G172</f>
        <v>82099.3397509608</v>
      </c>
      <c r="I173" s="33" t="n">
        <f aca="false">E173+(G173-H173)</f>
        <v>36265.3401558612</v>
      </c>
      <c r="J173" s="80" t="n">
        <f aca="false">IF((G173+H173)=0,0,E173*12/((G173+H173)/2))</f>
        <v>5.88114140290271</v>
      </c>
    </row>
    <row r="174" customFormat="false" ht="15" hidden="false" customHeight="true" outlineLevel="0" collapsed="false">
      <c r="A174" s="32" t="n">
        <v>2027</v>
      </c>
      <c r="B174" s="32" t="n">
        <v>5</v>
      </c>
      <c r="C174" s="32" t="s">
        <v>176</v>
      </c>
      <c r="D174" s="32" t="s">
        <v>145</v>
      </c>
      <c r="E174" s="78" t="n">
        <f aca="false">SUMIFS(DRE_por_UN!$J:$J,DRE_por_UN!$C:$C,$C174,DRE_por_UN!$E:$E,$D174)</f>
        <v>43414.7605284144</v>
      </c>
      <c r="F174" s="44" t="n">
        <f aca="false">VLOOKUP($D174,Premissas!$A$52:$P$56,15,0)</f>
        <v>60</v>
      </c>
      <c r="G174" s="33" t="n">
        <f aca="false">E174*F174/30</f>
        <v>86829.5210568288</v>
      </c>
      <c r="H174" s="33" t="n">
        <f aca="false">G173</f>
        <v>78909.786604548</v>
      </c>
      <c r="I174" s="33" t="n">
        <f aca="false">E174+(G174-H174)</f>
        <v>51334.4949806952</v>
      </c>
      <c r="J174" s="80" t="n">
        <f aca="false">IF((G174+H174)=0,0,E174*12/((G174+H174)/2))</f>
        <v>6.28670571504239</v>
      </c>
    </row>
    <row r="175" customFormat="false" ht="15" hidden="false" customHeight="true" outlineLevel="0" collapsed="false">
      <c r="A175" s="32" t="n">
        <v>2027</v>
      </c>
      <c r="B175" s="32" t="n">
        <v>6</v>
      </c>
      <c r="C175" s="32" t="s">
        <v>177</v>
      </c>
      <c r="D175" s="32" t="s">
        <v>145</v>
      </c>
      <c r="E175" s="78" t="n">
        <f aca="false">SUMIFS(DRE_por_UN!$J:$J,DRE_por_UN!$C:$C,$C175,DRE_por_UN!$E:$E,$D175)</f>
        <v>43762.6866572196</v>
      </c>
      <c r="F175" s="44" t="n">
        <f aca="false">VLOOKUP($D175,Premissas!$A$52:$P$56,15,0)</f>
        <v>60</v>
      </c>
      <c r="G175" s="33" t="n">
        <f aca="false">E175*F175/30</f>
        <v>87525.3733144392</v>
      </c>
      <c r="H175" s="33" t="n">
        <f aca="false">G174</f>
        <v>86829.5210568288</v>
      </c>
      <c r="I175" s="33" t="n">
        <f aca="false">E175+(G175-H175)</f>
        <v>44458.53891483</v>
      </c>
      <c r="J175" s="80" t="n">
        <f aca="false">IF((G175+H175)=0,0,E175*12/((G175+H175)/2))</f>
        <v>6.02394606449517</v>
      </c>
    </row>
    <row r="176" customFormat="false" ht="15" hidden="false" customHeight="true" outlineLevel="0" collapsed="false">
      <c r="A176" s="32" t="n">
        <v>2027</v>
      </c>
      <c r="B176" s="32" t="n">
        <v>7</v>
      </c>
      <c r="C176" s="32" t="s">
        <v>178</v>
      </c>
      <c r="D176" s="32" t="s">
        <v>145</v>
      </c>
      <c r="E176" s="78" t="n">
        <f aca="false">SUMIFS(DRE_por_UN!$J:$J,DRE_por_UN!$C:$C,$C176,DRE_por_UN!$E:$E,$D176)</f>
        <v>45583.426208136</v>
      </c>
      <c r="F176" s="44" t="n">
        <f aca="false">VLOOKUP($D176,Premissas!$A$52:$P$56,15,0)</f>
        <v>60</v>
      </c>
      <c r="G176" s="33" t="n">
        <f aca="false">E176*F176/30</f>
        <v>91166.852416272</v>
      </c>
      <c r="H176" s="33" t="n">
        <f aca="false">G175</f>
        <v>87525.3733144392</v>
      </c>
      <c r="I176" s="33" t="n">
        <f aca="false">E176+(G176-H176)</f>
        <v>49224.9053099688</v>
      </c>
      <c r="J176" s="80" t="n">
        <f aca="false">IF((G176+H176)=0,0,E176*12/((G176+H176)/2))</f>
        <v>6.12227098589014</v>
      </c>
    </row>
    <row r="177" customFormat="false" ht="15" hidden="false" customHeight="true" outlineLevel="0" collapsed="false">
      <c r="A177" s="32" t="n">
        <v>2027</v>
      </c>
      <c r="B177" s="32" t="n">
        <v>8</v>
      </c>
      <c r="C177" s="32" t="s">
        <v>179</v>
      </c>
      <c r="D177" s="32" t="s">
        <v>145</v>
      </c>
      <c r="E177" s="78" t="n">
        <f aca="false">SUMIFS(DRE_por_UN!$J:$J,DRE_por_UN!$C:$C,$C177,DRE_por_UN!$E:$E,$D177)</f>
        <v>42742.9122067968</v>
      </c>
      <c r="F177" s="44" t="n">
        <f aca="false">VLOOKUP($D177,Premissas!$A$52:$P$56,15,0)</f>
        <v>60</v>
      </c>
      <c r="G177" s="33" t="n">
        <f aca="false">E177*F177/30</f>
        <v>85485.8244135936</v>
      </c>
      <c r="H177" s="33" t="n">
        <f aca="false">G176</f>
        <v>91166.852416272</v>
      </c>
      <c r="I177" s="33" t="n">
        <f aca="false">E177+(G177-H177)</f>
        <v>37061.8842041185</v>
      </c>
      <c r="J177" s="80" t="n">
        <f aca="false">IF((G177+H177)=0,0,E177*12/((G177+H177)/2))</f>
        <v>5.80704414658319</v>
      </c>
    </row>
    <row r="178" customFormat="false" ht="15" hidden="false" customHeight="true" outlineLevel="0" collapsed="false">
      <c r="A178" s="32" t="n">
        <v>2027</v>
      </c>
      <c r="B178" s="32" t="n">
        <v>9</v>
      </c>
      <c r="C178" s="32" t="s">
        <v>180</v>
      </c>
      <c r="D178" s="32" t="s">
        <v>145</v>
      </c>
      <c r="E178" s="78" t="n">
        <f aca="false">SUMIFS(DRE_por_UN!$J:$J,DRE_por_UN!$C:$C,$C178,DRE_por_UN!$E:$E,$D178)</f>
        <v>40350.1339819848</v>
      </c>
      <c r="F178" s="44" t="n">
        <f aca="false">VLOOKUP($D178,Premissas!$A$52:$P$56,15,0)</f>
        <v>60</v>
      </c>
      <c r="G178" s="33" t="n">
        <f aca="false">E178*F178/30</f>
        <v>80700.2679639696</v>
      </c>
      <c r="H178" s="33" t="n">
        <f aca="false">G177</f>
        <v>85485.8244135936</v>
      </c>
      <c r="I178" s="33" t="n">
        <f aca="false">E178+(G178-H178)</f>
        <v>35564.5775323608</v>
      </c>
      <c r="J178" s="80" t="n">
        <f aca="false">IF((G178+H178)=0,0,E178*12/((G178+H178)/2))</f>
        <v>5.82722177116657</v>
      </c>
    </row>
    <row r="179" customFormat="false" ht="15" hidden="false" customHeight="true" outlineLevel="0" collapsed="false">
      <c r="A179" s="32" t="n">
        <v>2027</v>
      </c>
      <c r="B179" s="32" t="n">
        <v>10</v>
      </c>
      <c r="C179" s="32" t="s">
        <v>181</v>
      </c>
      <c r="D179" s="32" t="s">
        <v>145</v>
      </c>
      <c r="E179" s="78" t="n">
        <f aca="false">SUMIFS(DRE_por_UN!$J:$J,DRE_por_UN!$C:$C,$C179,DRE_por_UN!$E:$E,$D179)</f>
        <v>42407.3946587424</v>
      </c>
      <c r="F179" s="44" t="n">
        <f aca="false">VLOOKUP($D179,Premissas!$A$52:$P$56,15,0)</f>
        <v>60</v>
      </c>
      <c r="G179" s="33" t="n">
        <f aca="false">E179*F179/30</f>
        <v>84814.7893174848</v>
      </c>
      <c r="H179" s="33" t="n">
        <f aca="false">G178</f>
        <v>80700.2679639696</v>
      </c>
      <c r="I179" s="33" t="n">
        <f aca="false">E179+(G179-H179)</f>
        <v>46521.9160122576</v>
      </c>
      <c r="J179" s="80" t="n">
        <f aca="false">IF((G179+H179)=0,0,E179*12/((G179+H179)/2))</f>
        <v>6.14915336723179</v>
      </c>
    </row>
    <row r="180" customFormat="false" ht="15" hidden="false" customHeight="true" outlineLevel="0" collapsed="false">
      <c r="A180" s="32" t="n">
        <v>2027</v>
      </c>
      <c r="B180" s="32" t="n">
        <v>11</v>
      </c>
      <c r="C180" s="32" t="s">
        <v>182</v>
      </c>
      <c r="D180" s="32" t="s">
        <v>145</v>
      </c>
      <c r="E180" s="78" t="n">
        <f aca="false">SUMIFS(DRE_por_UN!$J:$J,DRE_por_UN!$C:$C,$C180,DRE_por_UN!$E:$E,$D180)</f>
        <v>51982.9630689348</v>
      </c>
      <c r="F180" s="44" t="n">
        <f aca="false">VLOOKUP($D180,Premissas!$A$52:$P$56,15,0)</f>
        <v>60</v>
      </c>
      <c r="G180" s="33" t="n">
        <f aca="false">E180*F180/30</f>
        <v>103965.92613787</v>
      </c>
      <c r="H180" s="33" t="n">
        <f aca="false">G179</f>
        <v>84814.7893174848</v>
      </c>
      <c r="I180" s="33" t="n">
        <f aca="false">E180+(G180-H180)</f>
        <v>71134.0998893196</v>
      </c>
      <c r="J180" s="80" t="n">
        <f aca="false">IF((G180+H180)=0,0,E180*12/((G180+H180)/2))</f>
        <v>6.60867880834726</v>
      </c>
    </row>
    <row r="181" customFormat="false" ht="15" hidden="false" customHeight="true" outlineLevel="0" collapsed="false">
      <c r="A181" s="32" t="n">
        <v>2027</v>
      </c>
      <c r="B181" s="32" t="n">
        <v>12</v>
      </c>
      <c r="C181" s="32" t="s">
        <v>183</v>
      </c>
      <c r="D181" s="32" t="s">
        <v>145</v>
      </c>
      <c r="E181" s="78" t="n">
        <f aca="false">SUMIFS(DRE_por_UN!$J:$J,DRE_por_UN!$C:$C,$C181,DRE_por_UN!$E:$E,$D181)</f>
        <v>55112.4788083992</v>
      </c>
      <c r="F181" s="44" t="n">
        <f aca="false">VLOOKUP($D181,Premissas!$A$52:$P$56,15,0)</f>
        <v>60</v>
      </c>
      <c r="G181" s="33" t="n">
        <f aca="false">E181*F181/30</f>
        <v>110224.957616798</v>
      </c>
      <c r="H181" s="33" t="n">
        <f aca="false">G180</f>
        <v>103965.92613787</v>
      </c>
      <c r="I181" s="33" t="n">
        <f aca="false">E181+(G181-H181)</f>
        <v>61371.510287328</v>
      </c>
      <c r="J181" s="80" t="n">
        <f aca="false">IF((G181+H181)=0,0,E181*12/((G181+H181)/2))</f>
        <v>6.17533047259185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6"/>
    <col collapsed="false" customWidth="true" hidden="false" outlineLevel="0" max="3" min="3" style="1" width="10"/>
    <col collapsed="false" customWidth="true" hidden="false" outlineLevel="0" max="4" min="4" style="1" width="24"/>
    <col collapsed="false" customWidth="true" hidden="false" outlineLevel="0" max="5" min="5" style="1" width="14"/>
    <col collapsed="false" customWidth="true" hidden="false" outlineLevel="0" max="6" min="6" style="1" width="11"/>
    <col collapsed="false" customWidth="true" hidden="false" outlineLevel="0" max="7" min="7" style="1" width="13"/>
    <col collapsed="false" customWidth="true" hidden="false" outlineLevel="0" max="12" min="8" style="1" width="12"/>
  </cols>
  <sheetData>
    <row r="1" customFormat="false" ht="15" hidden="false" customHeight="true" outlineLevel="0" collapsed="false">
      <c r="A1" s="25" t="s">
        <v>254</v>
      </c>
      <c r="B1" s="25" t="s">
        <v>255</v>
      </c>
      <c r="C1" s="25" t="s">
        <v>256</v>
      </c>
      <c r="D1" s="25" t="s">
        <v>349</v>
      </c>
      <c r="E1" s="25" t="s">
        <v>190</v>
      </c>
      <c r="F1" s="25" t="s">
        <v>369</v>
      </c>
      <c r="G1" s="25" t="s">
        <v>370</v>
      </c>
      <c r="H1" s="25" t="s">
        <v>110</v>
      </c>
      <c r="I1" s="25" t="s">
        <v>111</v>
      </c>
      <c r="J1" s="25" t="s">
        <v>112</v>
      </c>
      <c r="K1" s="25" t="s">
        <v>113</v>
      </c>
      <c r="L1" s="25" t="s">
        <v>114</v>
      </c>
    </row>
    <row r="2" customFormat="false" ht="15" hidden="false" customHeight="true" outlineLevel="0" collapsed="false">
      <c r="A2" s="32" t="n">
        <v>2025</v>
      </c>
      <c r="B2" s="32" t="n">
        <v>1</v>
      </c>
      <c r="C2" s="32" t="s">
        <v>148</v>
      </c>
      <c r="D2" s="32" t="s">
        <v>141</v>
      </c>
      <c r="E2" s="78" t="n">
        <f aca="false">SUMIFS(DRE_por_UN!$H:$H,DRE_por_UN!$C:$C,$C2,DRE_por_UN!$E:$E,$D2)</f>
        <v>17357.16</v>
      </c>
      <c r="F2" s="44" t="n">
        <f aca="false">IF($A2=2025,VLOOKUP($D2,Premissas!$A$52:$P$56,12,0),IF($A2=2026,VLOOKUP($D2,Premissas!$A$52:$P$56,13,0),VLOOKUP($D2,Premissas!$A$52:$P$56,14,0)))</f>
        <v>25</v>
      </c>
      <c r="G2" s="33" t="n">
        <f aca="false">E2*F2/30</f>
        <v>14464.3</v>
      </c>
      <c r="H2" s="33" t="n">
        <f aca="false">$G2*Premissas!$B$42</f>
        <v>10125.01</v>
      </c>
      <c r="I2" s="33" t="n">
        <f aca="false">$G2*Premissas!$C$42</f>
        <v>2169.645</v>
      </c>
      <c r="J2" s="33" t="n">
        <f aca="false">$G2*Premissas!$D$42</f>
        <v>1157.144</v>
      </c>
      <c r="K2" s="33" t="n">
        <f aca="false">$G2*Premissas!$E$42</f>
        <v>578.572</v>
      </c>
      <c r="L2" s="33" t="n">
        <f aca="false">$G2*Premissas!$F$42</f>
        <v>433.929</v>
      </c>
    </row>
    <row r="3" customFormat="false" ht="15" hidden="false" customHeight="true" outlineLevel="0" collapsed="false">
      <c r="A3" s="32" t="n">
        <v>2025</v>
      </c>
      <c r="B3" s="32" t="n">
        <v>2</v>
      </c>
      <c r="C3" s="32" t="s">
        <v>149</v>
      </c>
      <c r="D3" s="32" t="s">
        <v>141</v>
      </c>
      <c r="E3" s="78" t="n">
        <f aca="false">SUMIFS(DRE_por_UN!$H:$H,DRE_por_UN!$C:$C,$C3,DRE_por_UN!$E:$E,$D3)</f>
        <v>25451.21</v>
      </c>
      <c r="F3" s="44" t="n">
        <f aca="false">IF($A3=2025,VLOOKUP($D3,Premissas!$A$52:$P$56,12,0),IF($A3=2026,VLOOKUP($D3,Premissas!$A$52:$P$56,13,0),VLOOKUP($D3,Premissas!$A$52:$P$56,14,0)))</f>
        <v>25</v>
      </c>
      <c r="G3" s="33" t="n">
        <f aca="false">E3*F3/30</f>
        <v>21209.3416666667</v>
      </c>
      <c r="H3" s="33" t="n">
        <f aca="false">$G3*Premissas!$B$42</f>
        <v>14846.5391666667</v>
      </c>
      <c r="I3" s="33" t="n">
        <f aca="false">$G3*Premissas!$C$42</f>
        <v>3181.40125</v>
      </c>
      <c r="J3" s="33" t="n">
        <f aca="false">$G3*Premissas!$D$42</f>
        <v>1696.74733333333</v>
      </c>
      <c r="K3" s="33" t="n">
        <f aca="false">$G3*Premissas!$E$42</f>
        <v>848.373666666667</v>
      </c>
      <c r="L3" s="33" t="n">
        <f aca="false">$G3*Premissas!$F$42</f>
        <v>636.28025</v>
      </c>
    </row>
    <row r="4" customFormat="false" ht="15" hidden="false" customHeight="true" outlineLevel="0" collapsed="false">
      <c r="A4" s="32" t="n">
        <v>2025</v>
      </c>
      <c r="B4" s="32" t="n">
        <v>3</v>
      </c>
      <c r="C4" s="32" t="s">
        <v>150</v>
      </c>
      <c r="D4" s="32" t="s">
        <v>141</v>
      </c>
      <c r="E4" s="78" t="n">
        <f aca="false">SUMIFS(DRE_por_UN!$H:$H,DRE_por_UN!$C:$C,$C4,DRE_por_UN!$E:$E,$D4)</f>
        <v>24508.03</v>
      </c>
      <c r="F4" s="44" t="n">
        <f aca="false">IF($A4=2025,VLOOKUP($D4,Premissas!$A$52:$P$56,12,0),IF($A4=2026,VLOOKUP($D4,Premissas!$A$52:$P$56,13,0),VLOOKUP($D4,Premissas!$A$52:$P$56,14,0)))</f>
        <v>25</v>
      </c>
      <c r="G4" s="33" t="n">
        <f aca="false">E4*F4/30</f>
        <v>20423.3583333333</v>
      </c>
      <c r="H4" s="33" t="n">
        <f aca="false">$G4*Premissas!$B$42</f>
        <v>14296.3508333333</v>
      </c>
      <c r="I4" s="33" t="n">
        <f aca="false">$G4*Premissas!$C$42</f>
        <v>3063.50375</v>
      </c>
      <c r="J4" s="33" t="n">
        <f aca="false">$G4*Premissas!$D$42</f>
        <v>1633.86866666667</v>
      </c>
      <c r="K4" s="33" t="n">
        <f aca="false">$G4*Premissas!$E$42</f>
        <v>816.934333333333</v>
      </c>
      <c r="L4" s="33" t="n">
        <f aca="false">$G4*Premissas!$F$42</f>
        <v>612.70075</v>
      </c>
    </row>
    <row r="5" customFormat="false" ht="15" hidden="false" customHeight="true" outlineLevel="0" collapsed="false">
      <c r="A5" s="32" t="n">
        <v>2025</v>
      </c>
      <c r="B5" s="32" t="n">
        <v>4</v>
      </c>
      <c r="C5" s="32" t="s">
        <v>151</v>
      </c>
      <c r="D5" s="32" t="s">
        <v>141</v>
      </c>
      <c r="E5" s="78" t="n">
        <f aca="false">SUMIFS(DRE_por_UN!$H:$H,DRE_por_UN!$C:$C,$C5,DRE_por_UN!$E:$E,$D5)</f>
        <v>19207.75</v>
      </c>
      <c r="F5" s="44" t="n">
        <f aca="false">IF($A5=2025,VLOOKUP($D5,Premissas!$A$52:$P$56,12,0),IF($A5=2026,VLOOKUP($D5,Premissas!$A$52:$P$56,13,0),VLOOKUP($D5,Premissas!$A$52:$P$56,14,0)))</f>
        <v>25</v>
      </c>
      <c r="G5" s="33" t="n">
        <f aca="false">E5*F5/30</f>
        <v>16006.4583333333</v>
      </c>
      <c r="H5" s="33" t="n">
        <f aca="false">$G5*Premissas!$B$42</f>
        <v>11204.5208333333</v>
      </c>
      <c r="I5" s="33" t="n">
        <f aca="false">$G5*Premissas!$C$42</f>
        <v>2400.96875</v>
      </c>
      <c r="J5" s="33" t="n">
        <f aca="false">$G5*Premissas!$D$42</f>
        <v>1280.51666666667</v>
      </c>
      <c r="K5" s="33" t="n">
        <f aca="false">$G5*Premissas!$E$42</f>
        <v>640.258333333333</v>
      </c>
      <c r="L5" s="33" t="n">
        <f aca="false">$G5*Premissas!$F$42</f>
        <v>480.19375</v>
      </c>
    </row>
    <row r="6" customFormat="false" ht="15" hidden="false" customHeight="true" outlineLevel="0" collapsed="false">
      <c r="A6" s="32" t="n">
        <v>2025</v>
      </c>
      <c r="B6" s="32" t="n">
        <v>5</v>
      </c>
      <c r="C6" s="32" t="s">
        <v>152</v>
      </c>
      <c r="D6" s="32" t="s">
        <v>141</v>
      </c>
      <c r="E6" s="78" t="n">
        <f aca="false">SUMIFS(DRE_por_UN!$H:$H,DRE_por_UN!$C:$C,$C6,DRE_por_UN!$E:$E,$D6)</f>
        <v>27675.67</v>
      </c>
      <c r="F6" s="44" t="n">
        <f aca="false">IF($A6=2025,VLOOKUP($D6,Premissas!$A$52:$P$56,12,0),IF($A6=2026,VLOOKUP($D6,Premissas!$A$52:$P$56,13,0),VLOOKUP($D6,Premissas!$A$52:$P$56,14,0)))</f>
        <v>25</v>
      </c>
      <c r="G6" s="33" t="n">
        <f aca="false">E6*F6/30</f>
        <v>23063.0583333333</v>
      </c>
      <c r="H6" s="33" t="n">
        <f aca="false">$G6*Premissas!$B$42</f>
        <v>16144.1408333333</v>
      </c>
      <c r="I6" s="33" t="n">
        <f aca="false">$G6*Premissas!$C$42</f>
        <v>3459.45875</v>
      </c>
      <c r="J6" s="33" t="n">
        <f aca="false">$G6*Premissas!$D$42</f>
        <v>1845.04466666667</v>
      </c>
      <c r="K6" s="33" t="n">
        <f aca="false">$G6*Premissas!$E$42</f>
        <v>922.522333333333</v>
      </c>
      <c r="L6" s="33" t="n">
        <f aca="false">$G6*Premissas!$F$42</f>
        <v>691.89175</v>
      </c>
    </row>
    <row r="7" customFormat="false" ht="15" hidden="false" customHeight="true" outlineLevel="0" collapsed="false">
      <c r="A7" s="32" t="n">
        <v>2025</v>
      </c>
      <c r="B7" s="32" t="n">
        <v>6</v>
      </c>
      <c r="C7" s="32" t="s">
        <v>153</v>
      </c>
      <c r="D7" s="32" t="s">
        <v>141</v>
      </c>
      <c r="E7" s="78" t="n">
        <f aca="false">SUMIFS(DRE_por_UN!$H:$H,DRE_por_UN!$C:$C,$C7,DRE_por_UN!$E:$E,$D7)</f>
        <v>26210.03</v>
      </c>
      <c r="F7" s="44" t="n">
        <f aca="false">IF($A7=2025,VLOOKUP($D7,Premissas!$A$52:$P$56,12,0),IF($A7=2026,VLOOKUP($D7,Premissas!$A$52:$P$56,13,0),VLOOKUP($D7,Premissas!$A$52:$P$56,14,0)))</f>
        <v>25</v>
      </c>
      <c r="G7" s="33" t="n">
        <f aca="false">E7*F7/30</f>
        <v>21841.6916666667</v>
      </c>
      <c r="H7" s="33" t="n">
        <f aca="false">$G7*Premissas!$B$42</f>
        <v>15289.1841666667</v>
      </c>
      <c r="I7" s="33" t="n">
        <f aca="false">$G7*Premissas!$C$42</f>
        <v>3276.25375</v>
      </c>
      <c r="J7" s="33" t="n">
        <f aca="false">$G7*Premissas!$D$42</f>
        <v>1747.33533333333</v>
      </c>
      <c r="K7" s="33" t="n">
        <f aca="false">$G7*Premissas!$E$42</f>
        <v>873.667666666667</v>
      </c>
      <c r="L7" s="33" t="n">
        <f aca="false">$G7*Premissas!$F$42</f>
        <v>655.25075</v>
      </c>
    </row>
    <row r="8" customFormat="false" ht="15" hidden="false" customHeight="true" outlineLevel="0" collapsed="false">
      <c r="A8" s="32" t="n">
        <v>2025</v>
      </c>
      <c r="B8" s="32" t="n">
        <v>7</v>
      </c>
      <c r="C8" s="32" t="s">
        <v>154</v>
      </c>
      <c r="D8" s="32" t="s">
        <v>141</v>
      </c>
      <c r="E8" s="78" t="n">
        <f aca="false">SUMIFS(DRE_por_UN!$H:$H,DRE_por_UN!$C:$C,$C8,DRE_por_UN!$E:$E,$D8)</f>
        <v>28087.01</v>
      </c>
      <c r="F8" s="44" t="n">
        <f aca="false">IF($A8=2025,VLOOKUP($D8,Premissas!$A$52:$P$56,12,0),IF($A8=2026,VLOOKUP($D8,Premissas!$A$52:$P$56,13,0),VLOOKUP($D8,Premissas!$A$52:$P$56,14,0)))</f>
        <v>25</v>
      </c>
      <c r="G8" s="33" t="n">
        <f aca="false">E8*F8/30</f>
        <v>23405.8416666667</v>
      </c>
      <c r="H8" s="33" t="n">
        <f aca="false">$G8*Premissas!$B$42</f>
        <v>16384.0891666667</v>
      </c>
      <c r="I8" s="33" t="n">
        <f aca="false">$G8*Premissas!$C$42</f>
        <v>3510.87625</v>
      </c>
      <c r="J8" s="33" t="n">
        <f aca="false">$G8*Premissas!$D$42</f>
        <v>1872.46733333333</v>
      </c>
      <c r="K8" s="33" t="n">
        <f aca="false">$G8*Premissas!$E$42</f>
        <v>936.233666666667</v>
      </c>
      <c r="L8" s="33" t="n">
        <f aca="false">$G8*Premissas!$F$42</f>
        <v>702.17525</v>
      </c>
    </row>
    <row r="9" customFormat="false" ht="15" hidden="false" customHeight="true" outlineLevel="0" collapsed="false">
      <c r="A9" s="32" t="n">
        <v>2025</v>
      </c>
      <c r="B9" s="32" t="n">
        <v>8</v>
      </c>
      <c r="C9" s="32" t="s">
        <v>155</v>
      </c>
      <c r="D9" s="32" t="s">
        <v>141</v>
      </c>
      <c r="E9" s="78" t="n">
        <f aca="false">SUMIFS(DRE_por_UN!$H:$H,DRE_por_UN!$C:$C,$C9,DRE_por_UN!$E:$E,$D9)</f>
        <v>23729.92</v>
      </c>
      <c r="F9" s="44" t="n">
        <f aca="false">IF($A9=2025,VLOOKUP($D9,Premissas!$A$52:$P$56,12,0),IF($A9=2026,VLOOKUP($D9,Premissas!$A$52:$P$56,13,0),VLOOKUP($D9,Premissas!$A$52:$P$56,14,0)))</f>
        <v>25</v>
      </c>
      <c r="G9" s="33" t="n">
        <f aca="false">E9*F9/30</f>
        <v>19774.9333333333</v>
      </c>
      <c r="H9" s="33" t="n">
        <f aca="false">$G9*Premissas!$B$42</f>
        <v>13842.4533333333</v>
      </c>
      <c r="I9" s="33" t="n">
        <f aca="false">$G9*Premissas!$C$42</f>
        <v>2966.24</v>
      </c>
      <c r="J9" s="33" t="n">
        <f aca="false">$G9*Premissas!$D$42</f>
        <v>1581.99466666667</v>
      </c>
      <c r="K9" s="33" t="n">
        <f aca="false">$G9*Premissas!$E$42</f>
        <v>790.997333333333</v>
      </c>
      <c r="L9" s="33" t="n">
        <f aca="false">$G9*Premissas!$F$42</f>
        <v>593.248</v>
      </c>
    </row>
    <row r="10" customFormat="false" ht="15" hidden="false" customHeight="true" outlineLevel="0" collapsed="false">
      <c r="A10" s="32" t="n">
        <v>2025</v>
      </c>
      <c r="B10" s="32" t="n">
        <v>9</v>
      </c>
      <c r="C10" s="32" t="s">
        <v>156</v>
      </c>
      <c r="D10" s="32" t="s">
        <v>141</v>
      </c>
      <c r="E10" s="78" t="n">
        <f aca="false">SUMIFS(DRE_por_UN!$H:$H,DRE_por_UN!$C:$C,$C10,DRE_por_UN!$E:$E,$D10)</f>
        <v>19756.12</v>
      </c>
      <c r="F10" s="44" t="n">
        <f aca="false">IF($A10=2025,VLOOKUP($D10,Premissas!$A$52:$P$56,12,0),IF($A10=2026,VLOOKUP($D10,Premissas!$A$52:$P$56,13,0),VLOOKUP($D10,Premissas!$A$52:$P$56,14,0)))</f>
        <v>25</v>
      </c>
      <c r="G10" s="33" t="n">
        <f aca="false">E10*F10/30</f>
        <v>16463.4333333333</v>
      </c>
      <c r="H10" s="33" t="n">
        <f aca="false">$G10*Premissas!$B$42</f>
        <v>11524.4033333333</v>
      </c>
      <c r="I10" s="33" t="n">
        <f aca="false">$G10*Premissas!$C$42</f>
        <v>2469.515</v>
      </c>
      <c r="J10" s="33" t="n">
        <f aca="false">$G10*Premissas!$D$42</f>
        <v>1317.07466666667</v>
      </c>
      <c r="K10" s="33" t="n">
        <f aca="false">$G10*Premissas!$E$42</f>
        <v>658.537333333333</v>
      </c>
      <c r="L10" s="33" t="n">
        <f aca="false">$G10*Premissas!$F$42</f>
        <v>493.903</v>
      </c>
    </row>
    <row r="11" customFormat="false" ht="15" hidden="false" customHeight="true" outlineLevel="0" collapsed="false">
      <c r="A11" s="32" t="n">
        <v>2025</v>
      </c>
      <c r="B11" s="32" t="n">
        <v>10</v>
      </c>
      <c r="C11" s="32" t="s">
        <v>157</v>
      </c>
      <c r="D11" s="32" t="s">
        <v>141</v>
      </c>
      <c r="E11" s="78" t="n">
        <f aca="false">SUMIFS(DRE_por_UN!$H:$H,DRE_por_UN!$C:$C,$C11,DRE_por_UN!$E:$E,$D11)</f>
        <v>33405.09</v>
      </c>
      <c r="F11" s="44" t="n">
        <f aca="false">IF($A11=2025,VLOOKUP($D11,Premissas!$A$52:$P$56,12,0),IF($A11=2026,VLOOKUP($D11,Premissas!$A$52:$P$56,13,0),VLOOKUP($D11,Premissas!$A$52:$P$56,14,0)))</f>
        <v>25</v>
      </c>
      <c r="G11" s="33" t="n">
        <f aca="false">E11*F11/30</f>
        <v>27837.575</v>
      </c>
      <c r="H11" s="33" t="n">
        <f aca="false">$G11*Premissas!$B$42</f>
        <v>19486.3025</v>
      </c>
      <c r="I11" s="33" t="n">
        <f aca="false">$G11*Premissas!$C$42</f>
        <v>4175.63625</v>
      </c>
      <c r="J11" s="33" t="n">
        <f aca="false">$G11*Premissas!$D$42</f>
        <v>2227.006</v>
      </c>
      <c r="K11" s="33" t="n">
        <f aca="false">$G11*Premissas!$E$42</f>
        <v>1113.503</v>
      </c>
      <c r="L11" s="33" t="n">
        <f aca="false">$G11*Premissas!$F$42</f>
        <v>835.12725</v>
      </c>
    </row>
    <row r="12" customFormat="false" ht="15" hidden="false" customHeight="true" outlineLevel="0" collapsed="false">
      <c r="A12" s="32" t="n">
        <v>2025</v>
      </c>
      <c r="B12" s="32" t="n">
        <v>11</v>
      </c>
      <c r="C12" s="32" t="s">
        <v>158</v>
      </c>
      <c r="D12" s="32" t="s">
        <v>141</v>
      </c>
      <c r="E12" s="78" t="n">
        <f aca="false">SUMIFS(DRE_por_UN!$H:$H,DRE_por_UN!$C:$C,$C12,DRE_por_UN!$E:$E,$D12)</f>
        <v>28895.1</v>
      </c>
      <c r="F12" s="44" t="n">
        <f aca="false">IF($A12=2025,VLOOKUP($D12,Premissas!$A$52:$P$56,12,0),IF($A12=2026,VLOOKUP($D12,Premissas!$A$52:$P$56,13,0),VLOOKUP($D12,Premissas!$A$52:$P$56,14,0)))</f>
        <v>25</v>
      </c>
      <c r="G12" s="33" t="n">
        <f aca="false">E12*F12/30</f>
        <v>24079.25</v>
      </c>
      <c r="H12" s="33" t="n">
        <f aca="false">$G12*Premissas!$B$42</f>
        <v>16855.475</v>
      </c>
      <c r="I12" s="33" t="n">
        <f aca="false">$G12*Premissas!$C$42</f>
        <v>3611.8875</v>
      </c>
      <c r="J12" s="33" t="n">
        <f aca="false">$G12*Premissas!$D$42</f>
        <v>1926.34</v>
      </c>
      <c r="K12" s="33" t="n">
        <f aca="false">$G12*Premissas!$E$42</f>
        <v>963.17</v>
      </c>
      <c r="L12" s="33" t="n">
        <f aca="false">$G12*Premissas!$F$42</f>
        <v>722.3775</v>
      </c>
    </row>
    <row r="13" customFormat="false" ht="15" hidden="false" customHeight="true" outlineLevel="0" collapsed="false">
      <c r="A13" s="32" t="n">
        <v>2025</v>
      </c>
      <c r="B13" s="32" t="n">
        <v>12</v>
      </c>
      <c r="C13" s="32" t="s">
        <v>159</v>
      </c>
      <c r="D13" s="32" t="s">
        <v>141</v>
      </c>
      <c r="E13" s="78" t="n">
        <f aca="false">SUMIFS(DRE_por_UN!$H:$H,DRE_por_UN!$C:$C,$C13,DRE_por_UN!$E:$E,$D13)</f>
        <v>27081.96</v>
      </c>
      <c r="F13" s="44" t="n">
        <f aca="false">IF($A13=2025,VLOOKUP($D13,Premissas!$A$52:$P$56,12,0),IF($A13=2026,VLOOKUP($D13,Premissas!$A$52:$P$56,13,0),VLOOKUP($D13,Premissas!$A$52:$P$56,14,0)))</f>
        <v>25</v>
      </c>
      <c r="G13" s="33" t="n">
        <f aca="false">E13*F13/30</f>
        <v>22568.3</v>
      </c>
      <c r="H13" s="33" t="n">
        <f aca="false">$G13*Premissas!$B$42</f>
        <v>15797.81</v>
      </c>
      <c r="I13" s="33" t="n">
        <f aca="false">$G13*Premissas!$C$42</f>
        <v>3385.245</v>
      </c>
      <c r="J13" s="33" t="n">
        <f aca="false">$G13*Premissas!$D$42</f>
        <v>1805.464</v>
      </c>
      <c r="K13" s="33" t="n">
        <f aca="false">$G13*Premissas!$E$42</f>
        <v>902.732</v>
      </c>
      <c r="L13" s="33" t="n">
        <f aca="false">$G13*Premissas!$F$42</f>
        <v>677.049</v>
      </c>
    </row>
    <row r="14" customFormat="false" ht="15" hidden="false" customHeight="true" outlineLevel="0" collapsed="false">
      <c r="A14" s="32" t="n">
        <v>2026</v>
      </c>
      <c r="B14" s="32" t="n">
        <v>1</v>
      </c>
      <c r="C14" s="32" t="s">
        <v>160</v>
      </c>
      <c r="D14" s="32" t="s">
        <v>141</v>
      </c>
      <c r="E14" s="78" t="n">
        <f aca="false">SUMIFS(DRE_por_UN!$H:$H,DRE_por_UN!$C:$C,$C14,DRE_por_UN!$E:$E,$D14)</f>
        <v>19726.09</v>
      </c>
      <c r="F14" s="44" t="n">
        <f aca="false">IF($A14=2025,VLOOKUP($D14,Premissas!$A$52:$P$56,12,0),IF($A14=2026,VLOOKUP($D14,Premissas!$A$52:$P$56,13,0),VLOOKUP($D14,Premissas!$A$52:$P$56,14,0)))</f>
        <v>25</v>
      </c>
      <c r="G14" s="33" t="n">
        <f aca="false">E14*F14/30</f>
        <v>16438.4083333333</v>
      </c>
      <c r="H14" s="33" t="n">
        <f aca="false">$G14*Premissas!$B$42</f>
        <v>11506.8858333333</v>
      </c>
      <c r="I14" s="33" t="n">
        <f aca="false">$G14*Premissas!$C$42</f>
        <v>2465.76125</v>
      </c>
      <c r="J14" s="33" t="n">
        <f aca="false">$G14*Premissas!$D$42</f>
        <v>1315.07266666667</v>
      </c>
      <c r="K14" s="33" t="n">
        <f aca="false">$G14*Premissas!$E$42</f>
        <v>657.536333333334</v>
      </c>
      <c r="L14" s="33" t="n">
        <f aca="false">$G14*Premissas!$F$42</f>
        <v>493.15225</v>
      </c>
    </row>
    <row r="15" customFormat="false" ht="15" hidden="false" customHeight="true" outlineLevel="0" collapsed="false">
      <c r="A15" s="32" t="n">
        <v>2026</v>
      </c>
      <c r="B15" s="32" t="n">
        <v>2</v>
      </c>
      <c r="C15" s="32" t="s">
        <v>161</v>
      </c>
      <c r="D15" s="32" t="s">
        <v>141</v>
      </c>
      <c r="E15" s="78" t="n">
        <f aca="false">SUMIFS(DRE_por_UN!$H:$H,DRE_por_UN!$C:$C,$C15,DRE_por_UN!$E:$E,$D15)</f>
        <v>17435.47</v>
      </c>
      <c r="F15" s="44" t="n">
        <f aca="false">IF($A15=2025,VLOOKUP($D15,Premissas!$A$52:$P$56,12,0),IF($A15=2026,VLOOKUP($D15,Premissas!$A$52:$P$56,13,0),VLOOKUP($D15,Premissas!$A$52:$P$56,14,0)))</f>
        <v>25</v>
      </c>
      <c r="G15" s="33" t="n">
        <f aca="false">E15*F15/30</f>
        <v>14529.5583333333</v>
      </c>
      <c r="H15" s="33" t="n">
        <f aca="false">$G15*Premissas!$B$42</f>
        <v>10170.6908333333</v>
      </c>
      <c r="I15" s="33" t="n">
        <f aca="false">$G15*Premissas!$C$42</f>
        <v>2179.43375</v>
      </c>
      <c r="J15" s="33" t="n">
        <f aca="false">$G15*Premissas!$D$42</f>
        <v>1162.36466666667</v>
      </c>
      <c r="K15" s="33" t="n">
        <f aca="false">$G15*Premissas!$E$42</f>
        <v>581.182333333333</v>
      </c>
      <c r="L15" s="33" t="n">
        <f aca="false">$G15*Premissas!$F$42</f>
        <v>435.88675</v>
      </c>
    </row>
    <row r="16" customFormat="false" ht="15" hidden="false" customHeight="true" outlineLevel="0" collapsed="false">
      <c r="A16" s="32" t="n">
        <v>2026</v>
      </c>
      <c r="B16" s="32" t="n">
        <v>3</v>
      </c>
      <c r="C16" s="32" t="s">
        <v>162</v>
      </c>
      <c r="D16" s="32" t="s">
        <v>141</v>
      </c>
      <c r="E16" s="78" t="n">
        <f aca="false">SUMIFS(DRE_por_UN!$H:$H,DRE_por_UN!$C:$C,$C16,DRE_por_UN!$E:$E,$D16)</f>
        <v>26271.77</v>
      </c>
      <c r="F16" s="44" t="n">
        <f aca="false">IF($A16=2025,VLOOKUP($D16,Premissas!$A$52:$P$56,12,0),IF($A16=2026,VLOOKUP($D16,Premissas!$A$52:$P$56,13,0),VLOOKUP($D16,Premissas!$A$52:$P$56,14,0)))</f>
        <v>25</v>
      </c>
      <c r="G16" s="33" t="n">
        <f aca="false">E16*F16/30</f>
        <v>21893.1416666667</v>
      </c>
      <c r="H16" s="33" t="n">
        <f aca="false">$G16*Premissas!$B$42</f>
        <v>15325.1991666667</v>
      </c>
      <c r="I16" s="33" t="n">
        <f aca="false">$G16*Premissas!$C$42</f>
        <v>3283.97125</v>
      </c>
      <c r="J16" s="33" t="n">
        <f aca="false">$G16*Premissas!$D$42</f>
        <v>1751.45133333333</v>
      </c>
      <c r="K16" s="33" t="n">
        <f aca="false">$G16*Premissas!$E$42</f>
        <v>875.725666666667</v>
      </c>
      <c r="L16" s="33" t="n">
        <f aca="false">$G16*Premissas!$F$42</f>
        <v>656.79425</v>
      </c>
    </row>
    <row r="17" customFormat="false" ht="15" hidden="false" customHeight="true" outlineLevel="0" collapsed="false">
      <c r="A17" s="32" t="n">
        <v>2026</v>
      </c>
      <c r="B17" s="32" t="n">
        <v>4</v>
      </c>
      <c r="C17" s="32" t="s">
        <v>163</v>
      </c>
      <c r="D17" s="32" t="s">
        <v>141</v>
      </c>
      <c r="E17" s="78" t="n">
        <f aca="false">SUMIFS(DRE_por_UN!$H:$H,DRE_por_UN!$C:$C,$C17,DRE_por_UN!$E:$E,$D17)</f>
        <v>20569.18</v>
      </c>
      <c r="F17" s="44" t="n">
        <f aca="false">IF($A17=2025,VLOOKUP($D17,Premissas!$A$52:$P$56,12,0),IF($A17=2026,VLOOKUP($D17,Premissas!$A$52:$P$56,13,0),VLOOKUP($D17,Premissas!$A$52:$P$56,14,0)))</f>
        <v>25</v>
      </c>
      <c r="G17" s="33" t="n">
        <f aca="false">E17*F17/30</f>
        <v>17140.9833333333</v>
      </c>
      <c r="H17" s="33" t="n">
        <f aca="false">$G17*Premissas!$B$42</f>
        <v>11998.6883333333</v>
      </c>
      <c r="I17" s="33" t="n">
        <f aca="false">$G17*Premissas!$C$42</f>
        <v>2571.1475</v>
      </c>
      <c r="J17" s="33" t="n">
        <f aca="false">$G17*Premissas!$D$42</f>
        <v>1371.27866666667</v>
      </c>
      <c r="K17" s="33" t="n">
        <f aca="false">$G17*Premissas!$E$42</f>
        <v>685.639333333334</v>
      </c>
      <c r="L17" s="33" t="n">
        <f aca="false">$G17*Premissas!$F$42</f>
        <v>514.2295</v>
      </c>
    </row>
    <row r="18" customFormat="false" ht="15" hidden="false" customHeight="true" outlineLevel="0" collapsed="false">
      <c r="A18" s="32" t="n">
        <v>2026</v>
      </c>
      <c r="B18" s="32" t="n">
        <v>5</v>
      </c>
      <c r="C18" s="32" t="s">
        <v>164</v>
      </c>
      <c r="D18" s="32" t="s">
        <v>141</v>
      </c>
      <c r="E18" s="78" t="n">
        <f aca="false">SUMIFS(DRE_por_UN!$H:$H,DRE_por_UN!$C:$C,$C18,DRE_por_UN!$E:$E,$D18)</f>
        <v>26816.84</v>
      </c>
      <c r="F18" s="44" t="n">
        <f aca="false">IF($A18=2025,VLOOKUP($D18,Premissas!$A$52:$P$56,12,0),IF($A18=2026,VLOOKUP($D18,Premissas!$A$52:$P$56,13,0),VLOOKUP($D18,Premissas!$A$52:$P$56,14,0)))</f>
        <v>25</v>
      </c>
      <c r="G18" s="33" t="n">
        <f aca="false">E18*F18/30</f>
        <v>22347.3666666667</v>
      </c>
      <c r="H18" s="33" t="n">
        <f aca="false">$G18*Premissas!$B$42</f>
        <v>15643.1566666667</v>
      </c>
      <c r="I18" s="33" t="n">
        <f aca="false">$G18*Premissas!$C$42</f>
        <v>3352.105</v>
      </c>
      <c r="J18" s="33" t="n">
        <f aca="false">$G18*Premissas!$D$42</f>
        <v>1787.78933333333</v>
      </c>
      <c r="K18" s="33" t="n">
        <f aca="false">$G18*Premissas!$E$42</f>
        <v>893.894666666667</v>
      </c>
      <c r="L18" s="33" t="n">
        <f aca="false">$G18*Premissas!$F$42</f>
        <v>670.421</v>
      </c>
    </row>
    <row r="19" customFormat="false" ht="15" hidden="false" customHeight="true" outlineLevel="0" collapsed="false">
      <c r="A19" s="32" t="n">
        <v>2026</v>
      </c>
      <c r="B19" s="32" t="n">
        <v>6</v>
      </c>
      <c r="C19" s="32" t="s">
        <v>165</v>
      </c>
      <c r="D19" s="32" t="s">
        <v>141</v>
      </c>
      <c r="E19" s="78" t="n">
        <f aca="false">SUMIFS(DRE_por_UN!$H:$H,DRE_por_UN!$C:$C,$C19,DRE_por_UN!$E:$E,$D19)</f>
        <v>22365.22</v>
      </c>
      <c r="F19" s="44" t="n">
        <f aca="false">IF($A19=2025,VLOOKUP($D19,Premissas!$A$52:$P$56,12,0),IF($A19=2026,VLOOKUP($D19,Premissas!$A$52:$P$56,13,0),VLOOKUP($D19,Premissas!$A$52:$P$56,14,0)))</f>
        <v>25</v>
      </c>
      <c r="G19" s="33" t="n">
        <f aca="false">E19*F19/30</f>
        <v>18637.6833333333</v>
      </c>
      <c r="H19" s="33" t="n">
        <f aca="false">$G19*Premissas!$B$42</f>
        <v>13046.3783333333</v>
      </c>
      <c r="I19" s="33" t="n">
        <f aca="false">$G19*Premissas!$C$42</f>
        <v>2795.6525</v>
      </c>
      <c r="J19" s="33" t="n">
        <f aca="false">$G19*Premissas!$D$42</f>
        <v>1491.01466666667</v>
      </c>
      <c r="K19" s="33" t="n">
        <f aca="false">$G19*Premissas!$E$42</f>
        <v>745.507333333333</v>
      </c>
      <c r="L19" s="33" t="n">
        <f aca="false">$G19*Premissas!$F$42</f>
        <v>559.1305</v>
      </c>
    </row>
    <row r="20" customFormat="false" ht="15" hidden="false" customHeight="true" outlineLevel="0" collapsed="false">
      <c r="A20" s="32" t="n">
        <v>2026</v>
      </c>
      <c r="B20" s="32" t="n">
        <v>7</v>
      </c>
      <c r="C20" s="32" t="s">
        <v>166</v>
      </c>
      <c r="D20" s="32" t="s">
        <v>141</v>
      </c>
      <c r="E20" s="78" t="n">
        <f aca="false">SUMIFS(DRE_por_UN!$H:$H,DRE_por_UN!$C:$C,$C20,DRE_por_UN!$E:$E,$D20)</f>
        <v>31849.64</v>
      </c>
      <c r="F20" s="44" t="n">
        <f aca="false">IF($A20=2025,VLOOKUP($D20,Premissas!$A$52:$P$56,12,0),IF($A20=2026,VLOOKUP($D20,Premissas!$A$52:$P$56,13,0),VLOOKUP($D20,Premissas!$A$52:$P$56,14,0)))</f>
        <v>25</v>
      </c>
      <c r="G20" s="33" t="n">
        <f aca="false">E20*F20/30</f>
        <v>26541.3666666667</v>
      </c>
      <c r="H20" s="33" t="n">
        <f aca="false">$G20*Premissas!$B$42</f>
        <v>18578.9566666667</v>
      </c>
      <c r="I20" s="33" t="n">
        <f aca="false">$G20*Premissas!$C$42</f>
        <v>3981.205</v>
      </c>
      <c r="J20" s="33" t="n">
        <f aca="false">$G20*Premissas!$D$42</f>
        <v>2123.30933333333</v>
      </c>
      <c r="K20" s="33" t="n">
        <f aca="false">$G20*Premissas!$E$42</f>
        <v>1061.65466666667</v>
      </c>
      <c r="L20" s="33" t="n">
        <f aca="false">$G20*Premissas!$F$42</f>
        <v>796.241</v>
      </c>
    </row>
    <row r="21" customFormat="false" ht="15" hidden="false" customHeight="true" outlineLevel="0" collapsed="false">
      <c r="A21" s="32" t="n">
        <v>2026</v>
      </c>
      <c r="B21" s="32" t="n">
        <v>8</v>
      </c>
      <c r="C21" s="32" t="s">
        <v>167</v>
      </c>
      <c r="D21" s="32" t="s">
        <v>141</v>
      </c>
      <c r="E21" s="78" t="n">
        <f aca="false">SUMIFS(DRE_por_UN!$H:$H,DRE_por_UN!$C:$C,$C21,DRE_por_UN!$E:$E,$D21)</f>
        <v>27835.27</v>
      </c>
      <c r="F21" s="44" t="n">
        <f aca="false">IF($A21=2025,VLOOKUP($D21,Premissas!$A$52:$P$56,12,0),IF($A21=2026,VLOOKUP($D21,Premissas!$A$52:$P$56,13,0),VLOOKUP($D21,Premissas!$A$52:$P$56,14,0)))</f>
        <v>25</v>
      </c>
      <c r="G21" s="33" t="n">
        <f aca="false">E21*F21/30</f>
        <v>23196.0583333333</v>
      </c>
      <c r="H21" s="33" t="n">
        <f aca="false">$G21*Premissas!$B$42</f>
        <v>16237.2408333333</v>
      </c>
      <c r="I21" s="33" t="n">
        <f aca="false">$G21*Premissas!$C$42</f>
        <v>3479.40875</v>
      </c>
      <c r="J21" s="33" t="n">
        <f aca="false">$G21*Premissas!$D$42</f>
        <v>1855.68466666667</v>
      </c>
      <c r="K21" s="33" t="n">
        <f aca="false">$G21*Premissas!$E$42</f>
        <v>927.842333333334</v>
      </c>
      <c r="L21" s="33" t="n">
        <f aca="false">$G21*Premissas!$F$42</f>
        <v>695.88175</v>
      </c>
    </row>
    <row r="22" customFormat="false" ht="15" hidden="false" customHeight="true" outlineLevel="0" collapsed="false">
      <c r="A22" s="32" t="n">
        <v>2026</v>
      </c>
      <c r="B22" s="32" t="n">
        <v>9</v>
      </c>
      <c r="C22" s="32" t="s">
        <v>168</v>
      </c>
      <c r="D22" s="32" t="s">
        <v>141</v>
      </c>
      <c r="E22" s="78" t="n">
        <f aca="false">SUMIFS(DRE_por_UN!$H:$H,DRE_por_UN!$C:$C,$C22,DRE_por_UN!$E:$E,$D22)</f>
        <v>28878.48</v>
      </c>
      <c r="F22" s="44" t="n">
        <f aca="false">IF($A22=2025,VLOOKUP($D22,Premissas!$A$52:$P$56,12,0),IF($A22=2026,VLOOKUP($D22,Premissas!$A$52:$P$56,13,0),VLOOKUP($D22,Premissas!$A$52:$P$56,14,0)))</f>
        <v>25</v>
      </c>
      <c r="G22" s="33" t="n">
        <f aca="false">E22*F22/30</f>
        <v>24065.4</v>
      </c>
      <c r="H22" s="33" t="n">
        <f aca="false">$G22*Premissas!$B$42</f>
        <v>16845.78</v>
      </c>
      <c r="I22" s="33" t="n">
        <f aca="false">$G22*Premissas!$C$42</f>
        <v>3609.81</v>
      </c>
      <c r="J22" s="33" t="n">
        <f aca="false">$G22*Premissas!$D$42</f>
        <v>1925.232</v>
      </c>
      <c r="K22" s="33" t="n">
        <f aca="false">$G22*Premissas!$E$42</f>
        <v>962.616</v>
      </c>
      <c r="L22" s="33" t="n">
        <f aca="false">$G22*Premissas!$F$42</f>
        <v>721.962</v>
      </c>
    </row>
    <row r="23" customFormat="false" ht="15" hidden="false" customHeight="true" outlineLevel="0" collapsed="false">
      <c r="A23" s="32" t="n">
        <v>2026</v>
      </c>
      <c r="B23" s="32" t="n">
        <v>10</v>
      </c>
      <c r="C23" s="32" t="s">
        <v>169</v>
      </c>
      <c r="D23" s="32" t="s">
        <v>141</v>
      </c>
      <c r="E23" s="78" t="n">
        <f aca="false">SUMIFS(DRE_por_UN!$H:$H,DRE_por_UN!$C:$C,$C23,DRE_por_UN!$E:$E,$D23)</f>
        <v>28929.33</v>
      </c>
      <c r="F23" s="44" t="n">
        <f aca="false">IF($A23=2025,VLOOKUP($D23,Premissas!$A$52:$P$56,12,0),IF($A23=2026,VLOOKUP($D23,Premissas!$A$52:$P$56,13,0),VLOOKUP($D23,Premissas!$A$52:$P$56,14,0)))</f>
        <v>25</v>
      </c>
      <c r="G23" s="33" t="n">
        <f aca="false">E23*F23/30</f>
        <v>24107.775</v>
      </c>
      <c r="H23" s="33" t="n">
        <f aca="false">$G23*Premissas!$B$42</f>
        <v>16875.4425</v>
      </c>
      <c r="I23" s="33" t="n">
        <f aca="false">$G23*Premissas!$C$42</f>
        <v>3616.16625</v>
      </c>
      <c r="J23" s="33" t="n">
        <f aca="false">$G23*Premissas!$D$42</f>
        <v>1928.622</v>
      </c>
      <c r="K23" s="33" t="n">
        <f aca="false">$G23*Premissas!$E$42</f>
        <v>964.311</v>
      </c>
      <c r="L23" s="33" t="n">
        <f aca="false">$G23*Premissas!$F$42</f>
        <v>723.23325</v>
      </c>
    </row>
    <row r="24" customFormat="false" ht="15" hidden="false" customHeight="true" outlineLevel="0" collapsed="false">
      <c r="A24" s="32" t="n">
        <v>2026</v>
      </c>
      <c r="B24" s="32" t="n">
        <v>11</v>
      </c>
      <c r="C24" s="32" t="s">
        <v>170</v>
      </c>
      <c r="D24" s="32" t="s">
        <v>141</v>
      </c>
      <c r="E24" s="78" t="n">
        <f aca="false">SUMIFS(DRE_por_UN!$H:$H,DRE_por_UN!$C:$C,$C24,DRE_por_UN!$E:$E,$D24)</f>
        <v>34294.72</v>
      </c>
      <c r="F24" s="44" t="n">
        <f aca="false">IF($A24=2025,VLOOKUP($D24,Premissas!$A$52:$P$56,12,0),IF($A24=2026,VLOOKUP($D24,Premissas!$A$52:$P$56,13,0),VLOOKUP($D24,Premissas!$A$52:$P$56,14,0)))</f>
        <v>25</v>
      </c>
      <c r="G24" s="33" t="n">
        <f aca="false">E24*F24/30</f>
        <v>28578.9333333333</v>
      </c>
      <c r="H24" s="33" t="n">
        <f aca="false">$G24*Premissas!$B$42</f>
        <v>20005.2533333333</v>
      </c>
      <c r="I24" s="33" t="n">
        <f aca="false">$G24*Premissas!$C$42</f>
        <v>4286.84</v>
      </c>
      <c r="J24" s="33" t="n">
        <f aca="false">$G24*Premissas!$D$42</f>
        <v>2286.31466666667</v>
      </c>
      <c r="K24" s="33" t="n">
        <f aca="false">$G24*Premissas!$E$42</f>
        <v>1143.15733333333</v>
      </c>
      <c r="L24" s="33" t="n">
        <f aca="false">$G24*Premissas!$F$42</f>
        <v>857.368</v>
      </c>
    </row>
    <row r="25" customFormat="false" ht="15" hidden="false" customHeight="true" outlineLevel="0" collapsed="false">
      <c r="A25" s="32" t="n">
        <v>2026</v>
      </c>
      <c r="B25" s="32" t="n">
        <v>12</v>
      </c>
      <c r="C25" s="32" t="s">
        <v>171</v>
      </c>
      <c r="D25" s="32" t="s">
        <v>141</v>
      </c>
      <c r="E25" s="78" t="n">
        <f aca="false">SUMIFS(DRE_por_UN!$H:$H,DRE_por_UN!$C:$C,$C25,DRE_por_UN!$E:$E,$D25)</f>
        <v>34049.43</v>
      </c>
      <c r="F25" s="44" t="n">
        <f aca="false">IF($A25=2025,VLOOKUP($D25,Premissas!$A$52:$P$56,12,0),IF($A25=2026,VLOOKUP($D25,Premissas!$A$52:$P$56,13,0),VLOOKUP($D25,Premissas!$A$52:$P$56,14,0)))</f>
        <v>25</v>
      </c>
      <c r="G25" s="33" t="n">
        <f aca="false">E25*F25/30</f>
        <v>28374.525</v>
      </c>
      <c r="H25" s="33" t="n">
        <f aca="false">$G25*Premissas!$B$42</f>
        <v>19862.1675</v>
      </c>
      <c r="I25" s="33" t="n">
        <f aca="false">$G25*Premissas!$C$42</f>
        <v>4256.17875</v>
      </c>
      <c r="J25" s="33" t="n">
        <f aca="false">$G25*Premissas!$D$42</f>
        <v>2269.962</v>
      </c>
      <c r="K25" s="33" t="n">
        <f aca="false">$G25*Premissas!$E$42</f>
        <v>1134.981</v>
      </c>
      <c r="L25" s="33" t="n">
        <f aca="false">$G25*Premissas!$F$42</f>
        <v>851.23575</v>
      </c>
    </row>
    <row r="26" customFormat="false" ht="15" hidden="false" customHeight="true" outlineLevel="0" collapsed="false">
      <c r="A26" s="32" t="n">
        <v>2027</v>
      </c>
      <c r="B26" s="32" t="n">
        <v>1</v>
      </c>
      <c r="C26" s="32" t="s">
        <v>172</v>
      </c>
      <c r="D26" s="32" t="s">
        <v>141</v>
      </c>
      <c r="E26" s="78" t="n">
        <f aca="false">SUMIFS(DRE_por_UN!$H:$H,DRE_por_UN!$C:$C,$C26,DRE_por_UN!$E:$E,$D26)</f>
        <v>21982.65053292</v>
      </c>
      <c r="F26" s="44" t="n">
        <f aca="false">IF($A26=2025,VLOOKUP($D26,Premissas!$A$52:$P$56,12,0),IF($A26=2026,VLOOKUP($D26,Premissas!$A$52:$P$56,13,0),VLOOKUP($D26,Premissas!$A$52:$P$56,14,0)))</f>
        <v>25</v>
      </c>
      <c r="G26" s="33" t="n">
        <f aca="false">E26*F26/30</f>
        <v>18318.8754441</v>
      </c>
      <c r="H26" s="33" t="n">
        <f aca="false">$G26*Premissas!$B$42</f>
        <v>12823.21281087</v>
      </c>
      <c r="I26" s="33" t="n">
        <f aca="false">$G26*Premissas!$C$42</f>
        <v>2747.831316615</v>
      </c>
      <c r="J26" s="33" t="n">
        <f aca="false">$G26*Premissas!$D$42</f>
        <v>1465.510035528</v>
      </c>
      <c r="K26" s="33" t="n">
        <f aca="false">$G26*Premissas!$E$42</f>
        <v>732.755017764</v>
      </c>
      <c r="L26" s="33" t="n">
        <f aca="false">$G26*Premissas!$F$42</f>
        <v>549.566263323</v>
      </c>
    </row>
    <row r="27" customFormat="false" ht="15" hidden="false" customHeight="true" outlineLevel="0" collapsed="false">
      <c r="A27" s="32" t="n">
        <v>2027</v>
      </c>
      <c r="B27" s="32" t="n">
        <v>2</v>
      </c>
      <c r="C27" s="32" t="s">
        <v>173</v>
      </c>
      <c r="D27" s="32" t="s">
        <v>141</v>
      </c>
      <c r="E27" s="78" t="n">
        <f aca="false">SUMIFS(DRE_por_UN!$H:$H,DRE_por_UN!$C:$C,$C27,DRE_por_UN!$E:$E,$D27)</f>
        <v>18846.40706172</v>
      </c>
      <c r="F27" s="44" t="n">
        <f aca="false">IF($A27=2025,VLOOKUP($D27,Premissas!$A$52:$P$56,12,0),IF($A27=2026,VLOOKUP($D27,Premissas!$A$52:$P$56,13,0),VLOOKUP($D27,Premissas!$A$52:$P$56,14,0)))</f>
        <v>25</v>
      </c>
      <c r="G27" s="33" t="n">
        <f aca="false">E27*F27/30</f>
        <v>15705.3392181</v>
      </c>
      <c r="H27" s="33" t="n">
        <f aca="false">$G27*Premissas!$B$42</f>
        <v>10993.73745267</v>
      </c>
      <c r="I27" s="33" t="n">
        <f aca="false">$G27*Premissas!$C$42</f>
        <v>2355.800882715</v>
      </c>
      <c r="J27" s="33" t="n">
        <f aca="false">$G27*Premissas!$D$42</f>
        <v>1256.427137448</v>
      </c>
      <c r="K27" s="33" t="n">
        <f aca="false">$G27*Premissas!$E$42</f>
        <v>628.213568724</v>
      </c>
      <c r="L27" s="33" t="n">
        <f aca="false">$G27*Premissas!$F$42</f>
        <v>471.160176543</v>
      </c>
    </row>
    <row r="28" customFormat="false" ht="15" hidden="false" customHeight="true" outlineLevel="0" collapsed="false">
      <c r="A28" s="32" t="n">
        <v>2027</v>
      </c>
      <c r="B28" s="32" t="n">
        <v>3</v>
      </c>
      <c r="C28" s="32" t="s">
        <v>174</v>
      </c>
      <c r="D28" s="32" t="s">
        <v>141</v>
      </c>
      <c r="E28" s="78" t="n">
        <f aca="false">SUMIFS(DRE_por_UN!$H:$H,DRE_por_UN!$C:$C,$C28,DRE_por_UN!$E:$E,$D28)</f>
        <v>27695.08934892</v>
      </c>
      <c r="F28" s="44" t="n">
        <f aca="false">IF($A28=2025,VLOOKUP($D28,Premissas!$A$52:$P$56,12,0),IF($A28=2026,VLOOKUP($D28,Premissas!$A$52:$P$56,13,0),VLOOKUP($D28,Premissas!$A$52:$P$56,14,0)))</f>
        <v>25</v>
      </c>
      <c r="G28" s="33" t="n">
        <f aca="false">E28*F28/30</f>
        <v>23079.2411241</v>
      </c>
      <c r="H28" s="33" t="n">
        <f aca="false">$G28*Premissas!$B$42</f>
        <v>16155.46878687</v>
      </c>
      <c r="I28" s="33" t="n">
        <f aca="false">$G28*Premissas!$C$42</f>
        <v>3461.886168615</v>
      </c>
      <c r="J28" s="33" t="n">
        <f aca="false">$G28*Premissas!$D$42</f>
        <v>1846.339289928</v>
      </c>
      <c r="K28" s="33" t="n">
        <f aca="false">$G28*Premissas!$E$42</f>
        <v>923.169644964</v>
      </c>
      <c r="L28" s="33" t="n">
        <f aca="false">$G28*Premissas!$F$42</f>
        <v>692.377233723</v>
      </c>
    </row>
    <row r="29" customFormat="false" ht="15" hidden="false" customHeight="true" outlineLevel="0" collapsed="false">
      <c r="A29" s="32" t="n">
        <v>2027</v>
      </c>
      <c r="B29" s="32" t="n">
        <v>4</v>
      </c>
      <c r="C29" s="32" t="s">
        <v>175</v>
      </c>
      <c r="D29" s="32" t="s">
        <v>141</v>
      </c>
      <c r="E29" s="78" t="n">
        <f aca="false">SUMIFS(DRE_por_UN!$H:$H,DRE_por_UN!$C:$C,$C29,DRE_por_UN!$E:$E,$D29)</f>
        <v>21404.87145468</v>
      </c>
      <c r="F29" s="44" t="n">
        <f aca="false">IF($A29=2025,VLOOKUP($D29,Premissas!$A$52:$P$56,12,0),IF($A29=2026,VLOOKUP($D29,Premissas!$A$52:$P$56,13,0),VLOOKUP($D29,Premissas!$A$52:$P$56,14,0)))</f>
        <v>25</v>
      </c>
      <c r="G29" s="33" t="n">
        <f aca="false">E29*F29/30</f>
        <v>17837.3928789</v>
      </c>
      <c r="H29" s="33" t="n">
        <f aca="false">$G29*Premissas!$B$42</f>
        <v>12486.17501523</v>
      </c>
      <c r="I29" s="33" t="n">
        <f aca="false">$G29*Premissas!$C$42</f>
        <v>2675.608931835</v>
      </c>
      <c r="J29" s="33" t="n">
        <f aca="false">$G29*Premissas!$D$42</f>
        <v>1426.991430312</v>
      </c>
      <c r="K29" s="33" t="n">
        <f aca="false">$G29*Premissas!$E$42</f>
        <v>713.495715156</v>
      </c>
      <c r="L29" s="33" t="n">
        <f aca="false">$G29*Premissas!$F$42</f>
        <v>535.121786367</v>
      </c>
    </row>
    <row r="30" customFormat="false" ht="15" hidden="false" customHeight="true" outlineLevel="0" collapsed="false">
      <c r="A30" s="32" t="n">
        <v>2027</v>
      </c>
      <c r="B30" s="32" t="n">
        <v>5</v>
      </c>
      <c r="C30" s="32" t="s">
        <v>176</v>
      </c>
      <c r="D30" s="32" t="s">
        <v>141</v>
      </c>
      <c r="E30" s="78" t="n">
        <f aca="false">SUMIFS(DRE_por_UN!$H:$H,DRE_por_UN!$C:$C,$C30,DRE_por_UN!$E:$E,$D30)</f>
        <v>27636.43530816</v>
      </c>
      <c r="F30" s="44" t="n">
        <f aca="false">IF($A30=2025,VLOOKUP($D30,Premissas!$A$52:$P$56,12,0),IF($A30=2026,VLOOKUP($D30,Premissas!$A$52:$P$56,13,0),VLOOKUP($D30,Premissas!$A$52:$P$56,14,0)))</f>
        <v>25</v>
      </c>
      <c r="G30" s="33" t="n">
        <f aca="false">E30*F30/30</f>
        <v>23030.3627568</v>
      </c>
      <c r="H30" s="33" t="n">
        <f aca="false">$G30*Premissas!$B$42</f>
        <v>16121.25392976</v>
      </c>
      <c r="I30" s="33" t="n">
        <f aca="false">$G30*Premissas!$C$42</f>
        <v>3454.55441352</v>
      </c>
      <c r="J30" s="33" t="n">
        <f aca="false">$G30*Premissas!$D$42</f>
        <v>1842.429020544</v>
      </c>
      <c r="K30" s="33" t="n">
        <f aca="false">$G30*Premissas!$E$42</f>
        <v>921.214510272</v>
      </c>
      <c r="L30" s="33" t="n">
        <f aca="false">$G30*Premissas!$F$42</f>
        <v>690.910882704</v>
      </c>
    </row>
    <row r="31" customFormat="false" ht="15" hidden="false" customHeight="true" outlineLevel="0" collapsed="false">
      <c r="A31" s="32" t="n">
        <v>2027</v>
      </c>
      <c r="B31" s="32" t="n">
        <v>6</v>
      </c>
      <c r="C31" s="32" t="s">
        <v>177</v>
      </c>
      <c r="D31" s="32" t="s">
        <v>141</v>
      </c>
      <c r="E31" s="78" t="n">
        <f aca="false">SUMIFS(DRE_por_UN!$H:$H,DRE_por_UN!$C:$C,$C31,DRE_por_UN!$E:$E,$D31)</f>
        <v>23598.41931972</v>
      </c>
      <c r="F31" s="44" t="n">
        <f aca="false">IF($A31=2025,VLOOKUP($D31,Premissas!$A$52:$P$56,12,0),IF($A31=2026,VLOOKUP($D31,Premissas!$A$52:$P$56,13,0),VLOOKUP($D31,Premissas!$A$52:$P$56,14,0)))</f>
        <v>25</v>
      </c>
      <c r="G31" s="33" t="n">
        <f aca="false">E31*F31/30</f>
        <v>19665.3494331</v>
      </c>
      <c r="H31" s="33" t="n">
        <f aca="false">$G31*Premissas!$B$42</f>
        <v>13765.74460317</v>
      </c>
      <c r="I31" s="33" t="n">
        <f aca="false">$G31*Premissas!$C$42</f>
        <v>2949.802414965</v>
      </c>
      <c r="J31" s="33" t="n">
        <f aca="false">$G31*Premissas!$D$42</f>
        <v>1573.227954648</v>
      </c>
      <c r="K31" s="33" t="n">
        <f aca="false">$G31*Premissas!$E$42</f>
        <v>786.613977324</v>
      </c>
      <c r="L31" s="33" t="n">
        <f aca="false">$G31*Premissas!$F$42</f>
        <v>589.960482993</v>
      </c>
    </row>
    <row r="32" customFormat="false" ht="15" hidden="false" customHeight="true" outlineLevel="0" collapsed="false">
      <c r="A32" s="32" t="n">
        <v>2027</v>
      </c>
      <c r="B32" s="32" t="n">
        <v>7</v>
      </c>
      <c r="C32" s="32" t="s">
        <v>178</v>
      </c>
      <c r="D32" s="32" t="s">
        <v>141</v>
      </c>
      <c r="E32" s="78" t="n">
        <f aca="false">SUMIFS(DRE_por_UN!$H:$H,DRE_por_UN!$C:$C,$C32,DRE_por_UN!$E:$E,$D32)</f>
        <v>33840.0813744</v>
      </c>
      <c r="F32" s="44" t="n">
        <f aca="false">IF($A32=2025,VLOOKUP($D32,Premissas!$A$52:$P$56,12,0),IF($A32=2026,VLOOKUP($D32,Premissas!$A$52:$P$56,13,0),VLOOKUP($D32,Premissas!$A$52:$P$56,14,0)))</f>
        <v>25</v>
      </c>
      <c r="G32" s="33" t="n">
        <f aca="false">E32*F32/30</f>
        <v>28200.067812</v>
      </c>
      <c r="H32" s="33" t="n">
        <f aca="false">$G32*Premissas!$B$42</f>
        <v>19740.0474684</v>
      </c>
      <c r="I32" s="33" t="n">
        <f aca="false">$G32*Premissas!$C$42</f>
        <v>4230.0101718</v>
      </c>
      <c r="J32" s="33" t="n">
        <f aca="false">$G32*Premissas!$D$42</f>
        <v>2256.00542496</v>
      </c>
      <c r="K32" s="33" t="n">
        <f aca="false">$G32*Premissas!$E$42</f>
        <v>1128.00271248</v>
      </c>
      <c r="L32" s="33" t="n">
        <f aca="false">$G32*Premissas!$F$42</f>
        <v>846.00203436</v>
      </c>
    </row>
    <row r="33" customFormat="false" ht="15" hidden="false" customHeight="true" outlineLevel="0" collapsed="false">
      <c r="A33" s="32" t="n">
        <v>2027</v>
      </c>
      <c r="B33" s="32" t="n">
        <v>8</v>
      </c>
      <c r="C33" s="32" t="s">
        <v>179</v>
      </c>
      <c r="D33" s="32" t="s">
        <v>141</v>
      </c>
      <c r="E33" s="78" t="n">
        <f aca="false">SUMIFS(DRE_por_UN!$H:$H,DRE_por_UN!$C:$C,$C33,DRE_por_UN!$E:$E,$D33)</f>
        <v>30121.56750456</v>
      </c>
      <c r="F33" s="44" t="n">
        <f aca="false">IF($A33=2025,VLOOKUP($D33,Premissas!$A$52:$P$56,12,0),IF($A33=2026,VLOOKUP($D33,Premissas!$A$52:$P$56,13,0),VLOOKUP($D33,Premissas!$A$52:$P$56,14,0)))</f>
        <v>25</v>
      </c>
      <c r="G33" s="33" t="n">
        <f aca="false">E33*F33/30</f>
        <v>25101.3062538</v>
      </c>
      <c r="H33" s="33" t="n">
        <f aca="false">$G33*Premissas!$B$42</f>
        <v>17570.91437766</v>
      </c>
      <c r="I33" s="33" t="n">
        <f aca="false">$G33*Premissas!$C$42</f>
        <v>3765.19593807</v>
      </c>
      <c r="J33" s="33" t="n">
        <f aca="false">$G33*Premissas!$D$42</f>
        <v>2008.104500304</v>
      </c>
      <c r="K33" s="33" t="n">
        <f aca="false">$G33*Premissas!$E$42</f>
        <v>1004.052250152</v>
      </c>
      <c r="L33" s="33" t="n">
        <f aca="false">$G33*Premissas!$F$42</f>
        <v>753.039187614</v>
      </c>
    </row>
    <row r="34" customFormat="false" ht="15" hidden="false" customHeight="true" outlineLevel="0" collapsed="false">
      <c r="A34" s="32" t="n">
        <v>2027</v>
      </c>
      <c r="B34" s="32" t="n">
        <v>9</v>
      </c>
      <c r="C34" s="32" t="s">
        <v>180</v>
      </c>
      <c r="D34" s="32" t="s">
        <v>141</v>
      </c>
      <c r="E34" s="78" t="n">
        <f aca="false">SUMIFS(DRE_por_UN!$H:$H,DRE_por_UN!$C:$C,$C34,DRE_por_UN!$E:$E,$D34)</f>
        <v>30292.81048584</v>
      </c>
      <c r="F34" s="44" t="n">
        <f aca="false">IF($A34=2025,VLOOKUP($D34,Premissas!$A$52:$P$56,12,0),IF($A34=2026,VLOOKUP($D34,Premissas!$A$52:$P$56,13,0),VLOOKUP($D34,Premissas!$A$52:$P$56,14,0)))</f>
        <v>25</v>
      </c>
      <c r="G34" s="33" t="n">
        <f aca="false">E34*F34/30</f>
        <v>25244.0087382</v>
      </c>
      <c r="H34" s="33" t="n">
        <f aca="false">$G34*Premissas!$B$42</f>
        <v>17670.80611674</v>
      </c>
      <c r="I34" s="33" t="n">
        <f aca="false">$G34*Premissas!$C$42</f>
        <v>3786.60131073</v>
      </c>
      <c r="J34" s="33" t="n">
        <f aca="false">$G34*Premissas!$D$42</f>
        <v>2019.520699056</v>
      </c>
      <c r="K34" s="33" t="n">
        <f aca="false">$G34*Premissas!$E$42</f>
        <v>1009.760349528</v>
      </c>
      <c r="L34" s="33" t="n">
        <f aca="false">$G34*Premissas!$F$42</f>
        <v>757.320262146</v>
      </c>
    </row>
    <row r="35" customFormat="false" ht="15" hidden="false" customHeight="true" outlineLevel="0" collapsed="false">
      <c r="A35" s="32" t="n">
        <v>2027</v>
      </c>
      <c r="B35" s="32" t="n">
        <v>10</v>
      </c>
      <c r="C35" s="32" t="s">
        <v>181</v>
      </c>
      <c r="D35" s="32" t="s">
        <v>141</v>
      </c>
      <c r="E35" s="78" t="n">
        <f aca="false">SUMIFS(DRE_por_UN!$H:$H,DRE_por_UN!$C:$C,$C35,DRE_por_UN!$E:$E,$D35)</f>
        <v>31041.9562194</v>
      </c>
      <c r="F35" s="44" t="n">
        <f aca="false">IF($A35=2025,VLOOKUP($D35,Premissas!$A$52:$P$56,12,0),IF($A35=2026,VLOOKUP($D35,Premissas!$A$52:$P$56,13,0),VLOOKUP($D35,Premissas!$A$52:$P$56,14,0)))</f>
        <v>25</v>
      </c>
      <c r="G35" s="33" t="n">
        <f aca="false">E35*F35/30</f>
        <v>25868.2968495</v>
      </c>
      <c r="H35" s="33" t="n">
        <f aca="false">$G35*Premissas!$B$42</f>
        <v>18107.80779465</v>
      </c>
      <c r="I35" s="33" t="n">
        <f aca="false">$G35*Premissas!$C$42</f>
        <v>3880.244527425</v>
      </c>
      <c r="J35" s="33" t="n">
        <f aca="false">$G35*Premissas!$D$42</f>
        <v>2069.46374796</v>
      </c>
      <c r="K35" s="33" t="n">
        <f aca="false">$G35*Premissas!$E$42</f>
        <v>1034.73187398</v>
      </c>
      <c r="L35" s="33" t="n">
        <f aca="false">$G35*Premissas!$F$42</f>
        <v>776.048905485</v>
      </c>
    </row>
    <row r="36" customFormat="false" ht="15" hidden="false" customHeight="true" outlineLevel="0" collapsed="false">
      <c r="A36" s="32" t="n">
        <v>2027</v>
      </c>
      <c r="B36" s="32" t="n">
        <v>11</v>
      </c>
      <c r="C36" s="32" t="s">
        <v>182</v>
      </c>
      <c r="D36" s="32" t="s">
        <v>141</v>
      </c>
      <c r="E36" s="78" t="n">
        <f aca="false">SUMIFS(DRE_por_UN!$H:$H,DRE_por_UN!$C:$C,$C36,DRE_por_UN!$E:$E,$D36)</f>
        <v>36021.5612568</v>
      </c>
      <c r="F36" s="44" t="n">
        <f aca="false">IF($A36=2025,VLOOKUP($D36,Premissas!$A$52:$P$56,12,0),IF($A36=2026,VLOOKUP($D36,Premissas!$A$52:$P$56,13,0),VLOOKUP($D36,Premissas!$A$52:$P$56,14,0)))</f>
        <v>25</v>
      </c>
      <c r="G36" s="33" t="n">
        <f aca="false">E36*F36/30</f>
        <v>30017.967714</v>
      </c>
      <c r="H36" s="33" t="n">
        <f aca="false">$G36*Premissas!$B$42</f>
        <v>21012.5773998</v>
      </c>
      <c r="I36" s="33" t="n">
        <f aca="false">$G36*Premissas!$C$42</f>
        <v>4502.6951571</v>
      </c>
      <c r="J36" s="33" t="n">
        <f aca="false">$G36*Premissas!$D$42</f>
        <v>2401.43741712</v>
      </c>
      <c r="K36" s="33" t="n">
        <f aca="false">$G36*Premissas!$E$42</f>
        <v>1200.71870856</v>
      </c>
      <c r="L36" s="33" t="n">
        <f aca="false">$G36*Premissas!$F$42</f>
        <v>900.53903142</v>
      </c>
    </row>
    <row r="37" customFormat="false" ht="15" hidden="false" customHeight="true" outlineLevel="0" collapsed="false">
      <c r="A37" s="32" t="n">
        <v>2027</v>
      </c>
      <c r="B37" s="32" t="n">
        <v>12</v>
      </c>
      <c r="C37" s="32" t="s">
        <v>183</v>
      </c>
      <c r="D37" s="32" t="s">
        <v>141</v>
      </c>
      <c r="E37" s="78" t="n">
        <f aca="false">SUMIFS(DRE_por_UN!$H:$H,DRE_por_UN!$C:$C,$C37,DRE_por_UN!$E:$E,$D37)</f>
        <v>36628.13685888</v>
      </c>
      <c r="F37" s="44" t="n">
        <f aca="false">IF($A37=2025,VLOOKUP($D37,Premissas!$A$52:$P$56,12,0),IF($A37=2026,VLOOKUP($D37,Premissas!$A$52:$P$56,13,0),VLOOKUP($D37,Premissas!$A$52:$P$56,14,0)))</f>
        <v>25</v>
      </c>
      <c r="G37" s="33" t="n">
        <f aca="false">E37*F37/30</f>
        <v>30523.4473824</v>
      </c>
      <c r="H37" s="33" t="n">
        <f aca="false">$G37*Premissas!$B$42</f>
        <v>21366.41316768</v>
      </c>
      <c r="I37" s="33" t="n">
        <f aca="false">$G37*Premissas!$C$42</f>
        <v>4578.51710736</v>
      </c>
      <c r="J37" s="33" t="n">
        <f aca="false">$G37*Premissas!$D$42</f>
        <v>2441.875790592</v>
      </c>
      <c r="K37" s="33" t="n">
        <f aca="false">$G37*Premissas!$E$42</f>
        <v>1220.937895296</v>
      </c>
      <c r="L37" s="33" t="n">
        <f aca="false">$G37*Premissas!$F$42</f>
        <v>915.703421472</v>
      </c>
    </row>
    <row r="38" customFormat="false" ht="15" hidden="false" customHeight="true" outlineLevel="0" collapsed="false">
      <c r="A38" s="32" t="n">
        <v>2025</v>
      </c>
      <c r="B38" s="32" t="n">
        <v>1</v>
      </c>
      <c r="C38" s="32" t="s">
        <v>148</v>
      </c>
      <c r="D38" s="32" t="s">
        <v>142</v>
      </c>
      <c r="E38" s="78" t="n">
        <f aca="false">SUMIFS(DRE_por_UN!$H:$H,DRE_por_UN!$C:$C,$C38,DRE_por_UN!$E:$E,$D38)</f>
        <v>41155.6</v>
      </c>
      <c r="F38" s="44" t="n">
        <f aca="false">IF($A38=2025,VLOOKUP($D38,Premissas!$A$52:$P$56,12,0),IF($A38=2026,VLOOKUP($D38,Premissas!$A$52:$P$56,13,0),VLOOKUP($D38,Premissas!$A$52:$P$56,14,0)))</f>
        <v>8</v>
      </c>
      <c r="G38" s="33" t="n">
        <f aca="false">E38*F38/30</f>
        <v>10974.8266666667</v>
      </c>
      <c r="H38" s="33" t="n">
        <f aca="false">$G38*Premissas!$B$42</f>
        <v>7682.37866666667</v>
      </c>
      <c r="I38" s="33" t="n">
        <f aca="false">$G38*Premissas!$C$42</f>
        <v>1646.224</v>
      </c>
      <c r="J38" s="33" t="n">
        <f aca="false">$G38*Premissas!$D$42</f>
        <v>877.986133333333</v>
      </c>
      <c r="K38" s="33" t="n">
        <f aca="false">$G38*Premissas!$E$42</f>
        <v>438.993066666667</v>
      </c>
      <c r="L38" s="33" t="n">
        <f aca="false">$G38*Premissas!$F$42</f>
        <v>329.2448</v>
      </c>
    </row>
    <row r="39" customFormat="false" ht="15" hidden="false" customHeight="true" outlineLevel="0" collapsed="false">
      <c r="A39" s="32" t="n">
        <v>2025</v>
      </c>
      <c r="B39" s="32" t="n">
        <v>2</v>
      </c>
      <c r="C39" s="32" t="s">
        <v>149</v>
      </c>
      <c r="D39" s="32" t="s">
        <v>142</v>
      </c>
      <c r="E39" s="78" t="n">
        <f aca="false">SUMIFS(DRE_por_UN!$H:$H,DRE_por_UN!$C:$C,$C39,DRE_por_UN!$E:$E,$D39)</f>
        <v>41184.44</v>
      </c>
      <c r="F39" s="44" t="n">
        <f aca="false">IF($A39=2025,VLOOKUP($D39,Premissas!$A$52:$P$56,12,0),IF($A39=2026,VLOOKUP($D39,Premissas!$A$52:$P$56,13,0),VLOOKUP($D39,Premissas!$A$52:$P$56,14,0)))</f>
        <v>8</v>
      </c>
      <c r="G39" s="33" t="n">
        <f aca="false">E39*F39/30</f>
        <v>10982.5173333333</v>
      </c>
      <c r="H39" s="33" t="n">
        <f aca="false">$G39*Premissas!$B$42</f>
        <v>7687.76213333333</v>
      </c>
      <c r="I39" s="33" t="n">
        <f aca="false">$G39*Premissas!$C$42</f>
        <v>1647.3776</v>
      </c>
      <c r="J39" s="33" t="n">
        <f aca="false">$G39*Premissas!$D$42</f>
        <v>878.601386666667</v>
      </c>
      <c r="K39" s="33" t="n">
        <f aca="false">$G39*Premissas!$E$42</f>
        <v>439.300693333333</v>
      </c>
      <c r="L39" s="33" t="n">
        <f aca="false">$G39*Premissas!$F$42</f>
        <v>329.47552</v>
      </c>
    </row>
    <row r="40" customFormat="false" ht="15" hidden="false" customHeight="true" outlineLevel="0" collapsed="false">
      <c r="A40" s="32" t="n">
        <v>2025</v>
      </c>
      <c r="B40" s="32" t="n">
        <v>3</v>
      </c>
      <c r="C40" s="32" t="s">
        <v>150</v>
      </c>
      <c r="D40" s="32" t="s">
        <v>142</v>
      </c>
      <c r="E40" s="78" t="n">
        <f aca="false">SUMIFS(DRE_por_UN!$H:$H,DRE_por_UN!$C:$C,$C40,DRE_por_UN!$E:$E,$D40)</f>
        <v>40849.15</v>
      </c>
      <c r="F40" s="44" t="n">
        <f aca="false">IF($A40=2025,VLOOKUP($D40,Premissas!$A$52:$P$56,12,0),IF($A40=2026,VLOOKUP($D40,Premissas!$A$52:$P$56,13,0),VLOOKUP($D40,Premissas!$A$52:$P$56,14,0)))</f>
        <v>8</v>
      </c>
      <c r="G40" s="33" t="n">
        <f aca="false">E40*F40/30</f>
        <v>10893.1066666667</v>
      </c>
      <c r="H40" s="33" t="n">
        <f aca="false">$G40*Premissas!$B$42</f>
        <v>7625.17466666667</v>
      </c>
      <c r="I40" s="33" t="n">
        <f aca="false">$G40*Premissas!$C$42</f>
        <v>1633.966</v>
      </c>
      <c r="J40" s="33" t="n">
        <f aca="false">$G40*Premissas!$D$42</f>
        <v>871.448533333333</v>
      </c>
      <c r="K40" s="33" t="n">
        <f aca="false">$G40*Premissas!$E$42</f>
        <v>435.724266666667</v>
      </c>
      <c r="L40" s="33" t="n">
        <f aca="false">$G40*Premissas!$F$42</f>
        <v>326.7932</v>
      </c>
    </row>
    <row r="41" customFormat="false" ht="15" hidden="false" customHeight="true" outlineLevel="0" collapsed="false">
      <c r="A41" s="32" t="n">
        <v>2025</v>
      </c>
      <c r="B41" s="32" t="n">
        <v>4</v>
      </c>
      <c r="C41" s="32" t="s">
        <v>151</v>
      </c>
      <c r="D41" s="32" t="s">
        <v>142</v>
      </c>
      <c r="E41" s="78" t="n">
        <f aca="false">SUMIFS(DRE_por_UN!$H:$H,DRE_por_UN!$C:$C,$C41,DRE_por_UN!$E:$E,$D41)</f>
        <v>48000.41</v>
      </c>
      <c r="F41" s="44" t="n">
        <f aca="false">IF($A41=2025,VLOOKUP($D41,Premissas!$A$52:$P$56,12,0),IF($A41=2026,VLOOKUP($D41,Premissas!$A$52:$P$56,13,0),VLOOKUP($D41,Premissas!$A$52:$P$56,14,0)))</f>
        <v>8</v>
      </c>
      <c r="G41" s="33" t="n">
        <f aca="false">E41*F41/30</f>
        <v>12800.1093333333</v>
      </c>
      <c r="H41" s="33" t="n">
        <f aca="false">$G41*Premissas!$B$42</f>
        <v>8960.07653333333</v>
      </c>
      <c r="I41" s="33" t="n">
        <f aca="false">$G41*Premissas!$C$42</f>
        <v>1920.0164</v>
      </c>
      <c r="J41" s="33" t="n">
        <f aca="false">$G41*Premissas!$D$42</f>
        <v>1024.00874666667</v>
      </c>
      <c r="K41" s="33" t="n">
        <f aca="false">$G41*Premissas!$E$42</f>
        <v>512.004373333333</v>
      </c>
      <c r="L41" s="33" t="n">
        <f aca="false">$G41*Premissas!$F$42</f>
        <v>384.00328</v>
      </c>
    </row>
    <row r="42" customFormat="false" ht="15" hidden="false" customHeight="true" outlineLevel="0" collapsed="false">
      <c r="A42" s="32" t="n">
        <v>2025</v>
      </c>
      <c r="B42" s="32" t="n">
        <v>5</v>
      </c>
      <c r="C42" s="32" t="s">
        <v>152</v>
      </c>
      <c r="D42" s="32" t="s">
        <v>142</v>
      </c>
      <c r="E42" s="78" t="n">
        <f aca="false">SUMIFS(DRE_por_UN!$H:$H,DRE_por_UN!$C:$C,$C42,DRE_por_UN!$E:$E,$D42)</f>
        <v>44908.56</v>
      </c>
      <c r="F42" s="44" t="n">
        <f aca="false">IF($A42=2025,VLOOKUP($D42,Premissas!$A$52:$P$56,12,0),IF($A42=2026,VLOOKUP($D42,Premissas!$A$52:$P$56,13,0),VLOOKUP($D42,Premissas!$A$52:$P$56,14,0)))</f>
        <v>8</v>
      </c>
      <c r="G42" s="33" t="n">
        <f aca="false">E42*F42/30</f>
        <v>11975.616</v>
      </c>
      <c r="H42" s="33" t="n">
        <f aca="false">$G42*Premissas!$B$42</f>
        <v>8382.9312</v>
      </c>
      <c r="I42" s="33" t="n">
        <f aca="false">$G42*Premissas!$C$42</f>
        <v>1796.3424</v>
      </c>
      <c r="J42" s="33" t="n">
        <f aca="false">$G42*Premissas!$D$42</f>
        <v>958.04928</v>
      </c>
      <c r="K42" s="33" t="n">
        <f aca="false">$G42*Premissas!$E$42</f>
        <v>479.02464</v>
      </c>
      <c r="L42" s="33" t="n">
        <f aca="false">$G42*Premissas!$F$42</f>
        <v>359.26848</v>
      </c>
    </row>
    <row r="43" customFormat="false" ht="15" hidden="false" customHeight="true" outlineLevel="0" collapsed="false">
      <c r="A43" s="32" t="n">
        <v>2025</v>
      </c>
      <c r="B43" s="32" t="n">
        <v>6</v>
      </c>
      <c r="C43" s="32" t="s">
        <v>153</v>
      </c>
      <c r="D43" s="32" t="s">
        <v>142</v>
      </c>
      <c r="E43" s="78" t="n">
        <f aca="false">SUMIFS(DRE_por_UN!$H:$H,DRE_por_UN!$C:$C,$C43,DRE_por_UN!$E:$E,$D43)</f>
        <v>62436.42</v>
      </c>
      <c r="F43" s="44" t="n">
        <f aca="false">IF($A43=2025,VLOOKUP($D43,Premissas!$A$52:$P$56,12,0),IF($A43=2026,VLOOKUP($D43,Premissas!$A$52:$P$56,13,0),VLOOKUP($D43,Premissas!$A$52:$P$56,14,0)))</f>
        <v>8</v>
      </c>
      <c r="G43" s="33" t="n">
        <f aca="false">E43*F43/30</f>
        <v>16649.712</v>
      </c>
      <c r="H43" s="33" t="n">
        <f aca="false">$G43*Premissas!$B$42</f>
        <v>11654.7984</v>
      </c>
      <c r="I43" s="33" t="n">
        <f aca="false">$G43*Premissas!$C$42</f>
        <v>2497.4568</v>
      </c>
      <c r="J43" s="33" t="n">
        <f aca="false">$G43*Premissas!$D$42</f>
        <v>1331.97696</v>
      </c>
      <c r="K43" s="33" t="n">
        <f aca="false">$G43*Premissas!$E$42</f>
        <v>665.98848</v>
      </c>
      <c r="L43" s="33" t="n">
        <f aca="false">$G43*Premissas!$F$42</f>
        <v>499.49136</v>
      </c>
    </row>
    <row r="44" customFormat="false" ht="15" hidden="false" customHeight="true" outlineLevel="0" collapsed="false">
      <c r="A44" s="32" t="n">
        <v>2025</v>
      </c>
      <c r="B44" s="32" t="n">
        <v>7</v>
      </c>
      <c r="C44" s="32" t="s">
        <v>154</v>
      </c>
      <c r="D44" s="32" t="s">
        <v>142</v>
      </c>
      <c r="E44" s="78" t="n">
        <f aca="false">SUMIFS(DRE_por_UN!$H:$H,DRE_por_UN!$C:$C,$C44,DRE_por_UN!$E:$E,$D44)</f>
        <v>56623.81</v>
      </c>
      <c r="F44" s="44" t="n">
        <f aca="false">IF($A44=2025,VLOOKUP($D44,Premissas!$A$52:$P$56,12,0),IF($A44=2026,VLOOKUP($D44,Premissas!$A$52:$P$56,13,0),VLOOKUP($D44,Premissas!$A$52:$P$56,14,0)))</f>
        <v>8</v>
      </c>
      <c r="G44" s="33" t="n">
        <f aca="false">E44*F44/30</f>
        <v>15099.6826666667</v>
      </c>
      <c r="H44" s="33" t="n">
        <f aca="false">$G44*Premissas!$B$42</f>
        <v>10569.7778666667</v>
      </c>
      <c r="I44" s="33" t="n">
        <f aca="false">$G44*Premissas!$C$42</f>
        <v>2264.9524</v>
      </c>
      <c r="J44" s="33" t="n">
        <f aca="false">$G44*Premissas!$D$42</f>
        <v>1207.97461333333</v>
      </c>
      <c r="K44" s="33" t="n">
        <f aca="false">$G44*Premissas!$E$42</f>
        <v>603.987306666667</v>
      </c>
      <c r="L44" s="33" t="n">
        <f aca="false">$G44*Premissas!$F$42</f>
        <v>452.99048</v>
      </c>
    </row>
    <row r="45" customFormat="false" ht="15" hidden="false" customHeight="true" outlineLevel="0" collapsed="false">
      <c r="A45" s="32" t="n">
        <v>2025</v>
      </c>
      <c r="B45" s="32" t="n">
        <v>8</v>
      </c>
      <c r="C45" s="32" t="s">
        <v>155</v>
      </c>
      <c r="D45" s="32" t="s">
        <v>142</v>
      </c>
      <c r="E45" s="78" t="n">
        <f aca="false">SUMIFS(DRE_por_UN!$H:$H,DRE_por_UN!$C:$C,$C45,DRE_por_UN!$E:$E,$D45)</f>
        <v>49368.37</v>
      </c>
      <c r="F45" s="44" t="n">
        <f aca="false">IF($A45=2025,VLOOKUP($D45,Premissas!$A$52:$P$56,12,0),IF($A45=2026,VLOOKUP($D45,Premissas!$A$52:$P$56,13,0),VLOOKUP($D45,Premissas!$A$52:$P$56,14,0)))</f>
        <v>8</v>
      </c>
      <c r="G45" s="33" t="n">
        <f aca="false">E45*F45/30</f>
        <v>13164.8986666667</v>
      </c>
      <c r="H45" s="33" t="n">
        <f aca="false">$G45*Premissas!$B$42</f>
        <v>9215.42906666667</v>
      </c>
      <c r="I45" s="33" t="n">
        <f aca="false">$G45*Premissas!$C$42</f>
        <v>1974.7348</v>
      </c>
      <c r="J45" s="33" t="n">
        <f aca="false">$G45*Premissas!$D$42</f>
        <v>1053.19189333333</v>
      </c>
      <c r="K45" s="33" t="n">
        <f aca="false">$G45*Premissas!$E$42</f>
        <v>526.595946666667</v>
      </c>
      <c r="L45" s="33" t="n">
        <f aca="false">$G45*Premissas!$F$42</f>
        <v>394.94696</v>
      </c>
    </row>
    <row r="46" customFormat="false" ht="15" hidden="false" customHeight="true" outlineLevel="0" collapsed="false">
      <c r="A46" s="32" t="n">
        <v>2025</v>
      </c>
      <c r="B46" s="32" t="n">
        <v>9</v>
      </c>
      <c r="C46" s="32" t="s">
        <v>156</v>
      </c>
      <c r="D46" s="32" t="s">
        <v>142</v>
      </c>
      <c r="E46" s="78" t="n">
        <f aca="false">SUMIFS(DRE_por_UN!$H:$H,DRE_por_UN!$C:$C,$C46,DRE_por_UN!$E:$E,$D46)</f>
        <v>45564.76</v>
      </c>
      <c r="F46" s="44" t="n">
        <f aca="false">IF($A46=2025,VLOOKUP($D46,Premissas!$A$52:$P$56,12,0),IF($A46=2026,VLOOKUP($D46,Premissas!$A$52:$P$56,13,0),VLOOKUP($D46,Premissas!$A$52:$P$56,14,0)))</f>
        <v>8</v>
      </c>
      <c r="G46" s="33" t="n">
        <f aca="false">E46*F46/30</f>
        <v>12150.6026666667</v>
      </c>
      <c r="H46" s="33" t="n">
        <f aca="false">$G46*Premissas!$B$42</f>
        <v>8505.42186666667</v>
      </c>
      <c r="I46" s="33" t="n">
        <f aca="false">$G46*Premissas!$C$42</f>
        <v>1822.5904</v>
      </c>
      <c r="J46" s="33" t="n">
        <f aca="false">$G46*Premissas!$D$42</f>
        <v>972.048213333333</v>
      </c>
      <c r="K46" s="33" t="n">
        <f aca="false">$G46*Premissas!$E$42</f>
        <v>486.024106666667</v>
      </c>
      <c r="L46" s="33" t="n">
        <f aca="false">$G46*Premissas!$F$42</f>
        <v>364.51808</v>
      </c>
    </row>
    <row r="47" customFormat="false" ht="15" hidden="false" customHeight="true" outlineLevel="0" collapsed="false">
      <c r="A47" s="32" t="n">
        <v>2025</v>
      </c>
      <c r="B47" s="32" t="n">
        <v>10</v>
      </c>
      <c r="C47" s="32" t="s">
        <v>157</v>
      </c>
      <c r="D47" s="32" t="s">
        <v>142</v>
      </c>
      <c r="E47" s="78" t="n">
        <f aca="false">SUMIFS(DRE_por_UN!$H:$H,DRE_por_UN!$C:$C,$C47,DRE_por_UN!$E:$E,$D47)</f>
        <v>46807.42</v>
      </c>
      <c r="F47" s="44" t="n">
        <f aca="false">IF($A47=2025,VLOOKUP($D47,Premissas!$A$52:$P$56,12,0),IF($A47=2026,VLOOKUP($D47,Premissas!$A$52:$P$56,13,0),VLOOKUP($D47,Premissas!$A$52:$P$56,14,0)))</f>
        <v>8</v>
      </c>
      <c r="G47" s="33" t="n">
        <f aca="false">E47*F47/30</f>
        <v>12481.9786666667</v>
      </c>
      <c r="H47" s="33" t="n">
        <f aca="false">$G47*Premissas!$B$42</f>
        <v>8737.38506666667</v>
      </c>
      <c r="I47" s="33" t="n">
        <f aca="false">$G47*Premissas!$C$42</f>
        <v>1872.2968</v>
      </c>
      <c r="J47" s="33" t="n">
        <f aca="false">$G47*Premissas!$D$42</f>
        <v>998.558293333334</v>
      </c>
      <c r="K47" s="33" t="n">
        <f aca="false">$G47*Premissas!$E$42</f>
        <v>499.279146666667</v>
      </c>
      <c r="L47" s="33" t="n">
        <f aca="false">$G47*Premissas!$F$42</f>
        <v>374.45936</v>
      </c>
    </row>
    <row r="48" customFormat="false" ht="15" hidden="false" customHeight="true" outlineLevel="0" collapsed="false">
      <c r="A48" s="32" t="n">
        <v>2025</v>
      </c>
      <c r="B48" s="32" t="n">
        <v>11</v>
      </c>
      <c r="C48" s="32" t="s">
        <v>158</v>
      </c>
      <c r="D48" s="32" t="s">
        <v>142</v>
      </c>
      <c r="E48" s="78" t="n">
        <f aca="false">SUMIFS(DRE_por_UN!$H:$H,DRE_por_UN!$C:$C,$C48,DRE_por_UN!$E:$E,$D48)</f>
        <v>59164.96</v>
      </c>
      <c r="F48" s="44" t="n">
        <f aca="false">IF($A48=2025,VLOOKUP($D48,Premissas!$A$52:$P$56,12,0),IF($A48=2026,VLOOKUP($D48,Premissas!$A$52:$P$56,13,0),VLOOKUP($D48,Premissas!$A$52:$P$56,14,0)))</f>
        <v>8</v>
      </c>
      <c r="G48" s="33" t="n">
        <f aca="false">E48*F48/30</f>
        <v>15777.3226666667</v>
      </c>
      <c r="H48" s="33" t="n">
        <f aca="false">$G48*Premissas!$B$42</f>
        <v>11044.1258666667</v>
      </c>
      <c r="I48" s="33" t="n">
        <f aca="false">$G48*Premissas!$C$42</f>
        <v>2366.5984</v>
      </c>
      <c r="J48" s="33" t="n">
        <f aca="false">$G48*Premissas!$D$42</f>
        <v>1262.18581333333</v>
      </c>
      <c r="K48" s="33" t="n">
        <f aca="false">$G48*Premissas!$E$42</f>
        <v>631.092906666667</v>
      </c>
      <c r="L48" s="33" t="n">
        <f aca="false">$G48*Premissas!$F$42</f>
        <v>473.31968</v>
      </c>
    </row>
    <row r="49" customFormat="false" ht="15" hidden="false" customHeight="true" outlineLevel="0" collapsed="false">
      <c r="A49" s="32" t="n">
        <v>2025</v>
      </c>
      <c r="B49" s="32" t="n">
        <v>12</v>
      </c>
      <c r="C49" s="32" t="s">
        <v>159</v>
      </c>
      <c r="D49" s="32" t="s">
        <v>142</v>
      </c>
      <c r="E49" s="78" t="n">
        <f aca="false">SUMIFS(DRE_por_UN!$H:$H,DRE_por_UN!$C:$C,$C49,DRE_por_UN!$E:$E,$D49)</f>
        <v>66223.06</v>
      </c>
      <c r="F49" s="44" t="n">
        <f aca="false">IF($A49=2025,VLOOKUP($D49,Premissas!$A$52:$P$56,12,0),IF($A49=2026,VLOOKUP($D49,Premissas!$A$52:$P$56,13,0),VLOOKUP($D49,Premissas!$A$52:$P$56,14,0)))</f>
        <v>8</v>
      </c>
      <c r="G49" s="33" t="n">
        <f aca="false">E49*F49/30</f>
        <v>17659.4826666667</v>
      </c>
      <c r="H49" s="33" t="n">
        <f aca="false">$G49*Premissas!$B$42</f>
        <v>12361.6378666667</v>
      </c>
      <c r="I49" s="33" t="n">
        <f aca="false">$G49*Premissas!$C$42</f>
        <v>2648.9224</v>
      </c>
      <c r="J49" s="33" t="n">
        <f aca="false">$G49*Premissas!$D$42</f>
        <v>1412.75861333333</v>
      </c>
      <c r="K49" s="33" t="n">
        <f aca="false">$G49*Premissas!$E$42</f>
        <v>706.379306666667</v>
      </c>
      <c r="L49" s="33" t="n">
        <f aca="false">$G49*Premissas!$F$42</f>
        <v>529.78448</v>
      </c>
    </row>
    <row r="50" customFormat="false" ht="15" hidden="false" customHeight="true" outlineLevel="0" collapsed="false">
      <c r="A50" s="32" t="n">
        <v>2026</v>
      </c>
      <c r="B50" s="32" t="n">
        <v>1</v>
      </c>
      <c r="C50" s="32" t="s">
        <v>160</v>
      </c>
      <c r="D50" s="32" t="s">
        <v>142</v>
      </c>
      <c r="E50" s="78" t="n">
        <f aca="false">SUMIFS(DRE_por_UN!$H:$H,DRE_por_UN!$C:$C,$C50,DRE_por_UN!$E:$E,$D50)</f>
        <v>41795.07</v>
      </c>
      <c r="F50" s="44" t="n">
        <f aca="false">IF($A50=2025,VLOOKUP($D50,Premissas!$A$52:$P$56,12,0),IF($A50=2026,VLOOKUP($D50,Premissas!$A$52:$P$56,13,0),VLOOKUP($D50,Premissas!$A$52:$P$56,14,0)))</f>
        <v>12</v>
      </c>
      <c r="G50" s="33" t="n">
        <f aca="false">E50*F50/30</f>
        <v>16718.028</v>
      </c>
      <c r="H50" s="33" t="n">
        <f aca="false">$G50*Premissas!$B$42</f>
        <v>11702.6196</v>
      </c>
      <c r="I50" s="33" t="n">
        <f aca="false">$G50*Premissas!$C$42</f>
        <v>2507.7042</v>
      </c>
      <c r="J50" s="33" t="n">
        <f aca="false">$G50*Premissas!$D$42</f>
        <v>1337.44224</v>
      </c>
      <c r="K50" s="33" t="n">
        <f aca="false">$G50*Premissas!$E$42</f>
        <v>668.72112</v>
      </c>
      <c r="L50" s="33" t="n">
        <f aca="false">$G50*Premissas!$F$42</f>
        <v>501.54084</v>
      </c>
    </row>
    <row r="51" customFormat="false" ht="15" hidden="false" customHeight="true" outlineLevel="0" collapsed="false">
      <c r="A51" s="32" t="n">
        <v>2026</v>
      </c>
      <c r="B51" s="32" t="n">
        <v>2</v>
      </c>
      <c r="C51" s="32" t="s">
        <v>161</v>
      </c>
      <c r="D51" s="32" t="s">
        <v>142</v>
      </c>
      <c r="E51" s="78" t="n">
        <f aca="false">SUMIFS(DRE_por_UN!$H:$H,DRE_por_UN!$C:$C,$C51,DRE_por_UN!$E:$E,$D51)</f>
        <v>32268.09</v>
      </c>
      <c r="F51" s="44" t="n">
        <f aca="false">IF($A51=2025,VLOOKUP($D51,Premissas!$A$52:$P$56,12,0),IF($A51=2026,VLOOKUP($D51,Premissas!$A$52:$P$56,13,0),VLOOKUP($D51,Premissas!$A$52:$P$56,14,0)))</f>
        <v>12</v>
      </c>
      <c r="G51" s="33" t="n">
        <f aca="false">E51*F51/30</f>
        <v>12907.236</v>
      </c>
      <c r="H51" s="33" t="n">
        <f aca="false">$G51*Premissas!$B$42</f>
        <v>9035.0652</v>
      </c>
      <c r="I51" s="33" t="n">
        <f aca="false">$G51*Premissas!$C$42</f>
        <v>1936.0854</v>
      </c>
      <c r="J51" s="33" t="n">
        <f aca="false">$G51*Premissas!$D$42</f>
        <v>1032.57888</v>
      </c>
      <c r="K51" s="33" t="n">
        <f aca="false">$G51*Premissas!$E$42</f>
        <v>516.28944</v>
      </c>
      <c r="L51" s="33" t="n">
        <f aca="false">$G51*Premissas!$F$42</f>
        <v>387.21708</v>
      </c>
    </row>
    <row r="52" customFormat="false" ht="15" hidden="false" customHeight="true" outlineLevel="0" collapsed="false">
      <c r="A52" s="32" t="n">
        <v>2026</v>
      </c>
      <c r="B52" s="32" t="n">
        <v>3</v>
      </c>
      <c r="C52" s="32" t="s">
        <v>162</v>
      </c>
      <c r="D52" s="32" t="s">
        <v>142</v>
      </c>
      <c r="E52" s="78" t="n">
        <f aca="false">SUMIFS(DRE_por_UN!$H:$H,DRE_por_UN!$C:$C,$C52,DRE_por_UN!$E:$E,$D52)</f>
        <v>53834.18</v>
      </c>
      <c r="F52" s="44" t="n">
        <f aca="false">IF($A52=2025,VLOOKUP($D52,Premissas!$A$52:$P$56,12,0),IF($A52=2026,VLOOKUP($D52,Premissas!$A$52:$P$56,13,0),VLOOKUP($D52,Premissas!$A$52:$P$56,14,0)))</f>
        <v>12</v>
      </c>
      <c r="G52" s="33" t="n">
        <f aca="false">E52*F52/30</f>
        <v>21533.672</v>
      </c>
      <c r="H52" s="33" t="n">
        <f aca="false">$G52*Premissas!$B$42</f>
        <v>15073.5704</v>
      </c>
      <c r="I52" s="33" t="n">
        <f aca="false">$G52*Premissas!$C$42</f>
        <v>3230.0508</v>
      </c>
      <c r="J52" s="33" t="n">
        <f aca="false">$G52*Premissas!$D$42</f>
        <v>1722.69376</v>
      </c>
      <c r="K52" s="33" t="n">
        <f aca="false">$G52*Premissas!$E$42</f>
        <v>861.34688</v>
      </c>
      <c r="L52" s="33" t="n">
        <f aca="false">$G52*Premissas!$F$42</f>
        <v>646.01016</v>
      </c>
    </row>
    <row r="53" customFormat="false" ht="15" hidden="false" customHeight="true" outlineLevel="0" collapsed="false">
      <c r="A53" s="32" t="n">
        <v>2026</v>
      </c>
      <c r="B53" s="32" t="n">
        <v>4</v>
      </c>
      <c r="C53" s="32" t="s">
        <v>163</v>
      </c>
      <c r="D53" s="32" t="s">
        <v>142</v>
      </c>
      <c r="E53" s="78" t="n">
        <f aca="false">SUMIFS(DRE_por_UN!$H:$H,DRE_por_UN!$C:$C,$C53,DRE_por_UN!$E:$E,$D53)</f>
        <v>35374.74</v>
      </c>
      <c r="F53" s="44" t="n">
        <f aca="false">IF($A53=2025,VLOOKUP($D53,Premissas!$A$52:$P$56,12,0),IF($A53=2026,VLOOKUP($D53,Premissas!$A$52:$P$56,13,0),VLOOKUP($D53,Premissas!$A$52:$P$56,14,0)))</f>
        <v>12</v>
      </c>
      <c r="G53" s="33" t="n">
        <f aca="false">E53*F53/30</f>
        <v>14149.896</v>
      </c>
      <c r="H53" s="33" t="n">
        <f aca="false">$G53*Premissas!$B$42</f>
        <v>9904.9272</v>
      </c>
      <c r="I53" s="33" t="n">
        <f aca="false">$G53*Premissas!$C$42</f>
        <v>2122.4844</v>
      </c>
      <c r="J53" s="33" t="n">
        <f aca="false">$G53*Premissas!$D$42</f>
        <v>1131.99168</v>
      </c>
      <c r="K53" s="33" t="n">
        <f aca="false">$G53*Premissas!$E$42</f>
        <v>565.99584</v>
      </c>
      <c r="L53" s="33" t="n">
        <f aca="false">$G53*Premissas!$F$42</f>
        <v>424.49688</v>
      </c>
    </row>
    <row r="54" customFormat="false" ht="15" hidden="false" customHeight="true" outlineLevel="0" collapsed="false">
      <c r="A54" s="32" t="n">
        <v>2026</v>
      </c>
      <c r="B54" s="32" t="n">
        <v>5</v>
      </c>
      <c r="C54" s="32" t="s">
        <v>164</v>
      </c>
      <c r="D54" s="32" t="s">
        <v>142</v>
      </c>
      <c r="E54" s="78" t="n">
        <f aca="false">SUMIFS(DRE_por_UN!$H:$H,DRE_por_UN!$C:$C,$C54,DRE_por_UN!$E:$E,$D54)</f>
        <v>52759.28</v>
      </c>
      <c r="F54" s="44" t="n">
        <f aca="false">IF($A54=2025,VLOOKUP($D54,Premissas!$A$52:$P$56,12,0),IF($A54=2026,VLOOKUP($D54,Premissas!$A$52:$P$56,13,0),VLOOKUP($D54,Premissas!$A$52:$P$56,14,0)))</f>
        <v>12</v>
      </c>
      <c r="G54" s="33" t="n">
        <f aca="false">E54*F54/30</f>
        <v>21103.712</v>
      </c>
      <c r="H54" s="33" t="n">
        <f aca="false">$G54*Premissas!$B$42</f>
        <v>14772.5984</v>
      </c>
      <c r="I54" s="33" t="n">
        <f aca="false">$G54*Premissas!$C$42</f>
        <v>3165.5568</v>
      </c>
      <c r="J54" s="33" t="n">
        <f aca="false">$G54*Premissas!$D$42</f>
        <v>1688.29696</v>
      </c>
      <c r="K54" s="33" t="n">
        <f aca="false">$G54*Premissas!$E$42</f>
        <v>844.14848</v>
      </c>
      <c r="L54" s="33" t="n">
        <f aca="false">$G54*Premissas!$F$42</f>
        <v>633.11136</v>
      </c>
    </row>
    <row r="55" customFormat="false" ht="15" hidden="false" customHeight="true" outlineLevel="0" collapsed="false">
      <c r="A55" s="32" t="n">
        <v>2026</v>
      </c>
      <c r="B55" s="32" t="n">
        <v>6</v>
      </c>
      <c r="C55" s="32" t="s">
        <v>165</v>
      </c>
      <c r="D55" s="32" t="s">
        <v>142</v>
      </c>
      <c r="E55" s="78" t="n">
        <f aca="false">SUMIFS(DRE_por_UN!$H:$H,DRE_por_UN!$C:$C,$C55,DRE_por_UN!$E:$E,$D55)</f>
        <v>50748.02</v>
      </c>
      <c r="F55" s="44" t="n">
        <f aca="false">IF($A55=2025,VLOOKUP($D55,Premissas!$A$52:$P$56,12,0),IF($A55=2026,VLOOKUP($D55,Premissas!$A$52:$P$56,13,0),VLOOKUP($D55,Premissas!$A$52:$P$56,14,0)))</f>
        <v>12</v>
      </c>
      <c r="G55" s="33" t="n">
        <f aca="false">E55*F55/30</f>
        <v>20299.208</v>
      </c>
      <c r="H55" s="33" t="n">
        <f aca="false">$G55*Premissas!$B$42</f>
        <v>14209.4456</v>
      </c>
      <c r="I55" s="33" t="n">
        <f aca="false">$G55*Premissas!$C$42</f>
        <v>3044.8812</v>
      </c>
      <c r="J55" s="33" t="n">
        <f aca="false">$G55*Premissas!$D$42</f>
        <v>1623.93664</v>
      </c>
      <c r="K55" s="33" t="n">
        <f aca="false">$G55*Premissas!$E$42</f>
        <v>811.96832</v>
      </c>
      <c r="L55" s="33" t="n">
        <f aca="false">$G55*Premissas!$F$42</f>
        <v>608.97624</v>
      </c>
    </row>
    <row r="56" customFormat="false" ht="15" hidden="false" customHeight="true" outlineLevel="0" collapsed="false">
      <c r="A56" s="32" t="n">
        <v>2026</v>
      </c>
      <c r="B56" s="32" t="n">
        <v>7</v>
      </c>
      <c r="C56" s="32" t="s">
        <v>166</v>
      </c>
      <c r="D56" s="32" t="s">
        <v>142</v>
      </c>
      <c r="E56" s="78" t="n">
        <f aca="false">SUMIFS(DRE_por_UN!$H:$H,DRE_por_UN!$C:$C,$C56,DRE_por_UN!$E:$E,$D56)</f>
        <v>56188.44</v>
      </c>
      <c r="F56" s="44" t="n">
        <f aca="false">IF($A56=2025,VLOOKUP($D56,Premissas!$A$52:$P$56,12,0),IF($A56=2026,VLOOKUP($D56,Premissas!$A$52:$P$56,13,0),VLOOKUP($D56,Premissas!$A$52:$P$56,14,0)))</f>
        <v>12</v>
      </c>
      <c r="G56" s="33" t="n">
        <f aca="false">E56*F56/30</f>
        <v>22475.376</v>
      </c>
      <c r="H56" s="33" t="n">
        <f aca="false">$G56*Premissas!$B$42</f>
        <v>15732.7632</v>
      </c>
      <c r="I56" s="33" t="n">
        <f aca="false">$G56*Premissas!$C$42</f>
        <v>3371.3064</v>
      </c>
      <c r="J56" s="33" t="n">
        <f aca="false">$G56*Premissas!$D$42</f>
        <v>1798.03008</v>
      </c>
      <c r="K56" s="33" t="n">
        <f aca="false">$G56*Premissas!$E$42</f>
        <v>899.01504</v>
      </c>
      <c r="L56" s="33" t="n">
        <f aca="false">$G56*Premissas!$F$42</f>
        <v>674.26128</v>
      </c>
    </row>
    <row r="57" customFormat="false" ht="15" hidden="false" customHeight="true" outlineLevel="0" collapsed="false">
      <c r="A57" s="32" t="n">
        <v>2026</v>
      </c>
      <c r="B57" s="32" t="n">
        <v>8</v>
      </c>
      <c r="C57" s="32" t="s">
        <v>167</v>
      </c>
      <c r="D57" s="32" t="s">
        <v>142</v>
      </c>
      <c r="E57" s="78" t="n">
        <f aca="false">SUMIFS(DRE_por_UN!$H:$H,DRE_por_UN!$C:$C,$C57,DRE_por_UN!$E:$E,$D57)</f>
        <v>49640.98</v>
      </c>
      <c r="F57" s="44" t="n">
        <f aca="false">IF($A57=2025,VLOOKUP($D57,Premissas!$A$52:$P$56,12,0),IF($A57=2026,VLOOKUP($D57,Premissas!$A$52:$P$56,13,0),VLOOKUP($D57,Premissas!$A$52:$P$56,14,0)))</f>
        <v>12</v>
      </c>
      <c r="G57" s="33" t="n">
        <f aca="false">E57*F57/30</f>
        <v>19856.392</v>
      </c>
      <c r="H57" s="33" t="n">
        <f aca="false">$G57*Premissas!$B$42</f>
        <v>13899.4744</v>
      </c>
      <c r="I57" s="33" t="n">
        <f aca="false">$G57*Premissas!$C$42</f>
        <v>2978.4588</v>
      </c>
      <c r="J57" s="33" t="n">
        <f aca="false">$G57*Premissas!$D$42</f>
        <v>1588.51136</v>
      </c>
      <c r="K57" s="33" t="n">
        <f aca="false">$G57*Premissas!$E$42</f>
        <v>794.25568</v>
      </c>
      <c r="L57" s="33" t="n">
        <f aca="false">$G57*Premissas!$F$42</f>
        <v>595.69176</v>
      </c>
    </row>
    <row r="58" customFormat="false" ht="15" hidden="false" customHeight="true" outlineLevel="0" collapsed="false">
      <c r="A58" s="32" t="n">
        <v>2026</v>
      </c>
      <c r="B58" s="32" t="n">
        <v>9</v>
      </c>
      <c r="C58" s="32" t="s">
        <v>168</v>
      </c>
      <c r="D58" s="32" t="s">
        <v>142</v>
      </c>
      <c r="E58" s="78" t="n">
        <f aca="false">SUMIFS(DRE_por_UN!$H:$H,DRE_por_UN!$C:$C,$C58,DRE_por_UN!$E:$E,$D58)</f>
        <v>59405.62</v>
      </c>
      <c r="F58" s="44" t="n">
        <f aca="false">IF($A58=2025,VLOOKUP($D58,Premissas!$A$52:$P$56,12,0),IF($A58=2026,VLOOKUP($D58,Premissas!$A$52:$P$56,13,0),VLOOKUP($D58,Premissas!$A$52:$P$56,14,0)))</f>
        <v>12</v>
      </c>
      <c r="G58" s="33" t="n">
        <f aca="false">E58*F58/30</f>
        <v>23762.248</v>
      </c>
      <c r="H58" s="33" t="n">
        <f aca="false">$G58*Premissas!$B$42</f>
        <v>16633.5736</v>
      </c>
      <c r="I58" s="33" t="n">
        <f aca="false">$G58*Premissas!$C$42</f>
        <v>3564.3372</v>
      </c>
      <c r="J58" s="33" t="n">
        <f aca="false">$G58*Premissas!$D$42</f>
        <v>1900.97984</v>
      </c>
      <c r="K58" s="33" t="n">
        <f aca="false">$G58*Premissas!$E$42</f>
        <v>950.48992</v>
      </c>
      <c r="L58" s="33" t="n">
        <f aca="false">$G58*Premissas!$F$42</f>
        <v>712.86744</v>
      </c>
    </row>
    <row r="59" customFormat="false" ht="15" hidden="false" customHeight="true" outlineLevel="0" collapsed="false">
      <c r="A59" s="32" t="n">
        <v>2026</v>
      </c>
      <c r="B59" s="32" t="n">
        <v>10</v>
      </c>
      <c r="C59" s="32" t="s">
        <v>169</v>
      </c>
      <c r="D59" s="32" t="s">
        <v>142</v>
      </c>
      <c r="E59" s="78" t="n">
        <f aca="false">SUMIFS(DRE_por_UN!$H:$H,DRE_por_UN!$C:$C,$C59,DRE_por_UN!$E:$E,$D59)</f>
        <v>38419.23</v>
      </c>
      <c r="F59" s="44" t="n">
        <f aca="false">IF($A59=2025,VLOOKUP($D59,Premissas!$A$52:$P$56,12,0),IF($A59=2026,VLOOKUP($D59,Premissas!$A$52:$P$56,13,0),VLOOKUP($D59,Premissas!$A$52:$P$56,14,0)))</f>
        <v>12</v>
      </c>
      <c r="G59" s="33" t="n">
        <f aca="false">E59*F59/30</f>
        <v>15367.692</v>
      </c>
      <c r="H59" s="33" t="n">
        <f aca="false">$G59*Premissas!$B$42</f>
        <v>10757.3844</v>
      </c>
      <c r="I59" s="33" t="n">
        <f aca="false">$G59*Premissas!$C$42</f>
        <v>2305.1538</v>
      </c>
      <c r="J59" s="33" t="n">
        <f aca="false">$G59*Premissas!$D$42</f>
        <v>1229.41536</v>
      </c>
      <c r="K59" s="33" t="n">
        <f aca="false">$G59*Premissas!$E$42</f>
        <v>614.70768</v>
      </c>
      <c r="L59" s="33" t="n">
        <f aca="false">$G59*Premissas!$F$42</f>
        <v>461.03076</v>
      </c>
    </row>
    <row r="60" customFormat="false" ht="15" hidden="false" customHeight="true" outlineLevel="0" collapsed="false">
      <c r="A60" s="32" t="n">
        <v>2026</v>
      </c>
      <c r="B60" s="32" t="n">
        <v>11</v>
      </c>
      <c r="C60" s="32" t="s">
        <v>170</v>
      </c>
      <c r="D60" s="32" t="s">
        <v>142</v>
      </c>
      <c r="E60" s="78" t="n">
        <f aca="false">SUMIFS(DRE_por_UN!$H:$H,DRE_por_UN!$C:$C,$C60,DRE_por_UN!$E:$E,$D60)</f>
        <v>61111.09</v>
      </c>
      <c r="F60" s="44" t="n">
        <f aca="false">IF($A60=2025,VLOOKUP($D60,Premissas!$A$52:$P$56,12,0),IF($A60=2026,VLOOKUP($D60,Premissas!$A$52:$P$56,13,0),VLOOKUP($D60,Premissas!$A$52:$P$56,14,0)))</f>
        <v>12</v>
      </c>
      <c r="G60" s="33" t="n">
        <f aca="false">E60*F60/30</f>
        <v>24444.436</v>
      </c>
      <c r="H60" s="33" t="n">
        <f aca="false">$G60*Premissas!$B$42</f>
        <v>17111.1052</v>
      </c>
      <c r="I60" s="33" t="n">
        <f aca="false">$G60*Premissas!$C$42</f>
        <v>3666.6654</v>
      </c>
      <c r="J60" s="33" t="n">
        <f aca="false">$G60*Premissas!$D$42</f>
        <v>1955.55488</v>
      </c>
      <c r="K60" s="33" t="n">
        <f aca="false">$G60*Premissas!$E$42</f>
        <v>977.77744</v>
      </c>
      <c r="L60" s="33" t="n">
        <f aca="false">$G60*Premissas!$F$42</f>
        <v>733.33308</v>
      </c>
    </row>
    <row r="61" customFormat="false" ht="15" hidden="false" customHeight="true" outlineLevel="0" collapsed="false">
      <c r="A61" s="32" t="n">
        <v>2026</v>
      </c>
      <c r="B61" s="32" t="n">
        <v>12</v>
      </c>
      <c r="C61" s="32" t="s">
        <v>171</v>
      </c>
      <c r="D61" s="32" t="s">
        <v>142</v>
      </c>
      <c r="E61" s="78" t="n">
        <f aca="false">SUMIFS(DRE_por_UN!$H:$H,DRE_por_UN!$C:$C,$C61,DRE_por_UN!$E:$E,$D61)</f>
        <v>68938.66</v>
      </c>
      <c r="F61" s="44" t="n">
        <f aca="false">IF($A61=2025,VLOOKUP($D61,Premissas!$A$52:$P$56,12,0),IF($A61=2026,VLOOKUP($D61,Premissas!$A$52:$P$56,13,0),VLOOKUP($D61,Premissas!$A$52:$P$56,14,0)))</f>
        <v>12</v>
      </c>
      <c r="G61" s="33" t="n">
        <f aca="false">E61*F61/30</f>
        <v>27575.464</v>
      </c>
      <c r="H61" s="33" t="n">
        <f aca="false">$G61*Premissas!$B$42</f>
        <v>19302.8248</v>
      </c>
      <c r="I61" s="33" t="n">
        <f aca="false">$G61*Premissas!$C$42</f>
        <v>4136.3196</v>
      </c>
      <c r="J61" s="33" t="n">
        <f aca="false">$G61*Premissas!$D$42</f>
        <v>2206.03712</v>
      </c>
      <c r="K61" s="33" t="n">
        <f aca="false">$G61*Premissas!$E$42</f>
        <v>1103.01856</v>
      </c>
      <c r="L61" s="33" t="n">
        <f aca="false">$G61*Premissas!$F$42</f>
        <v>827.26392</v>
      </c>
    </row>
    <row r="62" customFormat="false" ht="15" hidden="false" customHeight="true" outlineLevel="0" collapsed="false">
      <c r="A62" s="32" t="n">
        <v>2027</v>
      </c>
      <c r="B62" s="32" t="n">
        <v>1</v>
      </c>
      <c r="C62" s="32" t="s">
        <v>172</v>
      </c>
      <c r="D62" s="32" t="s">
        <v>142</v>
      </c>
      <c r="E62" s="78" t="n">
        <f aca="false">SUMIFS(DRE_por_UN!$H:$H,DRE_por_UN!$C:$C,$C62,DRE_por_UN!$E:$E,$D62)</f>
        <v>43196.3002422</v>
      </c>
      <c r="F62" s="44" t="n">
        <f aca="false">IF($A62=2025,VLOOKUP($D62,Premissas!$A$52:$P$56,12,0),IF($A62=2026,VLOOKUP($D62,Premissas!$A$52:$P$56,13,0),VLOOKUP($D62,Premissas!$A$52:$P$56,14,0)))</f>
        <v>18</v>
      </c>
      <c r="G62" s="33" t="n">
        <f aca="false">E62*F62/30</f>
        <v>25917.78014532</v>
      </c>
      <c r="H62" s="33" t="n">
        <f aca="false">$G62*Premissas!$B$42</f>
        <v>18142.446101724</v>
      </c>
      <c r="I62" s="33" t="n">
        <f aca="false">$G62*Premissas!$C$42</f>
        <v>3887.667021798</v>
      </c>
      <c r="J62" s="33" t="n">
        <f aca="false">$G62*Premissas!$D$42</f>
        <v>2073.4224116256</v>
      </c>
      <c r="K62" s="33" t="n">
        <f aca="false">$G62*Premissas!$E$42</f>
        <v>1036.7112058128</v>
      </c>
      <c r="L62" s="33" t="n">
        <f aca="false">$G62*Premissas!$F$42</f>
        <v>777.5334043596</v>
      </c>
    </row>
    <row r="63" customFormat="false" ht="15" hidden="false" customHeight="true" outlineLevel="0" collapsed="false">
      <c r="A63" s="32" t="n">
        <v>2027</v>
      </c>
      <c r="B63" s="32" t="n">
        <v>2</v>
      </c>
      <c r="C63" s="32" t="s">
        <v>173</v>
      </c>
      <c r="D63" s="32" t="s">
        <v>142</v>
      </c>
      <c r="E63" s="78" t="n">
        <f aca="false">SUMIFS(DRE_por_UN!$H:$H,DRE_por_UN!$C:$C,$C63,DRE_por_UN!$E:$E,$D63)</f>
        <v>33632.48230755</v>
      </c>
      <c r="F63" s="44" t="n">
        <f aca="false">IF($A63=2025,VLOOKUP($D63,Premissas!$A$52:$P$56,12,0),IF($A63=2026,VLOOKUP($D63,Premissas!$A$52:$P$56,13,0),VLOOKUP($D63,Premissas!$A$52:$P$56,14,0)))</f>
        <v>18</v>
      </c>
      <c r="G63" s="33" t="n">
        <f aca="false">E63*F63/30</f>
        <v>20179.48938453</v>
      </c>
      <c r="H63" s="33" t="n">
        <f aca="false">$G63*Premissas!$B$42</f>
        <v>14125.642569171</v>
      </c>
      <c r="I63" s="33" t="n">
        <f aca="false">$G63*Premissas!$C$42</f>
        <v>3026.9234076795</v>
      </c>
      <c r="J63" s="33" t="n">
        <f aca="false">$G63*Premissas!$D$42</f>
        <v>1614.3591507624</v>
      </c>
      <c r="K63" s="33" t="n">
        <f aca="false">$G63*Premissas!$E$42</f>
        <v>807.1795753812</v>
      </c>
      <c r="L63" s="33" t="n">
        <f aca="false">$G63*Premissas!$F$42</f>
        <v>605.3846815359</v>
      </c>
    </row>
    <row r="64" customFormat="false" ht="15" hidden="false" customHeight="true" outlineLevel="0" collapsed="false">
      <c r="A64" s="32" t="n">
        <v>2027</v>
      </c>
      <c r="B64" s="32" t="n">
        <v>3</v>
      </c>
      <c r="C64" s="32" t="s">
        <v>174</v>
      </c>
      <c r="D64" s="32" t="s">
        <v>142</v>
      </c>
      <c r="E64" s="78" t="n">
        <f aca="false">SUMIFS(DRE_por_UN!$H:$H,DRE_por_UN!$C:$C,$C64,DRE_por_UN!$E:$E,$D64)</f>
        <v>56222.5529502</v>
      </c>
      <c r="F64" s="44" t="n">
        <f aca="false">IF($A64=2025,VLOOKUP($D64,Premissas!$A$52:$P$56,12,0),IF($A64=2026,VLOOKUP($D64,Premissas!$A$52:$P$56,13,0),VLOOKUP($D64,Premissas!$A$52:$P$56,14,0)))</f>
        <v>18</v>
      </c>
      <c r="G64" s="33" t="n">
        <f aca="false">E64*F64/30</f>
        <v>33733.53177012</v>
      </c>
      <c r="H64" s="33" t="n">
        <f aca="false">$G64*Premissas!$B$42</f>
        <v>23613.472239084</v>
      </c>
      <c r="I64" s="33" t="n">
        <f aca="false">$G64*Premissas!$C$42</f>
        <v>5060.029765518</v>
      </c>
      <c r="J64" s="33" t="n">
        <f aca="false">$G64*Premissas!$D$42</f>
        <v>2698.6825416096</v>
      </c>
      <c r="K64" s="33" t="n">
        <f aca="false">$G64*Premissas!$E$42</f>
        <v>1349.3412708048</v>
      </c>
      <c r="L64" s="33" t="n">
        <f aca="false">$G64*Premissas!$F$42</f>
        <v>1012.0059531036</v>
      </c>
    </row>
    <row r="65" customFormat="false" ht="15" hidden="false" customHeight="true" outlineLevel="0" collapsed="false">
      <c r="A65" s="32" t="n">
        <v>2027</v>
      </c>
      <c r="B65" s="32" t="n">
        <v>4</v>
      </c>
      <c r="C65" s="32" t="s">
        <v>175</v>
      </c>
      <c r="D65" s="32" t="s">
        <v>142</v>
      </c>
      <c r="E65" s="78" t="n">
        <f aca="false">SUMIFS(DRE_por_UN!$H:$H,DRE_por_UN!$C:$C,$C65,DRE_por_UN!$E:$E,$D65)</f>
        <v>37182.6705978</v>
      </c>
      <c r="F65" s="44" t="n">
        <f aca="false">IF($A65=2025,VLOOKUP($D65,Premissas!$A$52:$P$56,12,0),IF($A65=2026,VLOOKUP($D65,Premissas!$A$52:$P$56,13,0),VLOOKUP($D65,Premissas!$A$52:$P$56,14,0)))</f>
        <v>18</v>
      </c>
      <c r="G65" s="33" t="n">
        <f aca="false">E65*F65/30</f>
        <v>22309.60235868</v>
      </c>
      <c r="H65" s="33" t="n">
        <f aca="false">$G65*Premissas!$B$42</f>
        <v>15616.721651076</v>
      </c>
      <c r="I65" s="33" t="n">
        <f aca="false">$G65*Premissas!$C$42</f>
        <v>3346.440353802</v>
      </c>
      <c r="J65" s="33" t="n">
        <f aca="false">$G65*Premissas!$D$42</f>
        <v>1784.7681886944</v>
      </c>
      <c r="K65" s="33" t="n">
        <f aca="false">$G65*Premissas!$E$42</f>
        <v>892.3840943472</v>
      </c>
      <c r="L65" s="33" t="n">
        <f aca="false">$G65*Premissas!$F$42</f>
        <v>669.2880707604</v>
      </c>
    </row>
    <row r="66" customFormat="false" ht="15" hidden="false" customHeight="true" outlineLevel="0" collapsed="false">
      <c r="A66" s="32" t="n">
        <v>2027</v>
      </c>
      <c r="B66" s="32" t="n">
        <v>5</v>
      </c>
      <c r="C66" s="32" t="s">
        <v>176</v>
      </c>
      <c r="D66" s="32" t="s">
        <v>142</v>
      </c>
      <c r="E66" s="78" t="n">
        <f aca="false">SUMIFS(DRE_por_UN!$H:$H,DRE_por_UN!$C:$C,$C66,DRE_por_UN!$E:$E,$D66)</f>
        <v>54106.3447281</v>
      </c>
      <c r="F66" s="44" t="n">
        <f aca="false">IF($A66=2025,VLOOKUP($D66,Premissas!$A$52:$P$56,12,0),IF($A66=2026,VLOOKUP($D66,Premissas!$A$52:$P$56,13,0),VLOOKUP($D66,Premissas!$A$52:$P$56,14,0)))</f>
        <v>18</v>
      </c>
      <c r="G66" s="33" t="n">
        <f aca="false">E66*F66/30</f>
        <v>32463.80683686</v>
      </c>
      <c r="H66" s="33" t="n">
        <f aca="false">$G66*Premissas!$B$42</f>
        <v>22724.664785802</v>
      </c>
      <c r="I66" s="33" t="n">
        <f aca="false">$G66*Premissas!$C$42</f>
        <v>4869.571025529</v>
      </c>
      <c r="J66" s="33" t="n">
        <f aca="false">$G66*Premissas!$D$42</f>
        <v>2597.1045469488</v>
      </c>
      <c r="K66" s="33" t="n">
        <f aca="false">$G66*Premissas!$E$42</f>
        <v>1298.5522734744</v>
      </c>
      <c r="L66" s="33" t="n">
        <f aca="false">$G66*Premissas!$F$42</f>
        <v>973.9142051058</v>
      </c>
    </row>
    <row r="67" customFormat="false" ht="15" hidden="false" customHeight="true" outlineLevel="0" collapsed="false">
      <c r="A67" s="32" t="n">
        <v>2027</v>
      </c>
      <c r="B67" s="32" t="n">
        <v>6</v>
      </c>
      <c r="C67" s="32" t="s">
        <v>177</v>
      </c>
      <c r="D67" s="32" t="s">
        <v>142</v>
      </c>
      <c r="E67" s="78" t="n">
        <f aca="false">SUMIFS(DRE_por_UN!$H:$H,DRE_por_UN!$C:$C,$C67,DRE_por_UN!$E:$E,$D67)</f>
        <v>51547.9254465</v>
      </c>
      <c r="F67" s="44" t="n">
        <f aca="false">IF($A67=2025,VLOOKUP($D67,Premissas!$A$52:$P$56,12,0),IF($A67=2026,VLOOKUP($D67,Premissas!$A$52:$P$56,13,0),VLOOKUP($D67,Premissas!$A$52:$P$56,14,0)))</f>
        <v>18</v>
      </c>
      <c r="G67" s="33" t="n">
        <f aca="false">E67*F67/30</f>
        <v>30928.7552679</v>
      </c>
      <c r="H67" s="33" t="n">
        <f aca="false">$G67*Premissas!$B$42</f>
        <v>21650.12868753</v>
      </c>
      <c r="I67" s="33" t="n">
        <f aca="false">$G67*Premissas!$C$42</f>
        <v>4639.313290185</v>
      </c>
      <c r="J67" s="33" t="n">
        <f aca="false">$G67*Premissas!$D$42</f>
        <v>2474.300421432</v>
      </c>
      <c r="K67" s="33" t="n">
        <f aca="false">$G67*Premissas!$E$42</f>
        <v>1237.150210716</v>
      </c>
      <c r="L67" s="33" t="n">
        <f aca="false">$G67*Premissas!$F$42</f>
        <v>927.862658037</v>
      </c>
    </row>
    <row r="68" customFormat="false" ht="15" hidden="false" customHeight="true" outlineLevel="0" collapsed="false">
      <c r="A68" s="32" t="n">
        <v>2027</v>
      </c>
      <c r="B68" s="32" t="n">
        <v>7</v>
      </c>
      <c r="C68" s="32" t="s">
        <v>178</v>
      </c>
      <c r="D68" s="32" t="s">
        <v>142</v>
      </c>
      <c r="E68" s="78" t="n">
        <f aca="false">SUMIFS(DRE_por_UN!$H:$H,DRE_por_UN!$C:$C,$C68,DRE_por_UN!$E:$E,$D68)</f>
        <v>58960.99021785</v>
      </c>
      <c r="F68" s="44" t="n">
        <f aca="false">IF($A68=2025,VLOOKUP($D68,Premissas!$A$52:$P$56,12,0),IF($A68=2026,VLOOKUP($D68,Premissas!$A$52:$P$56,13,0),VLOOKUP($D68,Premissas!$A$52:$P$56,14,0)))</f>
        <v>18</v>
      </c>
      <c r="G68" s="33" t="n">
        <f aca="false">E68*F68/30</f>
        <v>35376.59413071</v>
      </c>
      <c r="H68" s="33" t="n">
        <f aca="false">$G68*Premissas!$B$42</f>
        <v>24763.615891497</v>
      </c>
      <c r="I68" s="33" t="n">
        <f aca="false">$G68*Premissas!$C$42</f>
        <v>5306.4891196065</v>
      </c>
      <c r="J68" s="33" t="n">
        <f aca="false">$G68*Premissas!$D$42</f>
        <v>2830.1275304568</v>
      </c>
      <c r="K68" s="33" t="n">
        <f aca="false">$G68*Premissas!$E$42</f>
        <v>1415.0637652284</v>
      </c>
      <c r="L68" s="33" t="n">
        <f aca="false">$G68*Premissas!$F$42</f>
        <v>1061.2978239213</v>
      </c>
    </row>
    <row r="69" customFormat="false" ht="15" hidden="false" customHeight="true" outlineLevel="0" collapsed="false">
      <c r="A69" s="32" t="n">
        <v>2027</v>
      </c>
      <c r="B69" s="32" t="n">
        <v>8</v>
      </c>
      <c r="C69" s="32" t="s">
        <v>179</v>
      </c>
      <c r="D69" s="32" t="s">
        <v>142</v>
      </c>
      <c r="E69" s="78" t="n">
        <f aca="false">SUMIFS(DRE_por_UN!$H:$H,DRE_por_UN!$C:$C,$C69,DRE_por_UN!$E:$E,$D69)</f>
        <v>51812.8388652</v>
      </c>
      <c r="F69" s="44" t="n">
        <f aca="false">IF($A69=2025,VLOOKUP($D69,Premissas!$A$52:$P$56,12,0),IF($A69=2026,VLOOKUP($D69,Premissas!$A$52:$P$56,13,0),VLOOKUP($D69,Premissas!$A$52:$P$56,14,0)))</f>
        <v>18</v>
      </c>
      <c r="G69" s="33" t="n">
        <f aca="false">E69*F69/30</f>
        <v>31087.70331912</v>
      </c>
      <c r="H69" s="33" t="n">
        <f aca="false">$G69*Premissas!$B$42</f>
        <v>21761.392323384</v>
      </c>
      <c r="I69" s="33" t="n">
        <f aca="false">$G69*Premissas!$C$42</f>
        <v>4663.155497868</v>
      </c>
      <c r="J69" s="33" t="n">
        <f aca="false">$G69*Premissas!$D$42</f>
        <v>2487.0162655296</v>
      </c>
      <c r="K69" s="33" t="n">
        <f aca="false">$G69*Premissas!$E$42</f>
        <v>1243.5081327648</v>
      </c>
      <c r="L69" s="33" t="n">
        <f aca="false">$G69*Premissas!$F$42</f>
        <v>932.6310995736</v>
      </c>
    </row>
    <row r="70" customFormat="false" ht="15" hidden="false" customHeight="true" outlineLevel="0" collapsed="false">
      <c r="A70" s="32" t="n">
        <v>2027</v>
      </c>
      <c r="B70" s="32" t="n">
        <v>9</v>
      </c>
      <c r="C70" s="32" t="s">
        <v>180</v>
      </c>
      <c r="D70" s="32" t="s">
        <v>142</v>
      </c>
      <c r="E70" s="78" t="n">
        <f aca="false">SUMIFS(DRE_por_UN!$H:$H,DRE_por_UN!$C:$C,$C70,DRE_por_UN!$E:$E,$D70)</f>
        <v>61889.81721825</v>
      </c>
      <c r="F70" s="44" t="n">
        <f aca="false">IF($A70=2025,VLOOKUP($D70,Premissas!$A$52:$P$56,12,0),IF($A70=2026,VLOOKUP($D70,Premissas!$A$52:$P$56,13,0),VLOOKUP($D70,Premissas!$A$52:$P$56,14,0)))</f>
        <v>18</v>
      </c>
      <c r="G70" s="33" t="n">
        <f aca="false">E70*F70/30</f>
        <v>37133.89033095</v>
      </c>
      <c r="H70" s="33" t="n">
        <f aca="false">$G70*Premissas!$B$42</f>
        <v>25993.723231665</v>
      </c>
      <c r="I70" s="33" t="n">
        <f aca="false">$G70*Premissas!$C$42</f>
        <v>5570.0835496425</v>
      </c>
      <c r="J70" s="33" t="n">
        <f aca="false">$G70*Premissas!$D$42</f>
        <v>2970.711226476</v>
      </c>
      <c r="K70" s="33" t="n">
        <f aca="false">$G70*Premissas!$E$42</f>
        <v>1485.355613238</v>
      </c>
      <c r="L70" s="33" t="n">
        <f aca="false">$G70*Premissas!$F$42</f>
        <v>1114.0167099285</v>
      </c>
    </row>
    <row r="71" customFormat="false" ht="15" hidden="false" customHeight="true" outlineLevel="0" collapsed="false">
      <c r="A71" s="32" t="n">
        <v>2027</v>
      </c>
      <c r="B71" s="32" t="n">
        <v>10</v>
      </c>
      <c r="C71" s="32" t="s">
        <v>181</v>
      </c>
      <c r="D71" s="32" t="s">
        <v>142</v>
      </c>
      <c r="E71" s="78" t="n">
        <f aca="false">SUMIFS(DRE_por_UN!$H:$H,DRE_por_UN!$C:$C,$C71,DRE_por_UN!$E:$E,$D71)</f>
        <v>39861.1845135</v>
      </c>
      <c r="F71" s="44" t="n">
        <f aca="false">IF($A71=2025,VLOOKUP($D71,Premissas!$A$52:$P$56,12,0),IF($A71=2026,VLOOKUP($D71,Premissas!$A$52:$P$56,13,0),VLOOKUP($D71,Premissas!$A$52:$P$56,14,0)))</f>
        <v>18</v>
      </c>
      <c r="G71" s="33" t="n">
        <f aca="false">E71*F71/30</f>
        <v>23916.7107081</v>
      </c>
      <c r="H71" s="33" t="n">
        <f aca="false">$G71*Premissas!$B$42</f>
        <v>16741.69749567</v>
      </c>
      <c r="I71" s="33" t="n">
        <f aca="false">$G71*Premissas!$C$42</f>
        <v>3587.506606215</v>
      </c>
      <c r="J71" s="33" t="n">
        <f aca="false">$G71*Premissas!$D$42</f>
        <v>1913.336856648</v>
      </c>
      <c r="K71" s="33" t="n">
        <f aca="false">$G71*Premissas!$E$42</f>
        <v>956.668428324</v>
      </c>
      <c r="L71" s="33" t="n">
        <f aca="false">$G71*Premissas!$F$42</f>
        <v>717.501321243</v>
      </c>
    </row>
    <row r="72" customFormat="false" ht="15" hidden="false" customHeight="true" outlineLevel="0" collapsed="false">
      <c r="A72" s="32" t="n">
        <v>2027</v>
      </c>
      <c r="B72" s="32" t="n">
        <v>11</v>
      </c>
      <c r="C72" s="32" t="s">
        <v>182</v>
      </c>
      <c r="D72" s="32" t="s">
        <v>142</v>
      </c>
      <c r="E72" s="78" t="n">
        <f aca="false">SUMIFS(DRE_por_UN!$H:$H,DRE_por_UN!$C:$C,$C72,DRE_por_UN!$E:$E,$D72)</f>
        <v>63221.60183535</v>
      </c>
      <c r="F72" s="44" t="n">
        <f aca="false">IF($A72=2025,VLOOKUP($D72,Premissas!$A$52:$P$56,12,0),IF($A72=2026,VLOOKUP($D72,Premissas!$A$52:$P$56,13,0),VLOOKUP($D72,Premissas!$A$52:$P$56,14,0)))</f>
        <v>18</v>
      </c>
      <c r="G72" s="33" t="n">
        <f aca="false">E72*F72/30</f>
        <v>37932.96110121</v>
      </c>
      <c r="H72" s="33" t="n">
        <f aca="false">$G72*Premissas!$B$42</f>
        <v>26553.072770847</v>
      </c>
      <c r="I72" s="33" t="n">
        <f aca="false">$G72*Premissas!$C$42</f>
        <v>5689.9441651815</v>
      </c>
      <c r="J72" s="33" t="n">
        <f aca="false">$G72*Premissas!$D$42</f>
        <v>3034.6368880968</v>
      </c>
      <c r="K72" s="33" t="n">
        <f aca="false">$G72*Premissas!$E$42</f>
        <v>1517.3184440484</v>
      </c>
      <c r="L72" s="33" t="n">
        <f aca="false">$G72*Premissas!$F$42</f>
        <v>1137.9888330363</v>
      </c>
    </row>
    <row r="73" customFormat="false" ht="15" hidden="false" customHeight="true" outlineLevel="0" collapsed="false">
      <c r="A73" s="32" t="n">
        <v>2027</v>
      </c>
      <c r="B73" s="32" t="n">
        <v>12</v>
      </c>
      <c r="C73" s="32" t="s">
        <v>183</v>
      </c>
      <c r="D73" s="32" t="s">
        <v>142</v>
      </c>
      <c r="E73" s="78" t="n">
        <f aca="false">SUMIFS(DRE_por_UN!$H:$H,DRE_por_UN!$C:$C,$C73,DRE_por_UN!$E:$E,$D73)</f>
        <v>71730.22195185</v>
      </c>
      <c r="F73" s="44" t="n">
        <f aca="false">IF($A73=2025,VLOOKUP($D73,Premissas!$A$52:$P$56,12,0),IF($A73=2026,VLOOKUP($D73,Premissas!$A$52:$P$56,13,0),VLOOKUP($D73,Premissas!$A$52:$P$56,14,0)))</f>
        <v>18</v>
      </c>
      <c r="G73" s="33" t="n">
        <f aca="false">E73*F73/30</f>
        <v>43038.13317111</v>
      </c>
      <c r="H73" s="33" t="n">
        <f aca="false">$G73*Premissas!$B$42</f>
        <v>30126.693219777</v>
      </c>
      <c r="I73" s="33" t="n">
        <f aca="false">$G73*Premissas!$C$42</f>
        <v>6455.7199756665</v>
      </c>
      <c r="J73" s="33" t="n">
        <f aca="false">$G73*Premissas!$D$42</f>
        <v>3443.0506536888</v>
      </c>
      <c r="K73" s="33" t="n">
        <f aca="false">$G73*Premissas!$E$42</f>
        <v>1721.5253268444</v>
      </c>
      <c r="L73" s="33" t="n">
        <f aca="false">$G73*Premissas!$F$42</f>
        <v>1291.1439951333</v>
      </c>
    </row>
    <row r="74" customFormat="false" ht="15" hidden="false" customHeight="true" outlineLevel="0" collapsed="false">
      <c r="A74" s="32" t="n">
        <v>2025</v>
      </c>
      <c r="B74" s="32" t="n">
        <v>1</v>
      </c>
      <c r="C74" s="32" t="s">
        <v>148</v>
      </c>
      <c r="D74" s="32" t="s">
        <v>143</v>
      </c>
      <c r="E74" s="78" t="n">
        <f aca="false">SUMIFS(DRE_por_UN!$H:$H,DRE_por_UN!$C:$C,$C74,DRE_por_UN!$E:$E,$D74)</f>
        <v>16801.54</v>
      </c>
      <c r="F74" s="44" t="n">
        <f aca="false">IF($A74=2025,VLOOKUP($D74,Premissas!$A$52:$P$56,12,0),IF($A74=2026,VLOOKUP($D74,Premissas!$A$52:$P$56,13,0),VLOOKUP($D74,Premissas!$A$52:$P$56,14,0)))</f>
        <v>45</v>
      </c>
      <c r="G74" s="33" t="n">
        <f aca="false">E74*F74/30</f>
        <v>25202.31</v>
      </c>
      <c r="H74" s="33" t="n">
        <f aca="false">$G74*Premissas!$B$42</f>
        <v>17641.617</v>
      </c>
      <c r="I74" s="33" t="n">
        <f aca="false">$G74*Premissas!$C$42</f>
        <v>3780.3465</v>
      </c>
      <c r="J74" s="33" t="n">
        <f aca="false">$G74*Premissas!$D$42</f>
        <v>2016.1848</v>
      </c>
      <c r="K74" s="33" t="n">
        <f aca="false">$G74*Premissas!$E$42</f>
        <v>1008.0924</v>
      </c>
      <c r="L74" s="33" t="n">
        <f aca="false">$G74*Premissas!$F$42</f>
        <v>756.0693</v>
      </c>
    </row>
    <row r="75" customFormat="false" ht="15" hidden="false" customHeight="true" outlineLevel="0" collapsed="false">
      <c r="A75" s="32" t="n">
        <v>2025</v>
      </c>
      <c r="B75" s="32" t="n">
        <v>2</v>
      </c>
      <c r="C75" s="32" t="s">
        <v>149</v>
      </c>
      <c r="D75" s="32" t="s">
        <v>143</v>
      </c>
      <c r="E75" s="78" t="n">
        <f aca="false">SUMIFS(DRE_por_UN!$H:$H,DRE_por_UN!$C:$C,$C75,DRE_por_UN!$E:$E,$D75)</f>
        <v>3380.53</v>
      </c>
      <c r="F75" s="44" t="n">
        <f aca="false">IF($A75=2025,VLOOKUP($D75,Premissas!$A$52:$P$56,12,0),IF($A75=2026,VLOOKUP($D75,Premissas!$A$52:$P$56,13,0),VLOOKUP($D75,Premissas!$A$52:$P$56,14,0)))</f>
        <v>45</v>
      </c>
      <c r="G75" s="33" t="n">
        <f aca="false">E75*F75/30</f>
        <v>5070.795</v>
      </c>
      <c r="H75" s="33" t="n">
        <f aca="false">$G75*Premissas!$B$42</f>
        <v>3549.5565</v>
      </c>
      <c r="I75" s="33" t="n">
        <f aca="false">$G75*Premissas!$C$42</f>
        <v>760.61925</v>
      </c>
      <c r="J75" s="33" t="n">
        <f aca="false">$G75*Premissas!$D$42</f>
        <v>405.6636</v>
      </c>
      <c r="K75" s="33" t="n">
        <f aca="false">$G75*Premissas!$E$42</f>
        <v>202.8318</v>
      </c>
      <c r="L75" s="33" t="n">
        <f aca="false">$G75*Premissas!$F$42</f>
        <v>152.12385</v>
      </c>
    </row>
    <row r="76" customFormat="false" ht="15" hidden="false" customHeight="true" outlineLevel="0" collapsed="false">
      <c r="A76" s="32" t="n">
        <v>2025</v>
      </c>
      <c r="B76" s="32" t="n">
        <v>3</v>
      </c>
      <c r="C76" s="32" t="s">
        <v>150</v>
      </c>
      <c r="D76" s="32" t="s">
        <v>143</v>
      </c>
      <c r="E76" s="78" t="n">
        <f aca="false">SUMIFS(DRE_por_UN!$H:$H,DRE_por_UN!$C:$C,$C76,DRE_por_UN!$E:$E,$D76)</f>
        <v>5370.67</v>
      </c>
      <c r="F76" s="44" t="n">
        <f aca="false">IF($A76=2025,VLOOKUP($D76,Premissas!$A$52:$P$56,12,0),IF($A76=2026,VLOOKUP($D76,Premissas!$A$52:$P$56,13,0),VLOOKUP($D76,Premissas!$A$52:$P$56,14,0)))</f>
        <v>45</v>
      </c>
      <c r="G76" s="33" t="n">
        <f aca="false">E76*F76/30</f>
        <v>8056.005</v>
      </c>
      <c r="H76" s="33" t="n">
        <f aca="false">$G76*Premissas!$B$42</f>
        <v>5639.2035</v>
      </c>
      <c r="I76" s="33" t="n">
        <f aca="false">$G76*Premissas!$C$42</f>
        <v>1208.40075</v>
      </c>
      <c r="J76" s="33" t="n">
        <f aca="false">$G76*Premissas!$D$42</f>
        <v>644.4804</v>
      </c>
      <c r="K76" s="33" t="n">
        <f aca="false">$G76*Premissas!$E$42</f>
        <v>322.2402</v>
      </c>
      <c r="L76" s="33" t="n">
        <f aca="false">$G76*Premissas!$F$42</f>
        <v>241.68015</v>
      </c>
    </row>
    <row r="77" customFormat="false" ht="15" hidden="false" customHeight="true" outlineLevel="0" collapsed="false">
      <c r="A77" s="32" t="n">
        <v>2025</v>
      </c>
      <c r="B77" s="32" t="n">
        <v>4</v>
      </c>
      <c r="C77" s="32" t="s">
        <v>151</v>
      </c>
      <c r="D77" s="32" t="s">
        <v>143</v>
      </c>
      <c r="E77" s="78" t="n">
        <f aca="false">SUMIFS(DRE_por_UN!$H:$H,DRE_por_UN!$C:$C,$C77,DRE_por_UN!$E:$E,$D77)</f>
        <v>5230.02</v>
      </c>
      <c r="F77" s="44" t="n">
        <f aca="false">IF($A77=2025,VLOOKUP($D77,Premissas!$A$52:$P$56,12,0),IF($A77=2026,VLOOKUP($D77,Premissas!$A$52:$P$56,13,0),VLOOKUP($D77,Premissas!$A$52:$P$56,14,0)))</f>
        <v>45</v>
      </c>
      <c r="G77" s="33" t="n">
        <f aca="false">E77*F77/30</f>
        <v>7845.03</v>
      </c>
      <c r="H77" s="33" t="n">
        <f aca="false">$G77*Premissas!$B$42</f>
        <v>5491.521</v>
      </c>
      <c r="I77" s="33" t="n">
        <f aca="false">$G77*Premissas!$C$42</f>
        <v>1176.7545</v>
      </c>
      <c r="J77" s="33" t="n">
        <f aca="false">$G77*Premissas!$D$42</f>
        <v>627.6024</v>
      </c>
      <c r="K77" s="33" t="n">
        <f aca="false">$G77*Premissas!$E$42</f>
        <v>313.8012</v>
      </c>
      <c r="L77" s="33" t="n">
        <f aca="false">$G77*Premissas!$F$42</f>
        <v>235.3509</v>
      </c>
    </row>
    <row r="78" customFormat="false" ht="15" hidden="false" customHeight="true" outlineLevel="0" collapsed="false">
      <c r="A78" s="32" t="n">
        <v>2025</v>
      </c>
      <c r="B78" s="32" t="n">
        <v>5</v>
      </c>
      <c r="C78" s="32" t="s">
        <v>152</v>
      </c>
      <c r="D78" s="32" t="s">
        <v>143</v>
      </c>
      <c r="E78" s="78" t="n">
        <f aca="false">SUMIFS(DRE_por_UN!$H:$H,DRE_por_UN!$C:$C,$C78,DRE_por_UN!$E:$E,$D78)</f>
        <v>5190.43</v>
      </c>
      <c r="F78" s="44" t="n">
        <f aca="false">IF($A78=2025,VLOOKUP($D78,Premissas!$A$52:$P$56,12,0),IF($A78=2026,VLOOKUP($D78,Premissas!$A$52:$P$56,13,0),VLOOKUP($D78,Premissas!$A$52:$P$56,14,0)))</f>
        <v>45</v>
      </c>
      <c r="G78" s="33" t="n">
        <f aca="false">E78*F78/30</f>
        <v>7785.645</v>
      </c>
      <c r="H78" s="33" t="n">
        <f aca="false">$G78*Premissas!$B$42</f>
        <v>5449.9515</v>
      </c>
      <c r="I78" s="33" t="n">
        <f aca="false">$G78*Premissas!$C$42</f>
        <v>1167.84675</v>
      </c>
      <c r="J78" s="33" t="n">
        <f aca="false">$G78*Premissas!$D$42</f>
        <v>622.8516</v>
      </c>
      <c r="K78" s="33" t="n">
        <f aca="false">$G78*Premissas!$E$42</f>
        <v>311.4258</v>
      </c>
      <c r="L78" s="33" t="n">
        <f aca="false">$G78*Premissas!$F$42</f>
        <v>233.56935</v>
      </c>
    </row>
    <row r="79" customFormat="false" ht="15" hidden="false" customHeight="true" outlineLevel="0" collapsed="false">
      <c r="A79" s="32" t="n">
        <v>2025</v>
      </c>
      <c r="B79" s="32" t="n">
        <v>6</v>
      </c>
      <c r="C79" s="32" t="s">
        <v>153</v>
      </c>
      <c r="D79" s="32" t="s">
        <v>143</v>
      </c>
      <c r="E79" s="78" t="n">
        <f aca="false">SUMIFS(DRE_por_UN!$H:$H,DRE_por_UN!$C:$C,$C79,DRE_por_UN!$E:$E,$D79)</f>
        <v>4250.37</v>
      </c>
      <c r="F79" s="44" t="n">
        <f aca="false">IF($A79=2025,VLOOKUP($D79,Premissas!$A$52:$P$56,12,0),IF($A79=2026,VLOOKUP($D79,Premissas!$A$52:$P$56,13,0),VLOOKUP($D79,Premissas!$A$52:$P$56,14,0)))</f>
        <v>45</v>
      </c>
      <c r="G79" s="33" t="n">
        <f aca="false">E79*F79/30</f>
        <v>6375.555</v>
      </c>
      <c r="H79" s="33" t="n">
        <f aca="false">$G79*Premissas!$B$42</f>
        <v>4462.8885</v>
      </c>
      <c r="I79" s="33" t="n">
        <f aca="false">$G79*Premissas!$C$42</f>
        <v>956.33325</v>
      </c>
      <c r="J79" s="33" t="n">
        <f aca="false">$G79*Premissas!$D$42</f>
        <v>510.0444</v>
      </c>
      <c r="K79" s="33" t="n">
        <f aca="false">$G79*Premissas!$E$42</f>
        <v>255.0222</v>
      </c>
      <c r="L79" s="33" t="n">
        <f aca="false">$G79*Premissas!$F$42</f>
        <v>191.26665</v>
      </c>
    </row>
    <row r="80" customFormat="false" ht="15" hidden="false" customHeight="true" outlineLevel="0" collapsed="false">
      <c r="A80" s="32" t="n">
        <v>2025</v>
      </c>
      <c r="B80" s="32" t="n">
        <v>7</v>
      </c>
      <c r="C80" s="32" t="s">
        <v>154</v>
      </c>
      <c r="D80" s="32" t="s">
        <v>143</v>
      </c>
      <c r="E80" s="78" t="n">
        <f aca="false">SUMIFS(DRE_por_UN!$H:$H,DRE_por_UN!$C:$C,$C80,DRE_por_UN!$E:$E,$D80)</f>
        <v>3513.89</v>
      </c>
      <c r="F80" s="44" t="n">
        <f aca="false">IF($A80=2025,VLOOKUP($D80,Premissas!$A$52:$P$56,12,0),IF($A80=2026,VLOOKUP($D80,Premissas!$A$52:$P$56,13,0),VLOOKUP($D80,Premissas!$A$52:$P$56,14,0)))</f>
        <v>45</v>
      </c>
      <c r="G80" s="33" t="n">
        <f aca="false">E80*F80/30</f>
        <v>5270.835</v>
      </c>
      <c r="H80" s="33" t="n">
        <f aca="false">$G80*Premissas!$B$42</f>
        <v>3689.5845</v>
      </c>
      <c r="I80" s="33" t="n">
        <f aca="false">$G80*Premissas!$C$42</f>
        <v>790.62525</v>
      </c>
      <c r="J80" s="33" t="n">
        <f aca="false">$G80*Premissas!$D$42</f>
        <v>421.6668</v>
      </c>
      <c r="K80" s="33" t="n">
        <f aca="false">$G80*Premissas!$E$42</f>
        <v>210.8334</v>
      </c>
      <c r="L80" s="33" t="n">
        <f aca="false">$G80*Premissas!$F$42</f>
        <v>158.12505</v>
      </c>
    </row>
    <row r="81" customFormat="false" ht="15" hidden="false" customHeight="true" outlineLevel="0" collapsed="false">
      <c r="A81" s="32" t="n">
        <v>2025</v>
      </c>
      <c r="B81" s="32" t="n">
        <v>8</v>
      </c>
      <c r="C81" s="32" t="s">
        <v>155</v>
      </c>
      <c r="D81" s="32" t="s">
        <v>143</v>
      </c>
      <c r="E81" s="78" t="n">
        <f aca="false">SUMIFS(DRE_por_UN!$H:$H,DRE_por_UN!$C:$C,$C81,DRE_por_UN!$E:$E,$D81)</f>
        <v>3697.77</v>
      </c>
      <c r="F81" s="44" t="n">
        <f aca="false">IF($A81=2025,VLOOKUP($D81,Premissas!$A$52:$P$56,12,0),IF($A81=2026,VLOOKUP($D81,Premissas!$A$52:$P$56,13,0),VLOOKUP($D81,Premissas!$A$52:$P$56,14,0)))</f>
        <v>45</v>
      </c>
      <c r="G81" s="33" t="n">
        <f aca="false">E81*F81/30</f>
        <v>5546.655</v>
      </c>
      <c r="H81" s="33" t="n">
        <f aca="false">$G81*Premissas!$B$42</f>
        <v>3882.6585</v>
      </c>
      <c r="I81" s="33" t="n">
        <f aca="false">$G81*Premissas!$C$42</f>
        <v>831.99825</v>
      </c>
      <c r="J81" s="33" t="n">
        <f aca="false">$G81*Premissas!$D$42</f>
        <v>443.7324</v>
      </c>
      <c r="K81" s="33" t="n">
        <f aca="false">$G81*Premissas!$E$42</f>
        <v>221.8662</v>
      </c>
      <c r="L81" s="33" t="n">
        <f aca="false">$G81*Premissas!$F$42</f>
        <v>166.39965</v>
      </c>
    </row>
    <row r="82" customFormat="false" ht="15" hidden="false" customHeight="true" outlineLevel="0" collapsed="false">
      <c r="A82" s="32" t="n">
        <v>2025</v>
      </c>
      <c r="B82" s="32" t="n">
        <v>9</v>
      </c>
      <c r="C82" s="32" t="s">
        <v>156</v>
      </c>
      <c r="D82" s="32" t="s">
        <v>143</v>
      </c>
      <c r="E82" s="78" t="n">
        <f aca="false">SUMIFS(DRE_por_UN!$H:$H,DRE_por_UN!$C:$C,$C82,DRE_por_UN!$E:$E,$D82)</f>
        <v>13494.69</v>
      </c>
      <c r="F82" s="44" t="n">
        <f aca="false">IF($A82=2025,VLOOKUP($D82,Premissas!$A$52:$P$56,12,0),IF($A82=2026,VLOOKUP($D82,Premissas!$A$52:$P$56,13,0),VLOOKUP($D82,Premissas!$A$52:$P$56,14,0)))</f>
        <v>45</v>
      </c>
      <c r="G82" s="33" t="n">
        <f aca="false">E82*F82/30</f>
        <v>20242.035</v>
      </c>
      <c r="H82" s="33" t="n">
        <f aca="false">$G82*Premissas!$B$42</f>
        <v>14169.4245</v>
      </c>
      <c r="I82" s="33" t="n">
        <f aca="false">$G82*Premissas!$C$42</f>
        <v>3036.30525</v>
      </c>
      <c r="J82" s="33" t="n">
        <f aca="false">$G82*Premissas!$D$42</f>
        <v>1619.3628</v>
      </c>
      <c r="K82" s="33" t="n">
        <f aca="false">$G82*Premissas!$E$42</f>
        <v>809.6814</v>
      </c>
      <c r="L82" s="33" t="n">
        <f aca="false">$G82*Premissas!$F$42</f>
        <v>607.26105</v>
      </c>
    </row>
    <row r="83" customFormat="false" ht="15" hidden="false" customHeight="true" outlineLevel="0" collapsed="false">
      <c r="A83" s="32" t="n">
        <v>2025</v>
      </c>
      <c r="B83" s="32" t="n">
        <v>10</v>
      </c>
      <c r="C83" s="32" t="s">
        <v>157</v>
      </c>
      <c r="D83" s="32" t="s">
        <v>143</v>
      </c>
      <c r="E83" s="78" t="n">
        <f aca="false">SUMIFS(DRE_por_UN!$H:$H,DRE_por_UN!$C:$C,$C83,DRE_por_UN!$E:$E,$D83)</f>
        <v>4034.19</v>
      </c>
      <c r="F83" s="44" t="n">
        <f aca="false">IF($A83=2025,VLOOKUP($D83,Premissas!$A$52:$P$56,12,0),IF($A83=2026,VLOOKUP($D83,Premissas!$A$52:$P$56,13,0),VLOOKUP($D83,Premissas!$A$52:$P$56,14,0)))</f>
        <v>45</v>
      </c>
      <c r="G83" s="33" t="n">
        <f aca="false">E83*F83/30</f>
        <v>6051.285</v>
      </c>
      <c r="H83" s="33" t="n">
        <f aca="false">$G83*Premissas!$B$42</f>
        <v>4235.8995</v>
      </c>
      <c r="I83" s="33" t="n">
        <f aca="false">$G83*Premissas!$C$42</f>
        <v>907.69275</v>
      </c>
      <c r="J83" s="33" t="n">
        <f aca="false">$G83*Premissas!$D$42</f>
        <v>484.1028</v>
      </c>
      <c r="K83" s="33" t="n">
        <f aca="false">$G83*Premissas!$E$42</f>
        <v>242.0514</v>
      </c>
      <c r="L83" s="33" t="n">
        <f aca="false">$G83*Premissas!$F$42</f>
        <v>181.53855</v>
      </c>
    </row>
    <row r="84" customFormat="false" ht="15" hidden="false" customHeight="true" outlineLevel="0" collapsed="false">
      <c r="A84" s="32" t="n">
        <v>2025</v>
      </c>
      <c r="B84" s="32" t="n">
        <v>11</v>
      </c>
      <c r="C84" s="32" t="s">
        <v>158</v>
      </c>
      <c r="D84" s="32" t="s">
        <v>143</v>
      </c>
      <c r="E84" s="78" t="n">
        <f aca="false">SUMIFS(DRE_por_UN!$H:$H,DRE_por_UN!$C:$C,$C84,DRE_por_UN!$E:$E,$D84)</f>
        <v>3363.74</v>
      </c>
      <c r="F84" s="44" t="n">
        <f aca="false">IF($A84=2025,VLOOKUP($D84,Premissas!$A$52:$P$56,12,0),IF($A84=2026,VLOOKUP($D84,Premissas!$A$52:$P$56,13,0),VLOOKUP($D84,Premissas!$A$52:$P$56,14,0)))</f>
        <v>45</v>
      </c>
      <c r="G84" s="33" t="n">
        <f aca="false">E84*F84/30</f>
        <v>5045.61</v>
      </c>
      <c r="H84" s="33" t="n">
        <f aca="false">$G84*Premissas!$B$42</f>
        <v>3531.927</v>
      </c>
      <c r="I84" s="33" t="n">
        <f aca="false">$G84*Premissas!$C$42</f>
        <v>756.8415</v>
      </c>
      <c r="J84" s="33" t="n">
        <f aca="false">$G84*Premissas!$D$42</f>
        <v>403.6488</v>
      </c>
      <c r="K84" s="33" t="n">
        <f aca="false">$G84*Premissas!$E$42</f>
        <v>201.8244</v>
      </c>
      <c r="L84" s="33" t="n">
        <f aca="false">$G84*Premissas!$F$42</f>
        <v>151.3683</v>
      </c>
    </row>
    <row r="85" customFormat="false" ht="15" hidden="false" customHeight="true" outlineLevel="0" collapsed="false">
      <c r="A85" s="32" t="n">
        <v>2025</v>
      </c>
      <c r="B85" s="32" t="n">
        <v>12</v>
      </c>
      <c r="C85" s="32" t="s">
        <v>159</v>
      </c>
      <c r="D85" s="32" t="s">
        <v>143</v>
      </c>
      <c r="E85" s="78" t="n">
        <f aca="false">SUMIFS(DRE_por_UN!$H:$H,DRE_por_UN!$C:$C,$C85,DRE_por_UN!$E:$E,$D85)</f>
        <v>9543.32</v>
      </c>
      <c r="F85" s="44" t="n">
        <f aca="false">IF($A85=2025,VLOOKUP($D85,Premissas!$A$52:$P$56,12,0),IF($A85=2026,VLOOKUP($D85,Premissas!$A$52:$P$56,13,0),VLOOKUP($D85,Premissas!$A$52:$P$56,14,0)))</f>
        <v>45</v>
      </c>
      <c r="G85" s="33" t="n">
        <f aca="false">E85*F85/30</f>
        <v>14314.98</v>
      </c>
      <c r="H85" s="33" t="n">
        <f aca="false">$G85*Premissas!$B$42</f>
        <v>10020.486</v>
      </c>
      <c r="I85" s="33" t="n">
        <f aca="false">$G85*Premissas!$C$42</f>
        <v>2147.247</v>
      </c>
      <c r="J85" s="33" t="n">
        <f aca="false">$G85*Premissas!$D$42</f>
        <v>1145.1984</v>
      </c>
      <c r="K85" s="33" t="n">
        <f aca="false">$G85*Premissas!$E$42</f>
        <v>572.5992</v>
      </c>
      <c r="L85" s="33" t="n">
        <f aca="false">$G85*Premissas!$F$42</f>
        <v>429.4494</v>
      </c>
    </row>
    <row r="86" customFormat="false" ht="15" hidden="false" customHeight="true" outlineLevel="0" collapsed="false">
      <c r="A86" s="32" t="n">
        <v>2026</v>
      </c>
      <c r="B86" s="32" t="n">
        <v>1</v>
      </c>
      <c r="C86" s="32" t="s">
        <v>160</v>
      </c>
      <c r="D86" s="32" t="s">
        <v>143</v>
      </c>
      <c r="E86" s="78" t="n">
        <f aca="false">SUMIFS(DRE_por_UN!$H:$H,DRE_por_UN!$C:$C,$C86,DRE_por_UN!$E:$E,$D86)</f>
        <v>13919.89</v>
      </c>
      <c r="F86" s="44" t="n">
        <f aca="false">IF($A86=2025,VLOOKUP($D86,Premissas!$A$52:$P$56,12,0),IF($A86=2026,VLOOKUP($D86,Premissas!$A$52:$P$56,13,0),VLOOKUP($D86,Premissas!$A$52:$P$56,14,0)))</f>
        <v>50</v>
      </c>
      <c r="G86" s="33" t="n">
        <f aca="false">E86*F86/30</f>
        <v>23199.8166666667</v>
      </c>
      <c r="H86" s="33" t="n">
        <f aca="false">$G86*Premissas!$B$42</f>
        <v>16239.8716666667</v>
      </c>
      <c r="I86" s="33" t="n">
        <f aca="false">$G86*Premissas!$C$42</f>
        <v>3479.9725</v>
      </c>
      <c r="J86" s="33" t="n">
        <f aca="false">$G86*Premissas!$D$42</f>
        <v>1855.98533333333</v>
      </c>
      <c r="K86" s="33" t="n">
        <f aca="false">$G86*Premissas!$E$42</f>
        <v>927.992666666667</v>
      </c>
      <c r="L86" s="33" t="n">
        <f aca="false">$G86*Premissas!$F$42</f>
        <v>695.9945</v>
      </c>
    </row>
    <row r="87" customFormat="false" ht="15" hidden="false" customHeight="true" outlineLevel="0" collapsed="false">
      <c r="A87" s="32" t="n">
        <v>2026</v>
      </c>
      <c r="B87" s="32" t="n">
        <v>2</v>
      </c>
      <c r="C87" s="32" t="s">
        <v>161</v>
      </c>
      <c r="D87" s="32" t="s">
        <v>143</v>
      </c>
      <c r="E87" s="78" t="n">
        <f aca="false">SUMIFS(DRE_por_UN!$H:$H,DRE_por_UN!$C:$C,$C87,DRE_por_UN!$E:$E,$D87)</f>
        <v>2193.46</v>
      </c>
      <c r="F87" s="44" t="n">
        <f aca="false">IF($A87=2025,VLOOKUP($D87,Premissas!$A$52:$P$56,12,0),IF($A87=2026,VLOOKUP($D87,Premissas!$A$52:$P$56,13,0),VLOOKUP($D87,Premissas!$A$52:$P$56,14,0)))</f>
        <v>50</v>
      </c>
      <c r="G87" s="33" t="n">
        <f aca="false">E87*F87/30</f>
        <v>3655.76666666667</v>
      </c>
      <c r="H87" s="33" t="n">
        <f aca="false">$G87*Premissas!$B$42</f>
        <v>2559.03666666667</v>
      </c>
      <c r="I87" s="33" t="n">
        <f aca="false">$G87*Premissas!$C$42</f>
        <v>548.365</v>
      </c>
      <c r="J87" s="33" t="n">
        <f aca="false">$G87*Premissas!$D$42</f>
        <v>292.461333333333</v>
      </c>
      <c r="K87" s="33" t="n">
        <f aca="false">$G87*Premissas!$E$42</f>
        <v>146.230666666667</v>
      </c>
      <c r="L87" s="33" t="n">
        <f aca="false">$G87*Premissas!$F$42</f>
        <v>109.673</v>
      </c>
    </row>
    <row r="88" customFormat="false" ht="15" hidden="false" customHeight="true" outlineLevel="0" collapsed="false">
      <c r="A88" s="32" t="n">
        <v>2026</v>
      </c>
      <c r="B88" s="32" t="n">
        <v>3</v>
      </c>
      <c r="C88" s="32" t="s">
        <v>162</v>
      </c>
      <c r="D88" s="32" t="s">
        <v>143</v>
      </c>
      <c r="E88" s="78" t="n">
        <f aca="false">SUMIFS(DRE_por_UN!$H:$H,DRE_por_UN!$C:$C,$C88,DRE_por_UN!$E:$E,$D88)</f>
        <v>4167.74</v>
      </c>
      <c r="F88" s="44" t="n">
        <f aca="false">IF($A88=2025,VLOOKUP($D88,Premissas!$A$52:$P$56,12,0),IF($A88=2026,VLOOKUP($D88,Premissas!$A$52:$P$56,13,0),VLOOKUP($D88,Premissas!$A$52:$P$56,14,0)))</f>
        <v>50</v>
      </c>
      <c r="G88" s="33" t="n">
        <f aca="false">E88*F88/30</f>
        <v>6946.23333333333</v>
      </c>
      <c r="H88" s="33" t="n">
        <f aca="false">$G88*Premissas!$B$42</f>
        <v>4862.36333333333</v>
      </c>
      <c r="I88" s="33" t="n">
        <f aca="false">$G88*Premissas!$C$42</f>
        <v>1041.935</v>
      </c>
      <c r="J88" s="33" t="n">
        <f aca="false">$G88*Premissas!$D$42</f>
        <v>555.698666666667</v>
      </c>
      <c r="K88" s="33" t="n">
        <f aca="false">$G88*Premissas!$E$42</f>
        <v>277.849333333333</v>
      </c>
      <c r="L88" s="33" t="n">
        <f aca="false">$G88*Premissas!$F$42</f>
        <v>208.387</v>
      </c>
    </row>
    <row r="89" customFormat="false" ht="15" hidden="false" customHeight="true" outlineLevel="0" collapsed="false">
      <c r="A89" s="32" t="n">
        <v>2026</v>
      </c>
      <c r="B89" s="32" t="n">
        <v>4</v>
      </c>
      <c r="C89" s="32" t="s">
        <v>163</v>
      </c>
      <c r="D89" s="32" t="s">
        <v>143</v>
      </c>
      <c r="E89" s="78" t="n">
        <f aca="false">SUMIFS(DRE_por_UN!$H:$H,DRE_por_UN!$C:$C,$C89,DRE_por_UN!$E:$E,$D89)</f>
        <v>3892.4</v>
      </c>
      <c r="F89" s="44" t="n">
        <f aca="false">IF($A89=2025,VLOOKUP($D89,Premissas!$A$52:$P$56,12,0),IF($A89=2026,VLOOKUP($D89,Premissas!$A$52:$P$56,13,0),VLOOKUP($D89,Premissas!$A$52:$P$56,14,0)))</f>
        <v>50</v>
      </c>
      <c r="G89" s="33" t="n">
        <f aca="false">E89*F89/30</f>
        <v>6487.33333333333</v>
      </c>
      <c r="H89" s="33" t="n">
        <f aca="false">$G89*Premissas!$B$42</f>
        <v>4541.13333333333</v>
      </c>
      <c r="I89" s="33" t="n">
        <f aca="false">$G89*Premissas!$C$42</f>
        <v>973.1</v>
      </c>
      <c r="J89" s="33" t="n">
        <f aca="false">$G89*Premissas!$D$42</f>
        <v>518.986666666667</v>
      </c>
      <c r="K89" s="33" t="n">
        <f aca="false">$G89*Premissas!$E$42</f>
        <v>259.493333333333</v>
      </c>
      <c r="L89" s="33" t="n">
        <f aca="false">$G89*Premissas!$F$42</f>
        <v>194.62</v>
      </c>
    </row>
    <row r="90" customFormat="false" ht="15" hidden="false" customHeight="true" outlineLevel="0" collapsed="false">
      <c r="A90" s="32" t="n">
        <v>2026</v>
      </c>
      <c r="B90" s="32" t="n">
        <v>5</v>
      </c>
      <c r="C90" s="32" t="s">
        <v>164</v>
      </c>
      <c r="D90" s="32" t="s">
        <v>143</v>
      </c>
      <c r="E90" s="78" t="n">
        <f aca="false">SUMIFS(DRE_por_UN!$H:$H,DRE_por_UN!$C:$C,$C90,DRE_por_UN!$E:$E,$D90)</f>
        <v>23734.33</v>
      </c>
      <c r="F90" s="44" t="n">
        <f aca="false">IF($A90=2025,VLOOKUP($D90,Premissas!$A$52:$P$56,12,0),IF($A90=2026,VLOOKUP($D90,Premissas!$A$52:$P$56,13,0),VLOOKUP($D90,Premissas!$A$52:$P$56,14,0)))</f>
        <v>50</v>
      </c>
      <c r="G90" s="33" t="n">
        <f aca="false">E90*F90/30</f>
        <v>39557.2166666667</v>
      </c>
      <c r="H90" s="33" t="n">
        <f aca="false">$G90*Premissas!$B$42</f>
        <v>27690.0516666667</v>
      </c>
      <c r="I90" s="33" t="n">
        <f aca="false">$G90*Premissas!$C$42</f>
        <v>5933.5825</v>
      </c>
      <c r="J90" s="33" t="n">
        <f aca="false">$G90*Premissas!$D$42</f>
        <v>3164.57733333333</v>
      </c>
      <c r="K90" s="33" t="n">
        <f aca="false">$G90*Premissas!$E$42</f>
        <v>1582.28866666667</v>
      </c>
      <c r="L90" s="33" t="n">
        <f aca="false">$G90*Premissas!$F$42</f>
        <v>1186.7165</v>
      </c>
    </row>
    <row r="91" customFormat="false" ht="15" hidden="false" customHeight="true" outlineLevel="0" collapsed="false">
      <c r="A91" s="32" t="n">
        <v>2026</v>
      </c>
      <c r="B91" s="32" t="n">
        <v>6</v>
      </c>
      <c r="C91" s="32" t="s">
        <v>165</v>
      </c>
      <c r="D91" s="32" t="s">
        <v>143</v>
      </c>
      <c r="E91" s="78" t="n">
        <f aca="false">SUMIFS(DRE_por_UN!$H:$H,DRE_por_UN!$C:$C,$C91,DRE_por_UN!$E:$E,$D91)</f>
        <v>19712.88</v>
      </c>
      <c r="F91" s="44" t="n">
        <f aca="false">IF($A91=2025,VLOOKUP($D91,Premissas!$A$52:$P$56,12,0),IF($A91=2026,VLOOKUP($D91,Premissas!$A$52:$P$56,13,0),VLOOKUP($D91,Premissas!$A$52:$P$56,14,0)))</f>
        <v>50</v>
      </c>
      <c r="G91" s="33" t="n">
        <f aca="false">E91*F91/30</f>
        <v>32854.8</v>
      </c>
      <c r="H91" s="33" t="n">
        <f aca="false">$G91*Premissas!$B$42</f>
        <v>22998.36</v>
      </c>
      <c r="I91" s="33" t="n">
        <f aca="false">$G91*Premissas!$C$42</f>
        <v>4928.22</v>
      </c>
      <c r="J91" s="33" t="n">
        <f aca="false">$G91*Premissas!$D$42</f>
        <v>2628.384</v>
      </c>
      <c r="K91" s="33" t="n">
        <f aca="false">$G91*Premissas!$E$42</f>
        <v>1314.192</v>
      </c>
      <c r="L91" s="33" t="n">
        <f aca="false">$G91*Premissas!$F$42</f>
        <v>985.644</v>
      </c>
    </row>
    <row r="92" customFormat="false" ht="15" hidden="false" customHeight="true" outlineLevel="0" collapsed="false">
      <c r="A92" s="32" t="n">
        <v>2026</v>
      </c>
      <c r="B92" s="32" t="n">
        <v>7</v>
      </c>
      <c r="C92" s="32" t="s">
        <v>166</v>
      </c>
      <c r="D92" s="32" t="s">
        <v>143</v>
      </c>
      <c r="E92" s="78" t="n">
        <f aca="false">SUMIFS(DRE_por_UN!$H:$H,DRE_por_UN!$C:$C,$C92,DRE_por_UN!$E:$E,$D92)</f>
        <v>6712.02</v>
      </c>
      <c r="F92" s="44" t="n">
        <f aca="false">IF($A92=2025,VLOOKUP($D92,Premissas!$A$52:$P$56,12,0),IF($A92=2026,VLOOKUP($D92,Premissas!$A$52:$P$56,13,0),VLOOKUP($D92,Premissas!$A$52:$P$56,14,0)))</f>
        <v>50</v>
      </c>
      <c r="G92" s="33" t="n">
        <f aca="false">E92*F92/30</f>
        <v>11186.7</v>
      </c>
      <c r="H92" s="33" t="n">
        <f aca="false">$G92*Premissas!$B$42</f>
        <v>7830.69</v>
      </c>
      <c r="I92" s="33" t="n">
        <f aca="false">$G92*Premissas!$C$42</f>
        <v>1678.005</v>
      </c>
      <c r="J92" s="33" t="n">
        <f aca="false">$G92*Premissas!$D$42</f>
        <v>894.936</v>
      </c>
      <c r="K92" s="33" t="n">
        <f aca="false">$G92*Premissas!$E$42</f>
        <v>447.468</v>
      </c>
      <c r="L92" s="33" t="n">
        <f aca="false">$G92*Premissas!$F$42</f>
        <v>335.601</v>
      </c>
    </row>
    <row r="93" customFormat="false" ht="15" hidden="false" customHeight="true" outlineLevel="0" collapsed="false">
      <c r="A93" s="32" t="n">
        <v>2026</v>
      </c>
      <c r="B93" s="32" t="n">
        <v>8</v>
      </c>
      <c r="C93" s="32" t="s">
        <v>167</v>
      </c>
      <c r="D93" s="32" t="s">
        <v>143</v>
      </c>
      <c r="E93" s="78" t="n">
        <f aca="false">SUMIFS(DRE_por_UN!$H:$H,DRE_por_UN!$C:$C,$C93,DRE_por_UN!$E:$E,$D93)</f>
        <v>9985.63</v>
      </c>
      <c r="F93" s="44" t="n">
        <f aca="false">IF($A93=2025,VLOOKUP($D93,Premissas!$A$52:$P$56,12,0),IF($A93=2026,VLOOKUP($D93,Premissas!$A$52:$P$56,13,0),VLOOKUP($D93,Premissas!$A$52:$P$56,14,0)))</f>
        <v>50</v>
      </c>
      <c r="G93" s="33" t="n">
        <f aca="false">E93*F93/30</f>
        <v>16642.7166666667</v>
      </c>
      <c r="H93" s="33" t="n">
        <f aca="false">$G93*Premissas!$B$42</f>
        <v>11649.9016666667</v>
      </c>
      <c r="I93" s="33" t="n">
        <f aca="false">$G93*Premissas!$C$42</f>
        <v>2496.4075</v>
      </c>
      <c r="J93" s="33" t="n">
        <f aca="false">$G93*Premissas!$D$42</f>
        <v>1331.41733333333</v>
      </c>
      <c r="K93" s="33" t="n">
        <f aca="false">$G93*Premissas!$E$42</f>
        <v>665.708666666667</v>
      </c>
      <c r="L93" s="33" t="n">
        <f aca="false">$G93*Premissas!$F$42</f>
        <v>499.2815</v>
      </c>
    </row>
    <row r="94" customFormat="false" ht="15" hidden="false" customHeight="true" outlineLevel="0" collapsed="false">
      <c r="A94" s="32" t="n">
        <v>2026</v>
      </c>
      <c r="B94" s="32" t="n">
        <v>9</v>
      </c>
      <c r="C94" s="32" t="s">
        <v>168</v>
      </c>
      <c r="D94" s="32" t="s">
        <v>143</v>
      </c>
      <c r="E94" s="78" t="n">
        <f aca="false">SUMIFS(DRE_por_UN!$H:$H,DRE_por_UN!$C:$C,$C94,DRE_por_UN!$E:$E,$D94)</f>
        <v>8206.39</v>
      </c>
      <c r="F94" s="44" t="n">
        <f aca="false">IF($A94=2025,VLOOKUP($D94,Premissas!$A$52:$P$56,12,0),IF($A94=2026,VLOOKUP($D94,Premissas!$A$52:$P$56,13,0),VLOOKUP($D94,Premissas!$A$52:$P$56,14,0)))</f>
        <v>50</v>
      </c>
      <c r="G94" s="33" t="n">
        <f aca="false">E94*F94/30</f>
        <v>13677.3166666667</v>
      </c>
      <c r="H94" s="33" t="n">
        <f aca="false">$G94*Premissas!$B$42</f>
        <v>9574.12166666667</v>
      </c>
      <c r="I94" s="33" t="n">
        <f aca="false">$G94*Premissas!$C$42</f>
        <v>2051.5975</v>
      </c>
      <c r="J94" s="33" t="n">
        <f aca="false">$G94*Premissas!$D$42</f>
        <v>1094.18533333333</v>
      </c>
      <c r="K94" s="33" t="n">
        <f aca="false">$G94*Premissas!$E$42</f>
        <v>547.092666666667</v>
      </c>
      <c r="L94" s="33" t="n">
        <f aca="false">$G94*Premissas!$F$42</f>
        <v>410.3195</v>
      </c>
    </row>
    <row r="95" customFormat="false" ht="15" hidden="false" customHeight="true" outlineLevel="0" collapsed="false">
      <c r="A95" s="32" t="n">
        <v>2026</v>
      </c>
      <c r="B95" s="32" t="n">
        <v>10</v>
      </c>
      <c r="C95" s="32" t="s">
        <v>169</v>
      </c>
      <c r="D95" s="32" t="s">
        <v>143</v>
      </c>
      <c r="E95" s="78" t="n">
        <f aca="false">SUMIFS(DRE_por_UN!$H:$H,DRE_por_UN!$C:$C,$C95,DRE_por_UN!$E:$E,$D95)</f>
        <v>13666.06</v>
      </c>
      <c r="F95" s="44" t="n">
        <f aca="false">IF($A95=2025,VLOOKUP($D95,Premissas!$A$52:$P$56,12,0),IF($A95=2026,VLOOKUP($D95,Premissas!$A$52:$P$56,13,0),VLOOKUP($D95,Premissas!$A$52:$P$56,14,0)))</f>
        <v>50</v>
      </c>
      <c r="G95" s="33" t="n">
        <f aca="false">E95*F95/30</f>
        <v>22776.7666666667</v>
      </c>
      <c r="H95" s="33" t="n">
        <f aca="false">$G95*Premissas!$B$42</f>
        <v>15943.7366666667</v>
      </c>
      <c r="I95" s="33" t="n">
        <f aca="false">$G95*Premissas!$C$42</f>
        <v>3416.515</v>
      </c>
      <c r="J95" s="33" t="n">
        <f aca="false">$G95*Premissas!$D$42</f>
        <v>1822.14133333333</v>
      </c>
      <c r="K95" s="33" t="n">
        <f aca="false">$G95*Premissas!$E$42</f>
        <v>911.070666666667</v>
      </c>
      <c r="L95" s="33" t="n">
        <f aca="false">$G95*Premissas!$F$42</f>
        <v>683.303</v>
      </c>
    </row>
    <row r="96" customFormat="false" ht="15" hidden="false" customHeight="true" outlineLevel="0" collapsed="false">
      <c r="A96" s="32" t="n">
        <v>2026</v>
      </c>
      <c r="B96" s="32" t="n">
        <v>11</v>
      </c>
      <c r="C96" s="32" t="s">
        <v>170</v>
      </c>
      <c r="D96" s="32" t="s">
        <v>143</v>
      </c>
      <c r="E96" s="78" t="n">
        <f aca="false">SUMIFS(DRE_por_UN!$H:$H,DRE_por_UN!$C:$C,$C96,DRE_por_UN!$E:$E,$D96)</f>
        <v>12220.44</v>
      </c>
      <c r="F96" s="44" t="n">
        <f aca="false">IF($A96=2025,VLOOKUP($D96,Premissas!$A$52:$P$56,12,0),IF($A96=2026,VLOOKUP($D96,Premissas!$A$52:$P$56,13,0),VLOOKUP($D96,Premissas!$A$52:$P$56,14,0)))</f>
        <v>50</v>
      </c>
      <c r="G96" s="33" t="n">
        <f aca="false">E96*F96/30</f>
        <v>20367.4</v>
      </c>
      <c r="H96" s="33" t="n">
        <f aca="false">$G96*Premissas!$B$42</f>
        <v>14257.18</v>
      </c>
      <c r="I96" s="33" t="n">
        <f aca="false">$G96*Premissas!$C$42</f>
        <v>3055.11</v>
      </c>
      <c r="J96" s="33" t="n">
        <f aca="false">$G96*Premissas!$D$42</f>
        <v>1629.392</v>
      </c>
      <c r="K96" s="33" t="n">
        <f aca="false">$G96*Premissas!$E$42</f>
        <v>814.696</v>
      </c>
      <c r="L96" s="33" t="n">
        <f aca="false">$G96*Premissas!$F$42</f>
        <v>611.022</v>
      </c>
    </row>
    <row r="97" customFormat="false" ht="15" hidden="false" customHeight="true" outlineLevel="0" collapsed="false">
      <c r="A97" s="32" t="n">
        <v>2026</v>
      </c>
      <c r="B97" s="32" t="n">
        <v>12</v>
      </c>
      <c r="C97" s="32" t="s">
        <v>171</v>
      </c>
      <c r="D97" s="32" t="s">
        <v>143</v>
      </c>
      <c r="E97" s="78" t="n">
        <f aca="false">SUMIFS(DRE_por_UN!$H:$H,DRE_por_UN!$C:$C,$C97,DRE_por_UN!$E:$E,$D97)</f>
        <v>6699.82</v>
      </c>
      <c r="F97" s="44" t="n">
        <f aca="false">IF($A97=2025,VLOOKUP($D97,Premissas!$A$52:$P$56,12,0),IF($A97=2026,VLOOKUP($D97,Premissas!$A$52:$P$56,13,0),VLOOKUP($D97,Premissas!$A$52:$P$56,14,0)))</f>
        <v>50</v>
      </c>
      <c r="G97" s="33" t="n">
        <f aca="false">E97*F97/30</f>
        <v>11166.3666666667</v>
      </c>
      <c r="H97" s="33" t="n">
        <f aca="false">$G97*Premissas!$B$42</f>
        <v>7816.45666666667</v>
      </c>
      <c r="I97" s="33" t="n">
        <f aca="false">$G97*Premissas!$C$42</f>
        <v>1674.955</v>
      </c>
      <c r="J97" s="33" t="n">
        <f aca="false">$G97*Premissas!$D$42</f>
        <v>893.309333333333</v>
      </c>
      <c r="K97" s="33" t="n">
        <f aca="false">$G97*Premissas!$E$42</f>
        <v>446.654666666667</v>
      </c>
      <c r="L97" s="33" t="n">
        <f aca="false">$G97*Premissas!$F$42</f>
        <v>334.991</v>
      </c>
    </row>
    <row r="98" customFormat="false" ht="15" hidden="false" customHeight="true" outlineLevel="0" collapsed="false">
      <c r="A98" s="32" t="n">
        <v>2027</v>
      </c>
      <c r="B98" s="32" t="n">
        <v>1</v>
      </c>
      <c r="C98" s="32" t="s">
        <v>172</v>
      </c>
      <c r="D98" s="32" t="s">
        <v>143</v>
      </c>
      <c r="E98" s="78" t="n">
        <f aca="false">SUMIFS(DRE_por_UN!$H:$H,DRE_por_UN!$C:$C,$C98,DRE_por_UN!$E:$E,$D98)</f>
        <v>17606.7263141</v>
      </c>
      <c r="F98" s="44" t="n">
        <f aca="false">IF($A98=2025,VLOOKUP($D98,Premissas!$A$52:$P$56,12,0),IF($A98=2026,VLOOKUP($D98,Premissas!$A$52:$P$56,13,0),VLOOKUP($D98,Premissas!$A$52:$P$56,14,0)))</f>
        <v>55</v>
      </c>
      <c r="G98" s="33" t="n">
        <f aca="false">E98*F98/30</f>
        <v>32278.9982425167</v>
      </c>
      <c r="H98" s="33" t="n">
        <f aca="false">$G98*Premissas!$B$42</f>
        <v>22595.2987697617</v>
      </c>
      <c r="I98" s="33" t="n">
        <f aca="false">$G98*Premissas!$C$42</f>
        <v>4841.8497363775</v>
      </c>
      <c r="J98" s="33" t="n">
        <f aca="false">$G98*Premissas!$D$42</f>
        <v>2582.31985940133</v>
      </c>
      <c r="K98" s="33" t="n">
        <f aca="false">$G98*Premissas!$E$42</f>
        <v>1291.15992970067</v>
      </c>
      <c r="L98" s="33" t="n">
        <f aca="false">$G98*Premissas!$F$42</f>
        <v>968.3699472755</v>
      </c>
    </row>
    <row r="99" customFormat="false" ht="15" hidden="false" customHeight="true" outlineLevel="0" collapsed="false">
      <c r="A99" s="32" t="n">
        <v>2027</v>
      </c>
      <c r="B99" s="32" t="n">
        <v>2</v>
      </c>
      <c r="C99" s="32" t="s">
        <v>173</v>
      </c>
      <c r="D99" s="32" t="s">
        <v>143</v>
      </c>
      <c r="E99" s="78" t="n">
        <f aca="false">SUMIFS(DRE_por_UN!$H:$H,DRE_por_UN!$C:$C,$C99,DRE_por_UN!$E:$E,$D99)</f>
        <v>2534.728119</v>
      </c>
      <c r="F99" s="44" t="n">
        <f aca="false">IF($A99=2025,VLOOKUP($D99,Premissas!$A$52:$P$56,12,0),IF($A99=2026,VLOOKUP($D99,Premissas!$A$52:$P$56,13,0),VLOOKUP($D99,Premissas!$A$52:$P$56,14,0)))</f>
        <v>55</v>
      </c>
      <c r="G99" s="33" t="n">
        <f aca="false">E99*F99/30</f>
        <v>4647.0015515</v>
      </c>
      <c r="H99" s="33" t="n">
        <f aca="false">$G99*Premissas!$B$42</f>
        <v>3252.90108605</v>
      </c>
      <c r="I99" s="33" t="n">
        <f aca="false">$G99*Premissas!$C$42</f>
        <v>697.050232725</v>
      </c>
      <c r="J99" s="33" t="n">
        <f aca="false">$G99*Premissas!$D$42</f>
        <v>371.76012412</v>
      </c>
      <c r="K99" s="33" t="n">
        <f aca="false">$G99*Premissas!$E$42</f>
        <v>185.88006206</v>
      </c>
      <c r="L99" s="33" t="n">
        <f aca="false">$G99*Premissas!$F$42</f>
        <v>139.410046545</v>
      </c>
    </row>
    <row r="100" customFormat="false" ht="15" hidden="false" customHeight="true" outlineLevel="0" collapsed="false">
      <c r="A100" s="32" t="n">
        <v>2027</v>
      </c>
      <c r="B100" s="32" t="n">
        <v>3</v>
      </c>
      <c r="C100" s="32" t="s">
        <v>174</v>
      </c>
      <c r="D100" s="32" t="s">
        <v>143</v>
      </c>
      <c r="E100" s="78" t="n">
        <f aca="false">SUMIFS(DRE_por_UN!$H:$H,DRE_por_UN!$C:$C,$C100,DRE_por_UN!$E:$E,$D100)</f>
        <v>4540.1032204</v>
      </c>
      <c r="F100" s="44" t="n">
        <f aca="false">IF($A100=2025,VLOOKUP($D100,Premissas!$A$52:$P$56,12,0),IF($A100=2026,VLOOKUP($D100,Premissas!$A$52:$P$56,13,0),VLOOKUP($D100,Premissas!$A$52:$P$56,14,0)))</f>
        <v>55</v>
      </c>
      <c r="G100" s="33" t="n">
        <f aca="false">E100*F100/30</f>
        <v>8323.52257073333</v>
      </c>
      <c r="H100" s="33" t="n">
        <f aca="false">$G100*Premissas!$B$42</f>
        <v>5826.46579951333</v>
      </c>
      <c r="I100" s="33" t="n">
        <f aca="false">$G100*Premissas!$C$42</f>
        <v>1248.52838561</v>
      </c>
      <c r="J100" s="33" t="n">
        <f aca="false">$G100*Premissas!$D$42</f>
        <v>665.881805658667</v>
      </c>
      <c r="K100" s="33" t="n">
        <f aca="false">$G100*Premissas!$E$42</f>
        <v>332.940902829333</v>
      </c>
      <c r="L100" s="33" t="n">
        <f aca="false">$G100*Premissas!$F$42</f>
        <v>249.705677122</v>
      </c>
    </row>
    <row r="101" customFormat="false" ht="15" hidden="false" customHeight="true" outlineLevel="0" collapsed="false">
      <c r="A101" s="32" t="n">
        <v>2027</v>
      </c>
      <c r="B101" s="32" t="n">
        <v>4</v>
      </c>
      <c r="C101" s="32" t="s">
        <v>175</v>
      </c>
      <c r="D101" s="32" t="s">
        <v>143</v>
      </c>
      <c r="E101" s="78" t="n">
        <f aca="false">SUMIFS(DRE_por_UN!$H:$H,DRE_por_UN!$C:$C,$C101,DRE_por_UN!$E:$E,$D101)</f>
        <v>4377.7195968</v>
      </c>
      <c r="F101" s="44" t="n">
        <f aca="false">IF($A101=2025,VLOOKUP($D101,Premissas!$A$52:$P$56,12,0),IF($A101=2026,VLOOKUP($D101,Premissas!$A$52:$P$56,13,0),VLOOKUP($D101,Premissas!$A$52:$P$56,14,0)))</f>
        <v>55</v>
      </c>
      <c r="G101" s="33" t="n">
        <f aca="false">E101*F101/30</f>
        <v>8025.8192608</v>
      </c>
      <c r="H101" s="33" t="n">
        <f aca="false">$G101*Premissas!$B$42</f>
        <v>5618.07348256</v>
      </c>
      <c r="I101" s="33" t="n">
        <f aca="false">$G101*Premissas!$C$42</f>
        <v>1203.87288912</v>
      </c>
      <c r="J101" s="33" t="n">
        <f aca="false">$G101*Premissas!$D$42</f>
        <v>642.065540864</v>
      </c>
      <c r="K101" s="33" t="n">
        <f aca="false">$G101*Premissas!$E$42</f>
        <v>321.032770432</v>
      </c>
      <c r="L101" s="33" t="n">
        <f aca="false">$G101*Premissas!$F$42</f>
        <v>240.774577824</v>
      </c>
    </row>
    <row r="102" customFormat="false" ht="15" hidden="false" customHeight="true" outlineLevel="0" collapsed="false">
      <c r="A102" s="32" t="n">
        <v>2027</v>
      </c>
      <c r="B102" s="32" t="n">
        <v>5</v>
      </c>
      <c r="C102" s="32" t="s">
        <v>176</v>
      </c>
      <c r="D102" s="32" t="s">
        <v>143</v>
      </c>
      <c r="E102" s="78" t="n">
        <f aca="false">SUMIFS(DRE_por_UN!$H:$H,DRE_por_UN!$C:$C,$C102,DRE_por_UN!$E:$E,$D102)</f>
        <v>24642.8345845</v>
      </c>
      <c r="F102" s="44" t="n">
        <f aca="false">IF($A102=2025,VLOOKUP($D102,Premissas!$A$52:$P$56,12,0),IF($A102=2026,VLOOKUP($D102,Premissas!$A$52:$P$56,13,0),VLOOKUP($D102,Premissas!$A$52:$P$56,14,0)))</f>
        <v>55</v>
      </c>
      <c r="G102" s="33" t="n">
        <f aca="false">E102*F102/30</f>
        <v>45178.5300715833</v>
      </c>
      <c r="H102" s="33" t="n">
        <f aca="false">$G102*Premissas!$B$42</f>
        <v>31624.9710501083</v>
      </c>
      <c r="I102" s="33" t="n">
        <f aca="false">$G102*Premissas!$C$42</f>
        <v>6776.7795107375</v>
      </c>
      <c r="J102" s="33" t="n">
        <f aca="false">$G102*Premissas!$D$42</f>
        <v>3614.28240572667</v>
      </c>
      <c r="K102" s="33" t="n">
        <f aca="false">$G102*Premissas!$E$42</f>
        <v>1807.14120286333</v>
      </c>
      <c r="L102" s="33" t="n">
        <f aca="false">$G102*Premissas!$F$42</f>
        <v>1355.3559021475</v>
      </c>
    </row>
    <row r="103" customFormat="false" ht="15" hidden="false" customHeight="true" outlineLevel="0" collapsed="false">
      <c r="A103" s="32" t="n">
        <v>2027</v>
      </c>
      <c r="B103" s="32" t="n">
        <v>6</v>
      </c>
      <c r="C103" s="32" t="s">
        <v>177</v>
      </c>
      <c r="D103" s="32" t="s">
        <v>143</v>
      </c>
      <c r="E103" s="78" t="n">
        <f aca="false">SUMIFS(DRE_por_UN!$H:$H,DRE_por_UN!$C:$C,$C103,DRE_por_UN!$E:$E,$D103)</f>
        <v>18177.0218124</v>
      </c>
      <c r="F103" s="44" t="n">
        <f aca="false">IF($A103=2025,VLOOKUP($D103,Premissas!$A$52:$P$56,12,0),IF($A103=2026,VLOOKUP($D103,Premissas!$A$52:$P$56,13,0),VLOOKUP($D103,Premissas!$A$52:$P$56,14,0)))</f>
        <v>55</v>
      </c>
      <c r="G103" s="33" t="n">
        <f aca="false">E103*F103/30</f>
        <v>33324.5399894</v>
      </c>
      <c r="H103" s="33" t="n">
        <f aca="false">$G103*Premissas!$B$42</f>
        <v>23327.17799258</v>
      </c>
      <c r="I103" s="33" t="n">
        <f aca="false">$G103*Premissas!$C$42</f>
        <v>4998.68099841</v>
      </c>
      <c r="J103" s="33" t="n">
        <f aca="false">$G103*Premissas!$D$42</f>
        <v>2665.963199152</v>
      </c>
      <c r="K103" s="33" t="n">
        <f aca="false">$G103*Premissas!$E$42</f>
        <v>1332.981599576</v>
      </c>
      <c r="L103" s="33" t="n">
        <f aca="false">$G103*Premissas!$F$42</f>
        <v>999.736199682</v>
      </c>
    </row>
    <row r="104" customFormat="false" ht="15" hidden="false" customHeight="true" outlineLevel="0" collapsed="false">
      <c r="A104" s="32" t="n">
        <v>2027</v>
      </c>
      <c r="B104" s="32" t="n">
        <v>7</v>
      </c>
      <c r="C104" s="32" t="s">
        <v>178</v>
      </c>
      <c r="D104" s="32" t="s">
        <v>143</v>
      </c>
      <c r="E104" s="78" t="n">
        <f aca="false">SUMIFS(DRE_por_UN!$H:$H,DRE_por_UN!$C:$C,$C104,DRE_por_UN!$E:$E,$D104)</f>
        <v>7581.9502506</v>
      </c>
      <c r="F104" s="44" t="n">
        <f aca="false">IF($A104=2025,VLOOKUP($D104,Premissas!$A$52:$P$56,12,0),IF($A104=2026,VLOOKUP($D104,Premissas!$A$52:$P$56,13,0),VLOOKUP($D104,Premissas!$A$52:$P$56,14,0)))</f>
        <v>55</v>
      </c>
      <c r="G104" s="33" t="n">
        <f aca="false">E104*F104/30</f>
        <v>13900.2421261</v>
      </c>
      <c r="H104" s="33" t="n">
        <f aca="false">$G104*Premissas!$B$42</f>
        <v>9730.16948827</v>
      </c>
      <c r="I104" s="33" t="n">
        <f aca="false">$G104*Premissas!$C$42</f>
        <v>2085.036318915</v>
      </c>
      <c r="J104" s="33" t="n">
        <f aca="false">$G104*Premissas!$D$42</f>
        <v>1112.019370088</v>
      </c>
      <c r="K104" s="33" t="n">
        <f aca="false">$G104*Premissas!$E$42</f>
        <v>556.009685044</v>
      </c>
      <c r="L104" s="33" t="n">
        <f aca="false">$G104*Premissas!$F$42</f>
        <v>417.007263783</v>
      </c>
    </row>
    <row r="105" customFormat="false" ht="15" hidden="false" customHeight="true" outlineLevel="0" collapsed="false">
      <c r="A105" s="32" t="n">
        <v>2027</v>
      </c>
      <c r="B105" s="32" t="n">
        <v>8</v>
      </c>
      <c r="C105" s="32" t="s">
        <v>179</v>
      </c>
      <c r="D105" s="32" t="s">
        <v>143</v>
      </c>
      <c r="E105" s="78" t="n">
        <f aca="false">SUMIFS(DRE_por_UN!$H:$H,DRE_por_UN!$C:$C,$C105,DRE_por_UN!$E:$E,$D105)</f>
        <v>12027.8051201</v>
      </c>
      <c r="F105" s="44" t="n">
        <f aca="false">IF($A105=2025,VLOOKUP($D105,Premissas!$A$52:$P$56,12,0),IF($A105=2026,VLOOKUP($D105,Premissas!$A$52:$P$56,13,0),VLOOKUP($D105,Premissas!$A$52:$P$56,14,0)))</f>
        <v>55</v>
      </c>
      <c r="G105" s="33" t="n">
        <f aca="false">E105*F105/30</f>
        <v>22050.9760535167</v>
      </c>
      <c r="H105" s="33" t="n">
        <f aca="false">$G105*Premissas!$B$42</f>
        <v>15435.6832374617</v>
      </c>
      <c r="I105" s="33" t="n">
        <f aca="false">$G105*Premissas!$C$42</f>
        <v>3307.6464080275</v>
      </c>
      <c r="J105" s="33" t="n">
        <f aca="false">$G105*Premissas!$D$42</f>
        <v>1764.07808428133</v>
      </c>
      <c r="K105" s="33" t="n">
        <f aca="false">$G105*Premissas!$E$42</f>
        <v>882.039042140667</v>
      </c>
      <c r="L105" s="33" t="n">
        <f aca="false">$G105*Premissas!$F$42</f>
        <v>661.5292816055</v>
      </c>
    </row>
    <row r="106" customFormat="false" ht="15" hidden="false" customHeight="true" outlineLevel="0" collapsed="false">
      <c r="A106" s="32" t="n">
        <v>2027</v>
      </c>
      <c r="B106" s="32" t="n">
        <v>9</v>
      </c>
      <c r="C106" s="32" t="s">
        <v>180</v>
      </c>
      <c r="D106" s="32" t="s">
        <v>143</v>
      </c>
      <c r="E106" s="78" t="n">
        <f aca="false">SUMIFS(DRE_por_UN!$H:$H,DRE_por_UN!$C:$C,$C106,DRE_por_UN!$E:$E,$D106)</f>
        <v>10059.8800918</v>
      </c>
      <c r="F106" s="44" t="n">
        <f aca="false">IF($A106=2025,VLOOKUP($D106,Premissas!$A$52:$P$56,12,0),IF($A106=2026,VLOOKUP($D106,Premissas!$A$52:$P$56,13,0),VLOOKUP($D106,Premissas!$A$52:$P$56,14,0)))</f>
        <v>55</v>
      </c>
      <c r="G106" s="33" t="n">
        <f aca="false">E106*F106/30</f>
        <v>18443.1135016333</v>
      </c>
      <c r="H106" s="33" t="n">
        <f aca="false">$G106*Premissas!$B$42</f>
        <v>12910.1794511433</v>
      </c>
      <c r="I106" s="33" t="n">
        <f aca="false">$G106*Premissas!$C$42</f>
        <v>2766.467025245</v>
      </c>
      <c r="J106" s="33" t="n">
        <f aca="false">$G106*Premissas!$D$42</f>
        <v>1475.44908013067</v>
      </c>
      <c r="K106" s="33" t="n">
        <f aca="false">$G106*Premissas!$E$42</f>
        <v>737.724540065334</v>
      </c>
      <c r="L106" s="33" t="n">
        <f aca="false">$G106*Premissas!$F$42</f>
        <v>553.293405049</v>
      </c>
    </row>
    <row r="107" customFormat="false" ht="15" hidden="false" customHeight="true" outlineLevel="0" collapsed="false">
      <c r="A107" s="32" t="n">
        <v>2027</v>
      </c>
      <c r="B107" s="32" t="n">
        <v>10</v>
      </c>
      <c r="C107" s="32" t="s">
        <v>181</v>
      </c>
      <c r="D107" s="32" t="s">
        <v>143</v>
      </c>
      <c r="E107" s="78" t="n">
        <f aca="false">SUMIFS(DRE_por_UN!$H:$H,DRE_por_UN!$C:$C,$C107,DRE_por_UN!$E:$E,$D107)</f>
        <v>12159.3435865</v>
      </c>
      <c r="F107" s="44" t="n">
        <f aca="false">IF($A107=2025,VLOOKUP($D107,Premissas!$A$52:$P$56,12,0),IF($A107=2026,VLOOKUP($D107,Premissas!$A$52:$P$56,13,0),VLOOKUP($D107,Premissas!$A$52:$P$56,14,0)))</f>
        <v>55</v>
      </c>
      <c r="G107" s="33" t="n">
        <f aca="false">E107*F107/30</f>
        <v>22292.1299085833</v>
      </c>
      <c r="H107" s="33" t="n">
        <f aca="false">$G107*Premissas!$B$42</f>
        <v>15604.4909360083</v>
      </c>
      <c r="I107" s="33" t="n">
        <f aca="false">$G107*Premissas!$C$42</f>
        <v>3343.8194862875</v>
      </c>
      <c r="J107" s="33" t="n">
        <f aca="false">$G107*Premissas!$D$42</f>
        <v>1783.37039268667</v>
      </c>
      <c r="K107" s="33" t="n">
        <f aca="false">$G107*Premissas!$E$42</f>
        <v>891.685196343333</v>
      </c>
      <c r="L107" s="33" t="n">
        <f aca="false">$G107*Premissas!$F$42</f>
        <v>668.7638972575</v>
      </c>
    </row>
    <row r="108" customFormat="false" ht="15" hidden="false" customHeight="true" outlineLevel="0" collapsed="false">
      <c r="A108" s="32" t="n">
        <v>2027</v>
      </c>
      <c r="B108" s="32" t="n">
        <v>11</v>
      </c>
      <c r="C108" s="32" t="s">
        <v>182</v>
      </c>
      <c r="D108" s="32" t="s">
        <v>143</v>
      </c>
      <c r="E108" s="78" t="n">
        <f aca="false">SUMIFS(DRE_por_UN!$H:$H,DRE_por_UN!$C:$C,$C108,DRE_por_UN!$E:$E,$D108)</f>
        <v>10614.4464261</v>
      </c>
      <c r="F108" s="44" t="n">
        <f aca="false">IF($A108=2025,VLOOKUP($D108,Premissas!$A$52:$P$56,12,0),IF($A108=2026,VLOOKUP($D108,Premissas!$A$52:$P$56,13,0),VLOOKUP($D108,Premissas!$A$52:$P$56,14,0)))</f>
        <v>55</v>
      </c>
      <c r="G108" s="33" t="n">
        <f aca="false">E108*F108/30</f>
        <v>19459.81844785</v>
      </c>
      <c r="H108" s="33" t="n">
        <f aca="false">$G108*Premissas!$B$42</f>
        <v>13621.872913495</v>
      </c>
      <c r="I108" s="33" t="n">
        <f aca="false">$G108*Premissas!$C$42</f>
        <v>2918.9727671775</v>
      </c>
      <c r="J108" s="33" t="n">
        <f aca="false">$G108*Premissas!$D$42</f>
        <v>1556.785475828</v>
      </c>
      <c r="K108" s="33" t="n">
        <f aca="false">$G108*Premissas!$E$42</f>
        <v>778.392737914</v>
      </c>
      <c r="L108" s="33" t="n">
        <f aca="false">$G108*Premissas!$F$42</f>
        <v>583.7945534355</v>
      </c>
    </row>
    <row r="109" customFormat="false" ht="15" hidden="false" customHeight="true" outlineLevel="0" collapsed="false">
      <c r="A109" s="32" t="n">
        <v>2027</v>
      </c>
      <c r="B109" s="32" t="n">
        <v>12</v>
      </c>
      <c r="C109" s="32" t="s">
        <v>183</v>
      </c>
      <c r="D109" s="32" t="s">
        <v>143</v>
      </c>
      <c r="E109" s="78" t="n">
        <f aca="false">SUMIFS(DRE_por_UN!$H:$H,DRE_por_UN!$C:$C,$C109,DRE_por_UN!$E:$E,$D109)</f>
        <v>7061.1749593</v>
      </c>
      <c r="F109" s="44" t="n">
        <f aca="false">IF($A109=2025,VLOOKUP($D109,Premissas!$A$52:$P$56,12,0),IF($A109=2026,VLOOKUP($D109,Premissas!$A$52:$P$56,13,0),VLOOKUP($D109,Premissas!$A$52:$P$56,14,0)))</f>
        <v>55</v>
      </c>
      <c r="G109" s="33" t="n">
        <f aca="false">E109*F109/30</f>
        <v>12945.4874253833</v>
      </c>
      <c r="H109" s="33" t="n">
        <f aca="false">$G109*Premissas!$B$42</f>
        <v>9061.84119776833</v>
      </c>
      <c r="I109" s="33" t="n">
        <f aca="false">$G109*Premissas!$C$42</f>
        <v>1941.8231138075</v>
      </c>
      <c r="J109" s="33" t="n">
        <f aca="false">$G109*Premissas!$D$42</f>
        <v>1035.63899403067</v>
      </c>
      <c r="K109" s="33" t="n">
        <f aca="false">$G109*Premissas!$E$42</f>
        <v>517.819497015333</v>
      </c>
      <c r="L109" s="33" t="n">
        <f aca="false">$G109*Premissas!$F$42</f>
        <v>388.3646227615</v>
      </c>
    </row>
    <row r="110" customFormat="false" ht="15" hidden="false" customHeight="true" outlineLevel="0" collapsed="false">
      <c r="A110" s="32" t="n">
        <v>2025</v>
      </c>
      <c r="B110" s="32" t="n">
        <v>1</v>
      </c>
      <c r="C110" s="32" t="s">
        <v>148</v>
      </c>
      <c r="D110" s="32" t="s">
        <v>144</v>
      </c>
      <c r="E110" s="78" t="n">
        <f aca="false">SUMIFS(DRE_por_UN!$H:$H,DRE_por_UN!$C:$C,$C110,DRE_por_UN!$E:$E,$D110)</f>
        <v>31106.11</v>
      </c>
      <c r="F110" s="44" t="n">
        <f aca="false">IF($A110=2025,VLOOKUP($D110,Premissas!$A$52:$P$56,12,0),IF($A110=2026,VLOOKUP($D110,Premissas!$A$52:$P$56,13,0),VLOOKUP($D110,Premissas!$A$52:$P$56,14,0)))</f>
        <v>15</v>
      </c>
      <c r="G110" s="33" t="n">
        <f aca="false">E110*F110/30</f>
        <v>15553.055</v>
      </c>
      <c r="H110" s="33" t="n">
        <f aca="false">$G110*Premissas!$B$42</f>
        <v>10887.1385</v>
      </c>
      <c r="I110" s="33" t="n">
        <f aca="false">$G110*Premissas!$C$42</f>
        <v>2332.95825</v>
      </c>
      <c r="J110" s="33" t="n">
        <f aca="false">$G110*Premissas!$D$42</f>
        <v>1244.2444</v>
      </c>
      <c r="K110" s="33" t="n">
        <f aca="false">$G110*Premissas!$E$42</f>
        <v>622.1222</v>
      </c>
      <c r="L110" s="33" t="n">
        <f aca="false">$G110*Premissas!$F$42</f>
        <v>466.59165</v>
      </c>
    </row>
    <row r="111" customFormat="false" ht="15" hidden="false" customHeight="true" outlineLevel="0" collapsed="false">
      <c r="A111" s="32" t="n">
        <v>2025</v>
      </c>
      <c r="B111" s="32" t="n">
        <v>2</v>
      </c>
      <c r="C111" s="32" t="s">
        <v>149</v>
      </c>
      <c r="D111" s="32" t="s">
        <v>144</v>
      </c>
      <c r="E111" s="78" t="n">
        <f aca="false">SUMIFS(DRE_por_UN!$H:$H,DRE_por_UN!$C:$C,$C111,DRE_por_UN!$E:$E,$D111)</f>
        <v>33908.15</v>
      </c>
      <c r="F111" s="44" t="n">
        <f aca="false">IF($A111=2025,VLOOKUP($D111,Premissas!$A$52:$P$56,12,0),IF($A111=2026,VLOOKUP($D111,Premissas!$A$52:$P$56,13,0),VLOOKUP($D111,Premissas!$A$52:$P$56,14,0)))</f>
        <v>15</v>
      </c>
      <c r="G111" s="33" t="n">
        <f aca="false">E111*F111/30</f>
        <v>16954.075</v>
      </c>
      <c r="H111" s="33" t="n">
        <f aca="false">$G111*Premissas!$B$42</f>
        <v>11867.8525</v>
      </c>
      <c r="I111" s="33" t="n">
        <f aca="false">$G111*Premissas!$C$42</f>
        <v>2543.11125</v>
      </c>
      <c r="J111" s="33" t="n">
        <f aca="false">$G111*Premissas!$D$42</f>
        <v>1356.326</v>
      </c>
      <c r="K111" s="33" t="n">
        <f aca="false">$G111*Premissas!$E$42</f>
        <v>678.163</v>
      </c>
      <c r="L111" s="33" t="n">
        <f aca="false">$G111*Premissas!$F$42</f>
        <v>508.62225</v>
      </c>
    </row>
    <row r="112" customFormat="false" ht="15" hidden="false" customHeight="true" outlineLevel="0" collapsed="false">
      <c r="A112" s="32" t="n">
        <v>2025</v>
      </c>
      <c r="B112" s="32" t="n">
        <v>3</v>
      </c>
      <c r="C112" s="32" t="s">
        <v>150</v>
      </c>
      <c r="D112" s="32" t="s">
        <v>144</v>
      </c>
      <c r="E112" s="78" t="n">
        <f aca="false">SUMIFS(DRE_por_UN!$H:$H,DRE_por_UN!$C:$C,$C112,DRE_por_UN!$E:$E,$D112)</f>
        <v>35962.09</v>
      </c>
      <c r="F112" s="44" t="n">
        <f aca="false">IF($A112=2025,VLOOKUP($D112,Premissas!$A$52:$P$56,12,0),IF($A112=2026,VLOOKUP($D112,Premissas!$A$52:$P$56,13,0),VLOOKUP($D112,Premissas!$A$52:$P$56,14,0)))</f>
        <v>15</v>
      </c>
      <c r="G112" s="33" t="n">
        <f aca="false">E112*F112/30</f>
        <v>17981.045</v>
      </c>
      <c r="H112" s="33" t="n">
        <f aca="false">$G112*Premissas!$B$42</f>
        <v>12586.7315</v>
      </c>
      <c r="I112" s="33" t="n">
        <f aca="false">$G112*Premissas!$C$42</f>
        <v>2697.15675</v>
      </c>
      <c r="J112" s="33" t="n">
        <f aca="false">$G112*Premissas!$D$42</f>
        <v>1438.4836</v>
      </c>
      <c r="K112" s="33" t="n">
        <f aca="false">$G112*Premissas!$E$42</f>
        <v>719.2418</v>
      </c>
      <c r="L112" s="33" t="n">
        <f aca="false">$G112*Premissas!$F$42</f>
        <v>539.43135</v>
      </c>
    </row>
    <row r="113" customFormat="false" ht="15" hidden="false" customHeight="true" outlineLevel="0" collapsed="false">
      <c r="A113" s="32" t="n">
        <v>2025</v>
      </c>
      <c r="B113" s="32" t="n">
        <v>4</v>
      </c>
      <c r="C113" s="32" t="s">
        <v>151</v>
      </c>
      <c r="D113" s="32" t="s">
        <v>144</v>
      </c>
      <c r="E113" s="78" t="n">
        <f aca="false">SUMIFS(DRE_por_UN!$H:$H,DRE_por_UN!$C:$C,$C113,DRE_por_UN!$E:$E,$D113)</f>
        <v>41980.56</v>
      </c>
      <c r="F113" s="44" t="n">
        <f aca="false">IF($A113=2025,VLOOKUP($D113,Premissas!$A$52:$P$56,12,0),IF($A113=2026,VLOOKUP($D113,Premissas!$A$52:$P$56,13,0),VLOOKUP($D113,Premissas!$A$52:$P$56,14,0)))</f>
        <v>15</v>
      </c>
      <c r="G113" s="33" t="n">
        <f aca="false">E113*F113/30</f>
        <v>20990.28</v>
      </c>
      <c r="H113" s="33" t="n">
        <f aca="false">$G113*Premissas!$B$42</f>
        <v>14693.196</v>
      </c>
      <c r="I113" s="33" t="n">
        <f aca="false">$G113*Premissas!$C$42</f>
        <v>3148.542</v>
      </c>
      <c r="J113" s="33" t="n">
        <f aca="false">$G113*Premissas!$D$42</f>
        <v>1679.2224</v>
      </c>
      <c r="K113" s="33" t="n">
        <f aca="false">$G113*Premissas!$E$42</f>
        <v>839.6112</v>
      </c>
      <c r="L113" s="33" t="n">
        <f aca="false">$G113*Premissas!$F$42</f>
        <v>629.7084</v>
      </c>
    </row>
    <row r="114" customFormat="false" ht="15" hidden="false" customHeight="true" outlineLevel="0" collapsed="false">
      <c r="A114" s="32" t="n">
        <v>2025</v>
      </c>
      <c r="B114" s="32" t="n">
        <v>5</v>
      </c>
      <c r="C114" s="32" t="s">
        <v>152</v>
      </c>
      <c r="D114" s="32" t="s">
        <v>144</v>
      </c>
      <c r="E114" s="78" t="n">
        <f aca="false">SUMIFS(DRE_por_UN!$H:$H,DRE_por_UN!$C:$C,$C114,DRE_por_UN!$E:$E,$D114)</f>
        <v>36629.43</v>
      </c>
      <c r="F114" s="44" t="n">
        <f aca="false">IF($A114=2025,VLOOKUP($D114,Premissas!$A$52:$P$56,12,0),IF($A114=2026,VLOOKUP($D114,Premissas!$A$52:$P$56,13,0),VLOOKUP($D114,Premissas!$A$52:$P$56,14,0)))</f>
        <v>15</v>
      </c>
      <c r="G114" s="33" t="n">
        <f aca="false">E114*F114/30</f>
        <v>18314.715</v>
      </c>
      <c r="H114" s="33" t="n">
        <f aca="false">$G114*Premissas!$B$42</f>
        <v>12820.3005</v>
      </c>
      <c r="I114" s="33" t="n">
        <f aca="false">$G114*Premissas!$C$42</f>
        <v>2747.20725</v>
      </c>
      <c r="J114" s="33" t="n">
        <f aca="false">$G114*Premissas!$D$42</f>
        <v>1465.1772</v>
      </c>
      <c r="K114" s="33" t="n">
        <f aca="false">$G114*Premissas!$E$42</f>
        <v>732.5886</v>
      </c>
      <c r="L114" s="33" t="n">
        <f aca="false">$G114*Premissas!$F$42</f>
        <v>549.44145</v>
      </c>
    </row>
    <row r="115" customFormat="false" ht="15" hidden="false" customHeight="true" outlineLevel="0" collapsed="false">
      <c r="A115" s="32" t="n">
        <v>2025</v>
      </c>
      <c r="B115" s="32" t="n">
        <v>6</v>
      </c>
      <c r="C115" s="32" t="s">
        <v>153</v>
      </c>
      <c r="D115" s="32" t="s">
        <v>144</v>
      </c>
      <c r="E115" s="78" t="n">
        <f aca="false">SUMIFS(DRE_por_UN!$H:$H,DRE_por_UN!$C:$C,$C115,DRE_por_UN!$E:$E,$D115)</f>
        <v>34292.13</v>
      </c>
      <c r="F115" s="44" t="n">
        <f aca="false">IF($A115=2025,VLOOKUP($D115,Premissas!$A$52:$P$56,12,0),IF($A115=2026,VLOOKUP($D115,Premissas!$A$52:$P$56,13,0),VLOOKUP($D115,Premissas!$A$52:$P$56,14,0)))</f>
        <v>15</v>
      </c>
      <c r="G115" s="33" t="n">
        <f aca="false">E115*F115/30</f>
        <v>17146.065</v>
      </c>
      <c r="H115" s="33" t="n">
        <f aca="false">$G115*Premissas!$B$42</f>
        <v>12002.2455</v>
      </c>
      <c r="I115" s="33" t="n">
        <f aca="false">$G115*Premissas!$C$42</f>
        <v>2571.90975</v>
      </c>
      <c r="J115" s="33" t="n">
        <f aca="false">$G115*Premissas!$D$42</f>
        <v>1371.6852</v>
      </c>
      <c r="K115" s="33" t="n">
        <f aca="false">$G115*Premissas!$E$42</f>
        <v>685.8426</v>
      </c>
      <c r="L115" s="33" t="n">
        <f aca="false">$G115*Premissas!$F$42</f>
        <v>514.38195</v>
      </c>
    </row>
    <row r="116" customFormat="false" ht="15" hidden="false" customHeight="true" outlineLevel="0" collapsed="false">
      <c r="A116" s="32" t="n">
        <v>2025</v>
      </c>
      <c r="B116" s="32" t="n">
        <v>7</v>
      </c>
      <c r="C116" s="32" t="s">
        <v>154</v>
      </c>
      <c r="D116" s="32" t="s">
        <v>144</v>
      </c>
      <c r="E116" s="78" t="n">
        <f aca="false">SUMIFS(DRE_por_UN!$H:$H,DRE_por_UN!$C:$C,$C116,DRE_por_UN!$E:$E,$D116)</f>
        <v>41396.86</v>
      </c>
      <c r="F116" s="44" t="n">
        <f aca="false">IF($A116=2025,VLOOKUP($D116,Premissas!$A$52:$P$56,12,0),IF($A116=2026,VLOOKUP($D116,Premissas!$A$52:$P$56,13,0),VLOOKUP($D116,Premissas!$A$52:$P$56,14,0)))</f>
        <v>15</v>
      </c>
      <c r="G116" s="33" t="n">
        <f aca="false">E116*F116/30</f>
        <v>20698.43</v>
      </c>
      <c r="H116" s="33" t="n">
        <f aca="false">$G116*Premissas!$B$42</f>
        <v>14488.901</v>
      </c>
      <c r="I116" s="33" t="n">
        <f aca="false">$G116*Premissas!$C$42</f>
        <v>3104.7645</v>
      </c>
      <c r="J116" s="33" t="n">
        <f aca="false">$G116*Premissas!$D$42</f>
        <v>1655.8744</v>
      </c>
      <c r="K116" s="33" t="n">
        <f aca="false">$G116*Premissas!$E$42</f>
        <v>827.9372</v>
      </c>
      <c r="L116" s="33" t="n">
        <f aca="false">$G116*Premissas!$F$42</f>
        <v>620.9529</v>
      </c>
    </row>
    <row r="117" customFormat="false" ht="15" hidden="false" customHeight="true" outlineLevel="0" collapsed="false">
      <c r="A117" s="32" t="n">
        <v>2025</v>
      </c>
      <c r="B117" s="32" t="n">
        <v>8</v>
      </c>
      <c r="C117" s="32" t="s">
        <v>155</v>
      </c>
      <c r="D117" s="32" t="s">
        <v>144</v>
      </c>
      <c r="E117" s="78" t="n">
        <f aca="false">SUMIFS(DRE_por_UN!$H:$H,DRE_por_UN!$C:$C,$C117,DRE_por_UN!$E:$E,$D117)</f>
        <v>31020.05</v>
      </c>
      <c r="F117" s="44" t="n">
        <f aca="false">IF($A117=2025,VLOOKUP($D117,Premissas!$A$52:$P$56,12,0),IF($A117=2026,VLOOKUP($D117,Premissas!$A$52:$P$56,13,0),VLOOKUP($D117,Premissas!$A$52:$P$56,14,0)))</f>
        <v>15</v>
      </c>
      <c r="G117" s="33" t="n">
        <f aca="false">E117*F117/30</f>
        <v>15510.025</v>
      </c>
      <c r="H117" s="33" t="n">
        <f aca="false">$G117*Premissas!$B$42</f>
        <v>10857.0175</v>
      </c>
      <c r="I117" s="33" t="n">
        <f aca="false">$G117*Premissas!$C$42</f>
        <v>2326.50375</v>
      </c>
      <c r="J117" s="33" t="n">
        <f aca="false">$G117*Premissas!$D$42</f>
        <v>1240.802</v>
      </c>
      <c r="K117" s="33" t="n">
        <f aca="false">$G117*Premissas!$E$42</f>
        <v>620.401</v>
      </c>
      <c r="L117" s="33" t="n">
        <f aca="false">$G117*Premissas!$F$42</f>
        <v>465.30075</v>
      </c>
    </row>
    <row r="118" customFormat="false" ht="15" hidden="false" customHeight="true" outlineLevel="0" collapsed="false">
      <c r="A118" s="32" t="n">
        <v>2025</v>
      </c>
      <c r="B118" s="32" t="n">
        <v>9</v>
      </c>
      <c r="C118" s="32" t="s">
        <v>156</v>
      </c>
      <c r="D118" s="32" t="s">
        <v>144</v>
      </c>
      <c r="E118" s="78" t="n">
        <f aca="false">SUMIFS(DRE_por_UN!$H:$H,DRE_por_UN!$C:$C,$C118,DRE_por_UN!$E:$E,$D118)</f>
        <v>30677.25</v>
      </c>
      <c r="F118" s="44" t="n">
        <f aca="false">IF($A118=2025,VLOOKUP($D118,Premissas!$A$52:$P$56,12,0),IF($A118=2026,VLOOKUP($D118,Premissas!$A$52:$P$56,13,0),VLOOKUP($D118,Premissas!$A$52:$P$56,14,0)))</f>
        <v>15</v>
      </c>
      <c r="G118" s="33" t="n">
        <f aca="false">E118*F118/30</f>
        <v>15338.625</v>
      </c>
      <c r="H118" s="33" t="n">
        <f aca="false">$G118*Premissas!$B$42</f>
        <v>10737.0375</v>
      </c>
      <c r="I118" s="33" t="n">
        <f aca="false">$G118*Premissas!$C$42</f>
        <v>2300.79375</v>
      </c>
      <c r="J118" s="33" t="n">
        <f aca="false">$G118*Premissas!$D$42</f>
        <v>1227.09</v>
      </c>
      <c r="K118" s="33" t="n">
        <f aca="false">$G118*Premissas!$E$42</f>
        <v>613.545</v>
      </c>
      <c r="L118" s="33" t="n">
        <f aca="false">$G118*Premissas!$F$42</f>
        <v>460.15875</v>
      </c>
    </row>
    <row r="119" customFormat="false" ht="15" hidden="false" customHeight="true" outlineLevel="0" collapsed="false">
      <c r="A119" s="32" t="n">
        <v>2025</v>
      </c>
      <c r="B119" s="32" t="n">
        <v>10</v>
      </c>
      <c r="C119" s="32" t="s">
        <v>157</v>
      </c>
      <c r="D119" s="32" t="s">
        <v>144</v>
      </c>
      <c r="E119" s="78" t="n">
        <f aca="false">SUMIFS(DRE_por_UN!$H:$H,DRE_por_UN!$C:$C,$C119,DRE_por_UN!$E:$E,$D119)</f>
        <v>40338.44</v>
      </c>
      <c r="F119" s="44" t="n">
        <f aca="false">IF($A119=2025,VLOOKUP($D119,Premissas!$A$52:$P$56,12,0),IF($A119=2026,VLOOKUP($D119,Premissas!$A$52:$P$56,13,0),VLOOKUP($D119,Premissas!$A$52:$P$56,14,0)))</f>
        <v>15</v>
      </c>
      <c r="G119" s="33" t="n">
        <f aca="false">E119*F119/30</f>
        <v>20169.22</v>
      </c>
      <c r="H119" s="33" t="n">
        <f aca="false">$G119*Premissas!$B$42</f>
        <v>14118.454</v>
      </c>
      <c r="I119" s="33" t="n">
        <f aca="false">$G119*Premissas!$C$42</f>
        <v>3025.383</v>
      </c>
      <c r="J119" s="33" t="n">
        <f aca="false">$G119*Premissas!$D$42</f>
        <v>1613.5376</v>
      </c>
      <c r="K119" s="33" t="n">
        <f aca="false">$G119*Premissas!$E$42</f>
        <v>806.7688</v>
      </c>
      <c r="L119" s="33" t="n">
        <f aca="false">$G119*Premissas!$F$42</f>
        <v>605.0766</v>
      </c>
    </row>
    <row r="120" customFormat="false" ht="15" hidden="false" customHeight="true" outlineLevel="0" collapsed="false">
      <c r="A120" s="32" t="n">
        <v>2025</v>
      </c>
      <c r="B120" s="32" t="n">
        <v>11</v>
      </c>
      <c r="C120" s="32" t="s">
        <v>158</v>
      </c>
      <c r="D120" s="32" t="s">
        <v>144</v>
      </c>
      <c r="E120" s="78" t="n">
        <f aca="false">SUMIFS(DRE_por_UN!$H:$H,DRE_por_UN!$C:$C,$C120,DRE_por_UN!$E:$E,$D120)</f>
        <v>47311.43</v>
      </c>
      <c r="F120" s="44" t="n">
        <f aca="false">IF($A120=2025,VLOOKUP($D120,Premissas!$A$52:$P$56,12,0),IF($A120=2026,VLOOKUP($D120,Premissas!$A$52:$P$56,13,0),VLOOKUP($D120,Premissas!$A$52:$P$56,14,0)))</f>
        <v>15</v>
      </c>
      <c r="G120" s="33" t="n">
        <f aca="false">E120*F120/30</f>
        <v>23655.715</v>
      </c>
      <c r="H120" s="33" t="n">
        <f aca="false">$G120*Premissas!$B$42</f>
        <v>16559.0005</v>
      </c>
      <c r="I120" s="33" t="n">
        <f aca="false">$G120*Premissas!$C$42</f>
        <v>3548.35725</v>
      </c>
      <c r="J120" s="33" t="n">
        <f aca="false">$G120*Premissas!$D$42</f>
        <v>1892.4572</v>
      </c>
      <c r="K120" s="33" t="n">
        <f aca="false">$G120*Premissas!$E$42</f>
        <v>946.2286</v>
      </c>
      <c r="L120" s="33" t="n">
        <f aca="false">$G120*Premissas!$F$42</f>
        <v>709.67145</v>
      </c>
    </row>
    <row r="121" customFormat="false" ht="15" hidden="false" customHeight="true" outlineLevel="0" collapsed="false">
      <c r="A121" s="32" t="n">
        <v>2025</v>
      </c>
      <c r="B121" s="32" t="n">
        <v>12</v>
      </c>
      <c r="C121" s="32" t="s">
        <v>159</v>
      </c>
      <c r="D121" s="32" t="s">
        <v>144</v>
      </c>
      <c r="E121" s="78" t="n">
        <f aca="false">SUMIFS(DRE_por_UN!$H:$H,DRE_por_UN!$C:$C,$C121,DRE_por_UN!$E:$E,$D121)</f>
        <v>46175.11</v>
      </c>
      <c r="F121" s="44" t="n">
        <f aca="false">IF($A121=2025,VLOOKUP($D121,Premissas!$A$52:$P$56,12,0),IF($A121=2026,VLOOKUP($D121,Premissas!$A$52:$P$56,13,0),VLOOKUP($D121,Premissas!$A$52:$P$56,14,0)))</f>
        <v>15</v>
      </c>
      <c r="G121" s="33" t="n">
        <f aca="false">E121*F121/30</f>
        <v>23087.555</v>
      </c>
      <c r="H121" s="33" t="n">
        <f aca="false">$G121*Premissas!$B$42</f>
        <v>16161.2885</v>
      </c>
      <c r="I121" s="33" t="n">
        <f aca="false">$G121*Premissas!$C$42</f>
        <v>3463.13325</v>
      </c>
      <c r="J121" s="33" t="n">
        <f aca="false">$G121*Premissas!$D$42</f>
        <v>1847.0044</v>
      </c>
      <c r="K121" s="33" t="n">
        <f aca="false">$G121*Premissas!$E$42</f>
        <v>923.5022</v>
      </c>
      <c r="L121" s="33" t="n">
        <f aca="false">$G121*Premissas!$F$42</f>
        <v>692.62665</v>
      </c>
    </row>
    <row r="122" customFormat="false" ht="15" hidden="false" customHeight="true" outlineLevel="0" collapsed="false">
      <c r="A122" s="32" t="n">
        <v>2026</v>
      </c>
      <c r="B122" s="32" t="n">
        <v>1</v>
      </c>
      <c r="C122" s="32" t="s">
        <v>160</v>
      </c>
      <c r="D122" s="32" t="s">
        <v>144</v>
      </c>
      <c r="E122" s="78" t="n">
        <f aca="false">SUMIFS(DRE_por_UN!$H:$H,DRE_por_UN!$C:$C,$C122,DRE_por_UN!$E:$E,$D122)</f>
        <v>32372.47</v>
      </c>
      <c r="F122" s="44" t="n">
        <f aca="false">IF($A122=2025,VLOOKUP($D122,Premissas!$A$52:$P$56,12,0),IF($A122=2026,VLOOKUP($D122,Premissas!$A$52:$P$56,13,0),VLOOKUP($D122,Premissas!$A$52:$P$56,14,0)))</f>
        <v>15</v>
      </c>
      <c r="G122" s="33" t="n">
        <f aca="false">E122*F122/30</f>
        <v>16186.235</v>
      </c>
      <c r="H122" s="33" t="n">
        <f aca="false">$G122*Premissas!$B$42</f>
        <v>11330.3645</v>
      </c>
      <c r="I122" s="33" t="n">
        <f aca="false">$G122*Premissas!$C$42</f>
        <v>2427.93525</v>
      </c>
      <c r="J122" s="33" t="n">
        <f aca="false">$G122*Premissas!$D$42</f>
        <v>1294.8988</v>
      </c>
      <c r="K122" s="33" t="n">
        <f aca="false">$G122*Premissas!$E$42</f>
        <v>647.4494</v>
      </c>
      <c r="L122" s="33" t="n">
        <f aca="false">$G122*Premissas!$F$42</f>
        <v>485.58705</v>
      </c>
    </row>
    <row r="123" customFormat="false" ht="15" hidden="false" customHeight="true" outlineLevel="0" collapsed="false">
      <c r="A123" s="32" t="n">
        <v>2026</v>
      </c>
      <c r="B123" s="32" t="n">
        <v>2</v>
      </c>
      <c r="C123" s="32" t="s">
        <v>161</v>
      </c>
      <c r="D123" s="32" t="s">
        <v>144</v>
      </c>
      <c r="E123" s="78" t="n">
        <f aca="false">SUMIFS(DRE_por_UN!$H:$H,DRE_por_UN!$C:$C,$C123,DRE_por_UN!$E:$E,$D123)</f>
        <v>24469.87</v>
      </c>
      <c r="F123" s="44" t="n">
        <f aca="false">IF($A123=2025,VLOOKUP($D123,Premissas!$A$52:$P$56,12,0),IF($A123=2026,VLOOKUP($D123,Premissas!$A$52:$P$56,13,0),VLOOKUP($D123,Premissas!$A$52:$P$56,14,0)))</f>
        <v>15</v>
      </c>
      <c r="G123" s="33" t="n">
        <f aca="false">E123*F123/30</f>
        <v>12234.935</v>
      </c>
      <c r="H123" s="33" t="n">
        <f aca="false">$G123*Premissas!$B$42</f>
        <v>8564.4545</v>
      </c>
      <c r="I123" s="33" t="n">
        <f aca="false">$G123*Premissas!$C$42</f>
        <v>1835.24025</v>
      </c>
      <c r="J123" s="33" t="n">
        <f aca="false">$G123*Premissas!$D$42</f>
        <v>978.7948</v>
      </c>
      <c r="K123" s="33" t="n">
        <f aca="false">$G123*Premissas!$E$42</f>
        <v>489.3974</v>
      </c>
      <c r="L123" s="33" t="n">
        <f aca="false">$G123*Premissas!$F$42</f>
        <v>367.04805</v>
      </c>
    </row>
    <row r="124" customFormat="false" ht="15" hidden="false" customHeight="true" outlineLevel="0" collapsed="false">
      <c r="A124" s="32" t="n">
        <v>2026</v>
      </c>
      <c r="B124" s="32" t="n">
        <v>3</v>
      </c>
      <c r="C124" s="32" t="s">
        <v>162</v>
      </c>
      <c r="D124" s="32" t="s">
        <v>144</v>
      </c>
      <c r="E124" s="78" t="n">
        <f aca="false">SUMIFS(DRE_por_UN!$H:$H,DRE_por_UN!$C:$C,$C124,DRE_por_UN!$E:$E,$D124)</f>
        <v>32087.32</v>
      </c>
      <c r="F124" s="44" t="n">
        <f aca="false">IF($A124=2025,VLOOKUP($D124,Premissas!$A$52:$P$56,12,0),IF($A124=2026,VLOOKUP($D124,Premissas!$A$52:$P$56,13,0),VLOOKUP($D124,Premissas!$A$52:$P$56,14,0)))</f>
        <v>15</v>
      </c>
      <c r="G124" s="33" t="n">
        <f aca="false">E124*F124/30</f>
        <v>16043.66</v>
      </c>
      <c r="H124" s="33" t="n">
        <f aca="false">$G124*Premissas!$B$42</f>
        <v>11230.562</v>
      </c>
      <c r="I124" s="33" t="n">
        <f aca="false">$G124*Premissas!$C$42</f>
        <v>2406.549</v>
      </c>
      <c r="J124" s="33" t="n">
        <f aca="false">$G124*Premissas!$D$42</f>
        <v>1283.4928</v>
      </c>
      <c r="K124" s="33" t="n">
        <f aca="false">$G124*Premissas!$E$42</f>
        <v>641.7464</v>
      </c>
      <c r="L124" s="33" t="n">
        <f aca="false">$G124*Premissas!$F$42</f>
        <v>481.3098</v>
      </c>
    </row>
    <row r="125" customFormat="false" ht="15" hidden="false" customHeight="true" outlineLevel="0" collapsed="false">
      <c r="A125" s="32" t="n">
        <v>2026</v>
      </c>
      <c r="B125" s="32" t="n">
        <v>4</v>
      </c>
      <c r="C125" s="32" t="s">
        <v>163</v>
      </c>
      <c r="D125" s="32" t="s">
        <v>144</v>
      </c>
      <c r="E125" s="78" t="n">
        <f aca="false">SUMIFS(DRE_por_UN!$H:$H,DRE_por_UN!$C:$C,$C125,DRE_por_UN!$E:$E,$D125)</f>
        <v>40840.07</v>
      </c>
      <c r="F125" s="44" t="n">
        <f aca="false">IF($A125=2025,VLOOKUP($D125,Premissas!$A$52:$P$56,12,0),IF($A125=2026,VLOOKUP($D125,Premissas!$A$52:$P$56,13,0),VLOOKUP($D125,Premissas!$A$52:$P$56,14,0)))</f>
        <v>15</v>
      </c>
      <c r="G125" s="33" t="n">
        <f aca="false">E125*F125/30</f>
        <v>20420.035</v>
      </c>
      <c r="H125" s="33" t="n">
        <f aca="false">$G125*Premissas!$B$42</f>
        <v>14294.0245</v>
      </c>
      <c r="I125" s="33" t="n">
        <f aca="false">$G125*Premissas!$C$42</f>
        <v>3063.00525</v>
      </c>
      <c r="J125" s="33" t="n">
        <f aca="false">$G125*Premissas!$D$42</f>
        <v>1633.6028</v>
      </c>
      <c r="K125" s="33" t="n">
        <f aca="false">$G125*Premissas!$E$42</f>
        <v>816.8014</v>
      </c>
      <c r="L125" s="33" t="n">
        <f aca="false">$G125*Premissas!$F$42</f>
        <v>612.60105</v>
      </c>
    </row>
    <row r="126" customFormat="false" ht="15" hidden="false" customHeight="true" outlineLevel="0" collapsed="false">
      <c r="A126" s="32" t="n">
        <v>2026</v>
      </c>
      <c r="B126" s="32" t="n">
        <v>5</v>
      </c>
      <c r="C126" s="32" t="s">
        <v>164</v>
      </c>
      <c r="D126" s="32" t="s">
        <v>144</v>
      </c>
      <c r="E126" s="78" t="n">
        <f aca="false">SUMIFS(DRE_por_UN!$H:$H,DRE_por_UN!$C:$C,$C126,DRE_por_UN!$E:$E,$D126)</f>
        <v>42549.85</v>
      </c>
      <c r="F126" s="44" t="n">
        <f aca="false">IF($A126=2025,VLOOKUP($D126,Premissas!$A$52:$P$56,12,0),IF($A126=2026,VLOOKUP($D126,Premissas!$A$52:$P$56,13,0),VLOOKUP($D126,Premissas!$A$52:$P$56,14,0)))</f>
        <v>15</v>
      </c>
      <c r="G126" s="33" t="n">
        <f aca="false">E126*F126/30</f>
        <v>21274.925</v>
      </c>
      <c r="H126" s="33" t="n">
        <f aca="false">$G126*Premissas!$B$42</f>
        <v>14892.4475</v>
      </c>
      <c r="I126" s="33" t="n">
        <f aca="false">$G126*Premissas!$C$42</f>
        <v>3191.23875</v>
      </c>
      <c r="J126" s="33" t="n">
        <f aca="false">$G126*Premissas!$D$42</f>
        <v>1701.994</v>
      </c>
      <c r="K126" s="33" t="n">
        <f aca="false">$G126*Premissas!$E$42</f>
        <v>850.997</v>
      </c>
      <c r="L126" s="33" t="n">
        <f aca="false">$G126*Premissas!$F$42</f>
        <v>638.24775</v>
      </c>
    </row>
    <row r="127" customFormat="false" ht="15" hidden="false" customHeight="true" outlineLevel="0" collapsed="false">
      <c r="A127" s="32" t="n">
        <v>2026</v>
      </c>
      <c r="B127" s="32" t="n">
        <v>6</v>
      </c>
      <c r="C127" s="32" t="s">
        <v>165</v>
      </c>
      <c r="D127" s="32" t="s">
        <v>144</v>
      </c>
      <c r="E127" s="78" t="n">
        <f aca="false">SUMIFS(DRE_por_UN!$H:$H,DRE_por_UN!$C:$C,$C127,DRE_por_UN!$E:$E,$D127)</f>
        <v>43190.28</v>
      </c>
      <c r="F127" s="44" t="n">
        <f aca="false">IF($A127=2025,VLOOKUP($D127,Premissas!$A$52:$P$56,12,0),IF($A127=2026,VLOOKUP($D127,Premissas!$A$52:$P$56,13,0),VLOOKUP($D127,Premissas!$A$52:$P$56,14,0)))</f>
        <v>15</v>
      </c>
      <c r="G127" s="33" t="n">
        <f aca="false">E127*F127/30</f>
        <v>21595.14</v>
      </c>
      <c r="H127" s="33" t="n">
        <f aca="false">$G127*Premissas!$B$42</f>
        <v>15116.598</v>
      </c>
      <c r="I127" s="33" t="n">
        <f aca="false">$G127*Premissas!$C$42</f>
        <v>3239.271</v>
      </c>
      <c r="J127" s="33" t="n">
        <f aca="false">$G127*Premissas!$D$42</f>
        <v>1727.6112</v>
      </c>
      <c r="K127" s="33" t="n">
        <f aca="false">$G127*Premissas!$E$42</f>
        <v>863.8056</v>
      </c>
      <c r="L127" s="33" t="n">
        <f aca="false">$G127*Premissas!$F$42</f>
        <v>647.8542</v>
      </c>
    </row>
    <row r="128" customFormat="false" ht="15" hidden="false" customHeight="true" outlineLevel="0" collapsed="false">
      <c r="A128" s="32" t="n">
        <v>2026</v>
      </c>
      <c r="B128" s="32" t="n">
        <v>7</v>
      </c>
      <c r="C128" s="32" t="s">
        <v>166</v>
      </c>
      <c r="D128" s="32" t="s">
        <v>144</v>
      </c>
      <c r="E128" s="78" t="n">
        <f aca="false">SUMIFS(DRE_por_UN!$H:$H,DRE_por_UN!$C:$C,$C128,DRE_por_UN!$E:$E,$D128)</f>
        <v>51199.25</v>
      </c>
      <c r="F128" s="44" t="n">
        <f aca="false">IF($A128=2025,VLOOKUP($D128,Premissas!$A$52:$P$56,12,0),IF($A128=2026,VLOOKUP($D128,Premissas!$A$52:$P$56,13,0),VLOOKUP($D128,Premissas!$A$52:$P$56,14,0)))</f>
        <v>15</v>
      </c>
      <c r="G128" s="33" t="n">
        <f aca="false">E128*F128/30</f>
        <v>25599.625</v>
      </c>
      <c r="H128" s="33" t="n">
        <f aca="false">$G128*Premissas!$B$42</f>
        <v>17919.7375</v>
      </c>
      <c r="I128" s="33" t="n">
        <f aca="false">$G128*Premissas!$C$42</f>
        <v>3839.94375</v>
      </c>
      <c r="J128" s="33" t="n">
        <f aca="false">$G128*Premissas!$D$42</f>
        <v>2047.97</v>
      </c>
      <c r="K128" s="33" t="n">
        <f aca="false">$G128*Premissas!$E$42</f>
        <v>1023.985</v>
      </c>
      <c r="L128" s="33" t="n">
        <f aca="false">$G128*Premissas!$F$42</f>
        <v>767.98875</v>
      </c>
    </row>
    <row r="129" customFormat="false" ht="15" hidden="false" customHeight="true" outlineLevel="0" collapsed="false">
      <c r="A129" s="32" t="n">
        <v>2026</v>
      </c>
      <c r="B129" s="32" t="n">
        <v>8</v>
      </c>
      <c r="C129" s="32" t="s">
        <v>167</v>
      </c>
      <c r="D129" s="32" t="s">
        <v>144</v>
      </c>
      <c r="E129" s="78" t="n">
        <f aca="false">SUMIFS(DRE_por_UN!$H:$H,DRE_por_UN!$C:$C,$C129,DRE_por_UN!$E:$E,$D129)</f>
        <v>46657.47</v>
      </c>
      <c r="F129" s="44" t="n">
        <f aca="false">IF($A129=2025,VLOOKUP($D129,Premissas!$A$52:$P$56,12,0),IF($A129=2026,VLOOKUP($D129,Premissas!$A$52:$P$56,13,0),VLOOKUP($D129,Premissas!$A$52:$P$56,14,0)))</f>
        <v>15</v>
      </c>
      <c r="G129" s="33" t="n">
        <f aca="false">E129*F129/30</f>
        <v>23328.735</v>
      </c>
      <c r="H129" s="33" t="n">
        <f aca="false">$G129*Premissas!$B$42</f>
        <v>16330.1145</v>
      </c>
      <c r="I129" s="33" t="n">
        <f aca="false">$G129*Premissas!$C$42</f>
        <v>3499.31025</v>
      </c>
      <c r="J129" s="33" t="n">
        <f aca="false">$G129*Premissas!$D$42</f>
        <v>1866.2988</v>
      </c>
      <c r="K129" s="33" t="n">
        <f aca="false">$G129*Premissas!$E$42</f>
        <v>933.1494</v>
      </c>
      <c r="L129" s="33" t="n">
        <f aca="false">$G129*Premissas!$F$42</f>
        <v>699.86205</v>
      </c>
    </row>
    <row r="130" customFormat="false" ht="15" hidden="false" customHeight="true" outlineLevel="0" collapsed="false">
      <c r="A130" s="32" t="n">
        <v>2026</v>
      </c>
      <c r="B130" s="32" t="n">
        <v>9</v>
      </c>
      <c r="C130" s="32" t="s">
        <v>168</v>
      </c>
      <c r="D130" s="32" t="s">
        <v>144</v>
      </c>
      <c r="E130" s="78" t="n">
        <f aca="false">SUMIFS(DRE_por_UN!$H:$H,DRE_por_UN!$C:$C,$C130,DRE_por_UN!$E:$E,$D130)</f>
        <v>40798.02</v>
      </c>
      <c r="F130" s="44" t="n">
        <f aca="false">IF($A130=2025,VLOOKUP($D130,Premissas!$A$52:$P$56,12,0),IF($A130=2026,VLOOKUP($D130,Premissas!$A$52:$P$56,13,0),VLOOKUP($D130,Premissas!$A$52:$P$56,14,0)))</f>
        <v>15</v>
      </c>
      <c r="G130" s="33" t="n">
        <f aca="false">E130*F130/30</f>
        <v>20399.01</v>
      </c>
      <c r="H130" s="33" t="n">
        <f aca="false">$G130*Premissas!$B$42</f>
        <v>14279.307</v>
      </c>
      <c r="I130" s="33" t="n">
        <f aca="false">$G130*Premissas!$C$42</f>
        <v>3059.8515</v>
      </c>
      <c r="J130" s="33" t="n">
        <f aca="false">$G130*Premissas!$D$42</f>
        <v>1631.9208</v>
      </c>
      <c r="K130" s="33" t="n">
        <f aca="false">$G130*Premissas!$E$42</f>
        <v>815.9604</v>
      </c>
      <c r="L130" s="33" t="n">
        <f aca="false">$G130*Premissas!$F$42</f>
        <v>611.9703</v>
      </c>
    </row>
    <row r="131" customFormat="false" ht="15" hidden="false" customHeight="true" outlineLevel="0" collapsed="false">
      <c r="A131" s="32" t="n">
        <v>2026</v>
      </c>
      <c r="B131" s="32" t="n">
        <v>10</v>
      </c>
      <c r="C131" s="32" t="s">
        <v>169</v>
      </c>
      <c r="D131" s="32" t="s">
        <v>144</v>
      </c>
      <c r="E131" s="78" t="n">
        <f aca="false">SUMIFS(DRE_por_UN!$H:$H,DRE_por_UN!$C:$C,$C131,DRE_por_UN!$E:$E,$D131)</f>
        <v>33540.46</v>
      </c>
      <c r="F131" s="44" t="n">
        <f aca="false">IF($A131=2025,VLOOKUP($D131,Premissas!$A$52:$P$56,12,0),IF($A131=2026,VLOOKUP($D131,Premissas!$A$52:$P$56,13,0),VLOOKUP($D131,Premissas!$A$52:$P$56,14,0)))</f>
        <v>15</v>
      </c>
      <c r="G131" s="33" t="n">
        <f aca="false">E131*F131/30</f>
        <v>16770.23</v>
      </c>
      <c r="H131" s="33" t="n">
        <f aca="false">$G131*Premissas!$B$42</f>
        <v>11739.161</v>
      </c>
      <c r="I131" s="33" t="n">
        <f aca="false">$G131*Premissas!$C$42</f>
        <v>2515.5345</v>
      </c>
      <c r="J131" s="33" t="n">
        <f aca="false">$G131*Premissas!$D$42</f>
        <v>1341.6184</v>
      </c>
      <c r="K131" s="33" t="n">
        <f aca="false">$G131*Premissas!$E$42</f>
        <v>670.8092</v>
      </c>
      <c r="L131" s="33" t="n">
        <f aca="false">$G131*Premissas!$F$42</f>
        <v>503.1069</v>
      </c>
    </row>
    <row r="132" customFormat="false" ht="15" hidden="false" customHeight="true" outlineLevel="0" collapsed="false">
      <c r="A132" s="32" t="n">
        <v>2026</v>
      </c>
      <c r="B132" s="32" t="n">
        <v>11</v>
      </c>
      <c r="C132" s="32" t="s">
        <v>170</v>
      </c>
      <c r="D132" s="32" t="s">
        <v>144</v>
      </c>
      <c r="E132" s="78" t="n">
        <f aca="false">SUMIFS(DRE_por_UN!$H:$H,DRE_por_UN!$C:$C,$C132,DRE_por_UN!$E:$E,$D132)</f>
        <v>42002.1</v>
      </c>
      <c r="F132" s="44" t="n">
        <f aca="false">IF($A132=2025,VLOOKUP($D132,Premissas!$A$52:$P$56,12,0),IF($A132=2026,VLOOKUP($D132,Premissas!$A$52:$P$56,13,0),VLOOKUP($D132,Premissas!$A$52:$P$56,14,0)))</f>
        <v>15</v>
      </c>
      <c r="G132" s="33" t="n">
        <f aca="false">E132*F132/30</f>
        <v>21001.05</v>
      </c>
      <c r="H132" s="33" t="n">
        <f aca="false">$G132*Premissas!$B$42</f>
        <v>14700.735</v>
      </c>
      <c r="I132" s="33" t="n">
        <f aca="false">$G132*Premissas!$C$42</f>
        <v>3150.1575</v>
      </c>
      <c r="J132" s="33" t="n">
        <f aca="false">$G132*Premissas!$D$42</f>
        <v>1680.084</v>
      </c>
      <c r="K132" s="33" t="n">
        <f aca="false">$G132*Premissas!$E$42</f>
        <v>840.042</v>
      </c>
      <c r="L132" s="33" t="n">
        <f aca="false">$G132*Premissas!$F$42</f>
        <v>630.0315</v>
      </c>
    </row>
    <row r="133" customFormat="false" ht="15" hidden="false" customHeight="true" outlineLevel="0" collapsed="false">
      <c r="A133" s="32" t="n">
        <v>2026</v>
      </c>
      <c r="B133" s="32" t="n">
        <v>12</v>
      </c>
      <c r="C133" s="32" t="s">
        <v>171</v>
      </c>
      <c r="D133" s="32" t="s">
        <v>144</v>
      </c>
      <c r="E133" s="78" t="n">
        <f aca="false">SUMIFS(DRE_por_UN!$H:$H,DRE_por_UN!$C:$C,$C133,DRE_por_UN!$E:$E,$D133)</f>
        <v>51459.63</v>
      </c>
      <c r="F133" s="44" t="n">
        <f aca="false">IF($A133=2025,VLOOKUP($D133,Premissas!$A$52:$P$56,12,0),IF($A133=2026,VLOOKUP($D133,Premissas!$A$52:$P$56,13,0),VLOOKUP($D133,Premissas!$A$52:$P$56,14,0)))</f>
        <v>15</v>
      </c>
      <c r="G133" s="33" t="n">
        <f aca="false">E133*F133/30</f>
        <v>25729.815</v>
      </c>
      <c r="H133" s="33" t="n">
        <f aca="false">$G133*Premissas!$B$42</f>
        <v>18010.8705</v>
      </c>
      <c r="I133" s="33" t="n">
        <f aca="false">$G133*Premissas!$C$42</f>
        <v>3859.47225</v>
      </c>
      <c r="J133" s="33" t="n">
        <f aca="false">$G133*Premissas!$D$42</f>
        <v>2058.3852</v>
      </c>
      <c r="K133" s="33" t="n">
        <f aca="false">$G133*Premissas!$E$42</f>
        <v>1029.1926</v>
      </c>
      <c r="L133" s="33" t="n">
        <f aca="false">$G133*Premissas!$F$42</f>
        <v>771.89445</v>
      </c>
    </row>
    <row r="134" customFormat="false" ht="15" hidden="false" customHeight="true" outlineLevel="0" collapsed="false">
      <c r="A134" s="32" t="n">
        <v>2027</v>
      </c>
      <c r="B134" s="32" t="n">
        <v>1</v>
      </c>
      <c r="C134" s="32" t="s">
        <v>172</v>
      </c>
      <c r="D134" s="32" t="s">
        <v>144</v>
      </c>
      <c r="E134" s="78" t="n">
        <f aca="false">SUMIFS(DRE_por_UN!$H:$H,DRE_por_UN!$C:$C,$C134,DRE_por_UN!$E:$E,$D134)</f>
        <v>35568.41538096</v>
      </c>
      <c r="F134" s="44" t="n">
        <f aca="false">IF($A134=2025,VLOOKUP($D134,Premissas!$A$52:$P$56,12,0),IF($A134=2026,VLOOKUP($D134,Premissas!$A$52:$P$56,13,0),VLOOKUP($D134,Premissas!$A$52:$P$56,14,0)))</f>
        <v>15</v>
      </c>
      <c r="G134" s="33" t="n">
        <f aca="false">E134*F134/30</f>
        <v>17784.20769048</v>
      </c>
      <c r="H134" s="33" t="n">
        <f aca="false">$G134*Premissas!$B$42</f>
        <v>12448.945383336</v>
      </c>
      <c r="I134" s="33" t="n">
        <f aca="false">$G134*Premissas!$C$42</f>
        <v>2667.631153572</v>
      </c>
      <c r="J134" s="33" t="n">
        <f aca="false">$G134*Premissas!$D$42</f>
        <v>1422.7366152384</v>
      </c>
      <c r="K134" s="33" t="n">
        <f aca="false">$G134*Premissas!$E$42</f>
        <v>711.3683076192</v>
      </c>
      <c r="L134" s="33" t="n">
        <f aca="false">$G134*Premissas!$F$42</f>
        <v>533.5262307144</v>
      </c>
    </row>
    <row r="135" customFormat="false" ht="15" hidden="false" customHeight="true" outlineLevel="0" collapsed="false">
      <c r="A135" s="32" t="n">
        <v>2027</v>
      </c>
      <c r="B135" s="32" t="n">
        <v>2</v>
      </c>
      <c r="C135" s="32" t="s">
        <v>173</v>
      </c>
      <c r="D135" s="32" t="s">
        <v>144</v>
      </c>
      <c r="E135" s="78" t="n">
        <f aca="false">SUMIFS(DRE_por_UN!$H:$H,DRE_por_UN!$C:$C,$C135,DRE_por_UN!$E:$E,$D135)</f>
        <v>26307.61505504</v>
      </c>
      <c r="F135" s="44" t="n">
        <f aca="false">IF($A135=2025,VLOOKUP($D135,Premissas!$A$52:$P$56,12,0),IF($A135=2026,VLOOKUP($D135,Premissas!$A$52:$P$56,13,0),VLOOKUP($D135,Premissas!$A$52:$P$56,14,0)))</f>
        <v>15</v>
      </c>
      <c r="G135" s="33" t="n">
        <f aca="false">E135*F135/30</f>
        <v>13153.80752752</v>
      </c>
      <c r="H135" s="33" t="n">
        <f aca="false">$G135*Premissas!$B$42</f>
        <v>9207.665269264</v>
      </c>
      <c r="I135" s="33" t="n">
        <f aca="false">$G135*Premissas!$C$42</f>
        <v>1973.071129128</v>
      </c>
      <c r="J135" s="33" t="n">
        <f aca="false">$G135*Premissas!$D$42</f>
        <v>1052.3046022016</v>
      </c>
      <c r="K135" s="33" t="n">
        <f aca="false">$G135*Premissas!$E$42</f>
        <v>526.1523011008</v>
      </c>
      <c r="L135" s="33" t="n">
        <f aca="false">$G135*Premissas!$F$42</f>
        <v>394.6142258256</v>
      </c>
    </row>
    <row r="136" customFormat="false" ht="15" hidden="false" customHeight="true" outlineLevel="0" collapsed="false">
      <c r="A136" s="32" t="n">
        <v>2027</v>
      </c>
      <c r="B136" s="32" t="n">
        <v>3</v>
      </c>
      <c r="C136" s="32" t="s">
        <v>174</v>
      </c>
      <c r="D136" s="32" t="s">
        <v>144</v>
      </c>
      <c r="E136" s="78" t="n">
        <f aca="false">SUMIFS(DRE_por_UN!$H:$H,DRE_por_UN!$C:$C,$C136,DRE_por_UN!$E:$E,$D136)</f>
        <v>35075.84392752</v>
      </c>
      <c r="F136" s="44" t="n">
        <f aca="false">IF($A136=2025,VLOOKUP($D136,Premissas!$A$52:$P$56,12,0),IF($A136=2026,VLOOKUP($D136,Premissas!$A$52:$P$56,13,0),VLOOKUP($D136,Premissas!$A$52:$P$56,14,0)))</f>
        <v>15</v>
      </c>
      <c r="G136" s="33" t="n">
        <f aca="false">E136*F136/30</f>
        <v>17537.92196376</v>
      </c>
      <c r="H136" s="33" t="n">
        <f aca="false">$G136*Premissas!$B$42</f>
        <v>12276.545374632</v>
      </c>
      <c r="I136" s="33" t="n">
        <f aca="false">$G136*Premissas!$C$42</f>
        <v>2630.688294564</v>
      </c>
      <c r="J136" s="33" t="n">
        <f aca="false">$G136*Premissas!$D$42</f>
        <v>1403.0337571008</v>
      </c>
      <c r="K136" s="33" t="n">
        <f aca="false">$G136*Premissas!$E$42</f>
        <v>701.5168785504</v>
      </c>
      <c r="L136" s="33" t="n">
        <f aca="false">$G136*Premissas!$F$42</f>
        <v>526.1376589128</v>
      </c>
    </row>
    <row r="137" customFormat="false" ht="15" hidden="false" customHeight="true" outlineLevel="0" collapsed="false">
      <c r="A137" s="32" t="n">
        <v>2027</v>
      </c>
      <c r="B137" s="32" t="n">
        <v>4</v>
      </c>
      <c r="C137" s="32" t="s">
        <v>175</v>
      </c>
      <c r="D137" s="32" t="s">
        <v>144</v>
      </c>
      <c r="E137" s="78" t="n">
        <f aca="false">SUMIFS(DRE_por_UN!$H:$H,DRE_por_UN!$C:$C,$C137,DRE_por_UN!$E:$E,$D137)</f>
        <v>44234.7098776</v>
      </c>
      <c r="F137" s="44" t="n">
        <f aca="false">IF($A137=2025,VLOOKUP($D137,Premissas!$A$52:$P$56,12,0),IF($A137=2026,VLOOKUP($D137,Premissas!$A$52:$P$56,13,0),VLOOKUP($D137,Premissas!$A$52:$P$56,14,0)))</f>
        <v>15</v>
      </c>
      <c r="G137" s="33" t="n">
        <f aca="false">E137*F137/30</f>
        <v>22117.3549388</v>
      </c>
      <c r="H137" s="33" t="n">
        <f aca="false">$G137*Premissas!$B$42</f>
        <v>15482.14845716</v>
      </c>
      <c r="I137" s="33" t="n">
        <f aca="false">$G137*Premissas!$C$42</f>
        <v>3317.60324082</v>
      </c>
      <c r="J137" s="33" t="n">
        <f aca="false">$G137*Premissas!$D$42</f>
        <v>1769.388395104</v>
      </c>
      <c r="K137" s="33" t="n">
        <f aca="false">$G137*Premissas!$E$42</f>
        <v>884.694197552</v>
      </c>
      <c r="L137" s="33" t="n">
        <f aca="false">$G137*Premissas!$F$42</f>
        <v>663.520648164</v>
      </c>
    </row>
    <row r="138" customFormat="false" ht="15" hidden="false" customHeight="true" outlineLevel="0" collapsed="false">
      <c r="A138" s="32" t="n">
        <v>2027</v>
      </c>
      <c r="B138" s="32" t="n">
        <v>5</v>
      </c>
      <c r="C138" s="32" t="s">
        <v>176</v>
      </c>
      <c r="D138" s="32" t="s">
        <v>144</v>
      </c>
      <c r="E138" s="78" t="n">
        <f aca="false">SUMIFS(DRE_por_UN!$H:$H,DRE_por_UN!$C:$C,$C138,DRE_por_UN!$E:$E,$D138)</f>
        <v>46326.3154992</v>
      </c>
      <c r="F138" s="44" t="n">
        <f aca="false">IF($A138=2025,VLOOKUP($D138,Premissas!$A$52:$P$56,12,0),IF($A138=2026,VLOOKUP($D138,Premissas!$A$52:$P$56,13,0),VLOOKUP($D138,Premissas!$A$52:$P$56,14,0)))</f>
        <v>15</v>
      </c>
      <c r="G138" s="33" t="n">
        <f aca="false">E138*F138/30</f>
        <v>23163.1577496</v>
      </c>
      <c r="H138" s="33" t="n">
        <f aca="false">$G138*Premissas!$B$42</f>
        <v>16214.21042472</v>
      </c>
      <c r="I138" s="33" t="n">
        <f aca="false">$G138*Premissas!$C$42</f>
        <v>3474.47366244</v>
      </c>
      <c r="J138" s="33" t="n">
        <f aca="false">$G138*Premissas!$D$42</f>
        <v>1853.052619968</v>
      </c>
      <c r="K138" s="33" t="n">
        <f aca="false">$G138*Premissas!$E$42</f>
        <v>926.526309984</v>
      </c>
      <c r="L138" s="33" t="n">
        <f aca="false">$G138*Premissas!$F$42</f>
        <v>694.894732488</v>
      </c>
    </row>
    <row r="139" customFormat="false" ht="15" hidden="false" customHeight="true" outlineLevel="0" collapsed="false">
      <c r="A139" s="32" t="n">
        <v>2027</v>
      </c>
      <c r="B139" s="32" t="n">
        <v>6</v>
      </c>
      <c r="C139" s="32" t="s">
        <v>177</v>
      </c>
      <c r="D139" s="32" t="s">
        <v>144</v>
      </c>
      <c r="E139" s="78" t="n">
        <f aca="false">SUMIFS(DRE_por_UN!$H:$H,DRE_por_UN!$C:$C,$C139,DRE_por_UN!$E:$E,$D139)</f>
        <v>47677.85956912</v>
      </c>
      <c r="F139" s="44" t="n">
        <f aca="false">IF($A139=2025,VLOOKUP($D139,Premissas!$A$52:$P$56,12,0),IF($A139=2026,VLOOKUP($D139,Premissas!$A$52:$P$56,13,0),VLOOKUP($D139,Premissas!$A$52:$P$56,14,0)))</f>
        <v>15</v>
      </c>
      <c r="G139" s="33" t="n">
        <f aca="false">E139*F139/30</f>
        <v>23838.92978456</v>
      </c>
      <c r="H139" s="33" t="n">
        <f aca="false">$G139*Premissas!$B$42</f>
        <v>16687.250849192</v>
      </c>
      <c r="I139" s="33" t="n">
        <f aca="false">$G139*Premissas!$C$42</f>
        <v>3575.839467684</v>
      </c>
      <c r="J139" s="33" t="n">
        <f aca="false">$G139*Premissas!$D$42</f>
        <v>1907.1143827648</v>
      </c>
      <c r="K139" s="33" t="n">
        <f aca="false">$G139*Premissas!$E$42</f>
        <v>953.5571913824</v>
      </c>
      <c r="L139" s="33" t="n">
        <f aca="false">$G139*Premissas!$F$42</f>
        <v>715.1678935368</v>
      </c>
    </row>
    <row r="140" customFormat="false" ht="15" hidden="false" customHeight="true" outlineLevel="0" collapsed="false">
      <c r="A140" s="32" t="n">
        <v>2027</v>
      </c>
      <c r="B140" s="32" t="n">
        <v>7</v>
      </c>
      <c r="C140" s="32" t="s">
        <v>178</v>
      </c>
      <c r="D140" s="32" t="s">
        <v>144</v>
      </c>
      <c r="E140" s="78" t="n">
        <f aca="false">SUMIFS(DRE_por_UN!$H:$H,DRE_por_UN!$C:$C,$C140,DRE_por_UN!$E:$E,$D140)</f>
        <v>56019.33671664</v>
      </c>
      <c r="F140" s="44" t="n">
        <f aca="false">IF($A140=2025,VLOOKUP($D140,Premissas!$A$52:$P$56,12,0),IF($A140=2026,VLOOKUP($D140,Premissas!$A$52:$P$56,13,0),VLOOKUP($D140,Premissas!$A$52:$P$56,14,0)))</f>
        <v>15</v>
      </c>
      <c r="G140" s="33" t="n">
        <f aca="false">E140*F140/30</f>
        <v>28009.66835832</v>
      </c>
      <c r="H140" s="33" t="n">
        <f aca="false">$G140*Premissas!$B$42</f>
        <v>19606.767850824</v>
      </c>
      <c r="I140" s="33" t="n">
        <f aca="false">$G140*Premissas!$C$42</f>
        <v>4201.450253748</v>
      </c>
      <c r="J140" s="33" t="n">
        <f aca="false">$G140*Premissas!$D$42</f>
        <v>2240.7734686656</v>
      </c>
      <c r="K140" s="33" t="n">
        <f aca="false">$G140*Premissas!$E$42</f>
        <v>1120.3867343328</v>
      </c>
      <c r="L140" s="33" t="n">
        <f aca="false">$G140*Premissas!$F$42</f>
        <v>840.2900507496</v>
      </c>
    </row>
    <row r="141" customFormat="false" ht="15" hidden="false" customHeight="true" outlineLevel="0" collapsed="false">
      <c r="A141" s="32" t="n">
        <v>2027</v>
      </c>
      <c r="B141" s="32" t="n">
        <v>8</v>
      </c>
      <c r="C141" s="32" t="s">
        <v>179</v>
      </c>
      <c r="D141" s="32" t="s">
        <v>144</v>
      </c>
      <c r="E141" s="78" t="n">
        <f aca="false">SUMIFS(DRE_por_UN!$H:$H,DRE_por_UN!$C:$C,$C141,DRE_por_UN!$E:$E,$D141)</f>
        <v>49539.99941968</v>
      </c>
      <c r="F141" s="44" t="n">
        <f aca="false">IF($A141=2025,VLOOKUP($D141,Premissas!$A$52:$P$56,12,0),IF($A141=2026,VLOOKUP($D141,Premissas!$A$52:$P$56,13,0),VLOOKUP($D141,Premissas!$A$52:$P$56,14,0)))</f>
        <v>15</v>
      </c>
      <c r="G141" s="33" t="n">
        <f aca="false">E141*F141/30</f>
        <v>24769.99970984</v>
      </c>
      <c r="H141" s="33" t="n">
        <f aca="false">$G141*Premissas!$B$42</f>
        <v>17338.999796888</v>
      </c>
      <c r="I141" s="33" t="n">
        <f aca="false">$G141*Premissas!$C$42</f>
        <v>3715.499956476</v>
      </c>
      <c r="J141" s="33" t="n">
        <f aca="false">$G141*Premissas!$D$42</f>
        <v>1981.5999767872</v>
      </c>
      <c r="K141" s="33" t="n">
        <f aca="false">$G141*Premissas!$E$42</f>
        <v>990.7999883936</v>
      </c>
      <c r="L141" s="33" t="n">
        <f aca="false">$G141*Premissas!$F$42</f>
        <v>743.0999912952</v>
      </c>
    </row>
    <row r="142" customFormat="false" ht="15" hidden="false" customHeight="true" outlineLevel="0" collapsed="false">
      <c r="A142" s="32" t="n">
        <v>2027</v>
      </c>
      <c r="B142" s="32" t="n">
        <v>9</v>
      </c>
      <c r="C142" s="32" t="s">
        <v>180</v>
      </c>
      <c r="D142" s="32" t="s">
        <v>144</v>
      </c>
      <c r="E142" s="78" t="n">
        <f aca="false">SUMIFS(DRE_por_UN!$H:$H,DRE_por_UN!$C:$C,$C142,DRE_por_UN!$E:$E,$D142)</f>
        <v>44421.20598256</v>
      </c>
      <c r="F142" s="44" t="n">
        <f aca="false">IF($A142=2025,VLOOKUP($D142,Premissas!$A$52:$P$56,12,0),IF($A142=2026,VLOOKUP($D142,Premissas!$A$52:$P$56,13,0),VLOOKUP($D142,Premissas!$A$52:$P$56,14,0)))</f>
        <v>15</v>
      </c>
      <c r="G142" s="33" t="n">
        <f aca="false">E142*F142/30</f>
        <v>22210.60299128</v>
      </c>
      <c r="H142" s="33" t="n">
        <f aca="false">$G142*Premissas!$B$42</f>
        <v>15547.422093896</v>
      </c>
      <c r="I142" s="33" t="n">
        <f aca="false">$G142*Premissas!$C$42</f>
        <v>3331.590448692</v>
      </c>
      <c r="J142" s="33" t="n">
        <f aca="false">$G142*Premissas!$D$42</f>
        <v>1776.8482393024</v>
      </c>
      <c r="K142" s="33" t="n">
        <f aca="false">$G142*Premissas!$E$42</f>
        <v>888.4241196512</v>
      </c>
      <c r="L142" s="33" t="n">
        <f aca="false">$G142*Premissas!$F$42</f>
        <v>666.3180897384</v>
      </c>
    </row>
    <row r="143" customFormat="false" ht="15" hidden="false" customHeight="true" outlineLevel="0" collapsed="false">
      <c r="A143" s="32" t="n">
        <v>2027</v>
      </c>
      <c r="B143" s="32" t="n">
        <v>10</v>
      </c>
      <c r="C143" s="32" t="s">
        <v>181</v>
      </c>
      <c r="D143" s="32" t="s">
        <v>144</v>
      </c>
      <c r="E143" s="78" t="n">
        <f aca="false">SUMIFS(DRE_por_UN!$H:$H,DRE_por_UN!$C:$C,$C143,DRE_por_UN!$E:$E,$D143)</f>
        <v>36697.62916864</v>
      </c>
      <c r="F143" s="44" t="n">
        <f aca="false">IF($A143=2025,VLOOKUP($D143,Premissas!$A$52:$P$56,12,0),IF($A143=2026,VLOOKUP($D143,Premissas!$A$52:$P$56,13,0),VLOOKUP($D143,Premissas!$A$52:$P$56,14,0)))</f>
        <v>15</v>
      </c>
      <c r="G143" s="33" t="n">
        <f aca="false">E143*F143/30</f>
        <v>18348.81458432</v>
      </c>
      <c r="H143" s="33" t="n">
        <f aca="false">$G143*Premissas!$B$42</f>
        <v>12844.170209024</v>
      </c>
      <c r="I143" s="33" t="n">
        <f aca="false">$G143*Premissas!$C$42</f>
        <v>2752.322187648</v>
      </c>
      <c r="J143" s="33" t="n">
        <f aca="false">$G143*Premissas!$D$42</f>
        <v>1467.9051667456</v>
      </c>
      <c r="K143" s="33" t="n">
        <f aca="false">$G143*Premissas!$E$42</f>
        <v>733.9525833728</v>
      </c>
      <c r="L143" s="33" t="n">
        <f aca="false">$G143*Premissas!$F$42</f>
        <v>550.4644375296</v>
      </c>
    </row>
    <row r="144" customFormat="false" ht="15" hidden="false" customHeight="true" outlineLevel="0" collapsed="false">
      <c r="A144" s="32" t="n">
        <v>2027</v>
      </c>
      <c r="B144" s="32" t="n">
        <v>11</v>
      </c>
      <c r="C144" s="32" t="s">
        <v>182</v>
      </c>
      <c r="D144" s="32" t="s">
        <v>144</v>
      </c>
      <c r="E144" s="78" t="n">
        <f aca="false">SUMIFS(DRE_por_UN!$H:$H,DRE_por_UN!$C:$C,$C144,DRE_por_UN!$E:$E,$D144)</f>
        <v>46874.44477584</v>
      </c>
      <c r="F144" s="44" t="n">
        <f aca="false">IF($A144=2025,VLOOKUP($D144,Premissas!$A$52:$P$56,12,0),IF($A144=2026,VLOOKUP($D144,Premissas!$A$52:$P$56,13,0),VLOOKUP($D144,Premissas!$A$52:$P$56,14,0)))</f>
        <v>15</v>
      </c>
      <c r="G144" s="33" t="n">
        <f aca="false">E144*F144/30</f>
        <v>23437.22238792</v>
      </c>
      <c r="H144" s="33" t="n">
        <f aca="false">$G144*Premissas!$B$42</f>
        <v>16406.055671544</v>
      </c>
      <c r="I144" s="33" t="n">
        <f aca="false">$G144*Premissas!$C$42</f>
        <v>3515.583358188</v>
      </c>
      <c r="J144" s="33" t="n">
        <f aca="false">$G144*Premissas!$D$42</f>
        <v>1874.9777910336</v>
      </c>
      <c r="K144" s="33" t="n">
        <f aca="false">$G144*Premissas!$E$42</f>
        <v>937.4888955168</v>
      </c>
      <c r="L144" s="33" t="n">
        <f aca="false">$G144*Premissas!$F$42</f>
        <v>703.1166716376</v>
      </c>
    </row>
    <row r="145" customFormat="false" ht="15" hidden="false" customHeight="true" outlineLevel="0" collapsed="false">
      <c r="A145" s="32" t="n">
        <v>2027</v>
      </c>
      <c r="B145" s="32" t="n">
        <v>12</v>
      </c>
      <c r="C145" s="32" t="s">
        <v>183</v>
      </c>
      <c r="D145" s="32" t="s">
        <v>144</v>
      </c>
      <c r="E145" s="78" t="n">
        <f aca="false">SUMIFS(DRE_por_UN!$H:$H,DRE_por_UN!$C:$C,$C145,DRE_por_UN!$E:$E,$D145)</f>
        <v>55520.97438096</v>
      </c>
      <c r="F145" s="44" t="n">
        <f aca="false">IF($A145=2025,VLOOKUP($D145,Premissas!$A$52:$P$56,12,0),IF($A145=2026,VLOOKUP($D145,Premissas!$A$52:$P$56,13,0),VLOOKUP($D145,Premissas!$A$52:$P$56,14,0)))</f>
        <v>15</v>
      </c>
      <c r="G145" s="33" t="n">
        <f aca="false">E145*F145/30</f>
        <v>27760.48719048</v>
      </c>
      <c r="H145" s="33" t="n">
        <f aca="false">$G145*Premissas!$B$42</f>
        <v>19432.341033336</v>
      </c>
      <c r="I145" s="33" t="n">
        <f aca="false">$G145*Premissas!$C$42</f>
        <v>4164.073078572</v>
      </c>
      <c r="J145" s="33" t="n">
        <f aca="false">$G145*Premissas!$D$42</f>
        <v>2220.8389752384</v>
      </c>
      <c r="K145" s="33" t="n">
        <f aca="false">$G145*Premissas!$E$42</f>
        <v>1110.4194876192</v>
      </c>
      <c r="L145" s="33" t="n">
        <f aca="false">$G145*Premissas!$F$42</f>
        <v>832.8146157144</v>
      </c>
    </row>
    <row r="146" customFormat="false" ht="15" hidden="false" customHeight="true" outlineLevel="0" collapsed="false">
      <c r="A146" s="32" t="n">
        <v>2025</v>
      </c>
      <c r="B146" s="32" t="n">
        <v>1</v>
      </c>
      <c r="C146" s="32" t="s">
        <v>148</v>
      </c>
      <c r="D146" s="32" t="s">
        <v>145</v>
      </c>
      <c r="E146" s="78" t="n">
        <f aca="false">SUMIFS(DRE_por_UN!$H:$H,DRE_por_UN!$C:$C,$C146,DRE_por_UN!$E:$E,$D146)</f>
        <v>68495.23</v>
      </c>
      <c r="F146" s="44" t="n">
        <f aca="false">IF($A146=2025,VLOOKUP($D146,Premissas!$A$52:$P$56,12,0),IF($A146=2026,VLOOKUP($D146,Premissas!$A$52:$P$56,13,0),VLOOKUP($D146,Premissas!$A$52:$P$56,14,0)))</f>
        <v>30</v>
      </c>
      <c r="G146" s="33" t="n">
        <f aca="false">E146*F146/30</f>
        <v>68495.23</v>
      </c>
      <c r="H146" s="33" t="n">
        <f aca="false">$G146*Premissas!$B$42</f>
        <v>47946.661</v>
      </c>
      <c r="I146" s="33" t="n">
        <f aca="false">$G146*Premissas!$C$42</f>
        <v>10274.2845</v>
      </c>
      <c r="J146" s="33" t="n">
        <f aca="false">$G146*Premissas!$D$42</f>
        <v>5479.6184</v>
      </c>
      <c r="K146" s="33" t="n">
        <f aca="false">$G146*Premissas!$E$42</f>
        <v>2739.8092</v>
      </c>
      <c r="L146" s="33" t="n">
        <f aca="false">$G146*Premissas!$F$42</f>
        <v>2054.8569</v>
      </c>
    </row>
    <row r="147" customFormat="false" ht="15" hidden="false" customHeight="true" outlineLevel="0" collapsed="false">
      <c r="A147" s="32" t="n">
        <v>2025</v>
      </c>
      <c r="B147" s="32" t="n">
        <v>2</v>
      </c>
      <c r="C147" s="32" t="s">
        <v>149</v>
      </c>
      <c r="D147" s="32" t="s">
        <v>145</v>
      </c>
      <c r="E147" s="78" t="n">
        <f aca="false">SUMIFS(DRE_por_UN!$H:$H,DRE_por_UN!$C:$C,$C147,DRE_por_UN!$E:$E,$D147)</f>
        <v>66534.6</v>
      </c>
      <c r="F147" s="44" t="n">
        <f aca="false">IF($A147=2025,VLOOKUP($D147,Premissas!$A$52:$P$56,12,0),IF($A147=2026,VLOOKUP($D147,Premissas!$A$52:$P$56,13,0),VLOOKUP($D147,Premissas!$A$52:$P$56,14,0)))</f>
        <v>30</v>
      </c>
      <c r="G147" s="33" t="n">
        <f aca="false">E147*F147/30</f>
        <v>66534.6</v>
      </c>
      <c r="H147" s="33" t="n">
        <f aca="false">$G147*Premissas!$B$42</f>
        <v>46574.22</v>
      </c>
      <c r="I147" s="33" t="n">
        <f aca="false">$G147*Premissas!$C$42</f>
        <v>9980.19</v>
      </c>
      <c r="J147" s="33" t="n">
        <f aca="false">$G147*Premissas!$D$42</f>
        <v>5322.768</v>
      </c>
      <c r="K147" s="33" t="n">
        <f aca="false">$G147*Premissas!$E$42</f>
        <v>2661.384</v>
      </c>
      <c r="L147" s="33" t="n">
        <f aca="false">$G147*Premissas!$F$42</f>
        <v>1996.038</v>
      </c>
    </row>
    <row r="148" customFormat="false" ht="15" hidden="false" customHeight="true" outlineLevel="0" collapsed="false">
      <c r="A148" s="32" t="n">
        <v>2025</v>
      </c>
      <c r="B148" s="32" t="n">
        <v>3</v>
      </c>
      <c r="C148" s="32" t="s">
        <v>150</v>
      </c>
      <c r="D148" s="32" t="s">
        <v>145</v>
      </c>
      <c r="E148" s="78" t="n">
        <f aca="false">SUMIFS(DRE_por_UN!$H:$H,DRE_por_UN!$C:$C,$C148,DRE_por_UN!$E:$E,$D148)</f>
        <v>79935.13</v>
      </c>
      <c r="F148" s="44" t="n">
        <f aca="false">IF($A148=2025,VLOOKUP($D148,Premissas!$A$52:$P$56,12,0),IF($A148=2026,VLOOKUP($D148,Premissas!$A$52:$P$56,13,0),VLOOKUP($D148,Premissas!$A$52:$P$56,14,0)))</f>
        <v>30</v>
      </c>
      <c r="G148" s="33" t="n">
        <f aca="false">E148*F148/30</f>
        <v>79935.13</v>
      </c>
      <c r="H148" s="33" t="n">
        <f aca="false">$G148*Premissas!$B$42</f>
        <v>55954.591</v>
      </c>
      <c r="I148" s="33" t="n">
        <f aca="false">$G148*Premissas!$C$42</f>
        <v>11990.2695</v>
      </c>
      <c r="J148" s="33" t="n">
        <f aca="false">$G148*Premissas!$D$42</f>
        <v>6394.8104</v>
      </c>
      <c r="K148" s="33" t="n">
        <f aca="false">$G148*Premissas!$E$42</f>
        <v>3197.4052</v>
      </c>
      <c r="L148" s="33" t="n">
        <f aca="false">$G148*Premissas!$F$42</f>
        <v>2398.0539</v>
      </c>
    </row>
    <row r="149" customFormat="false" ht="15" hidden="false" customHeight="true" outlineLevel="0" collapsed="false">
      <c r="A149" s="32" t="n">
        <v>2025</v>
      </c>
      <c r="B149" s="32" t="n">
        <v>4</v>
      </c>
      <c r="C149" s="32" t="s">
        <v>151</v>
      </c>
      <c r="D149" s="32" t="s">
        <v>145</v>
      </c>
      <c r="E149" s="78" t="n">
        <f aca="false">SUMIFS(DRE_por_UN!$H:$H,DRE_por_UN!$C:$C,$C149,DRE_por_UN!$E:$E,$D149)</f>
        <v>76985.7</v>
      </c>
      <c r="F149" s="44" t="n">
        <f aca="false">IF($A149=2025,VLOOKUP($D149,Premissas!$A$52:$P$56,12,0),IF($A149=2026,VLOOKUP($D149,Premissas!$A$52:$P$56,13,0),VLOOKUP($D149,Premissas!$A$52:$P$56,14,0)))</f>
        <v>30</v>
      </c>
      <c r="G149" s="33" t="n">
        <f aca="false">E149*F149/30</f>
        <v>76985.7</v>
      </c>
      <c r="H149" s="33" t="n">
        <f aca="false">$G149*Premissas!$B$42</f>
        <v>53889.99</v>
      </c>
      <c r="I149" s="33" t="n">
        <f aca="false">$G149*Premissas!$C$42</f>
        <v>11547.855</v>
      </c>
      <c r="J149" s="33" t="n">
        <f aca="false">$G149*Premissas!$D$42</f>
        <v>6158.856</v>
      </c>
      <c r="K149" s="33" t="n">
        <f aca="false">$G149*Premissas!$E$42</f>
        <v>3079.428</v>
      </c>
      <c r="L149" s="33" t="n">
        <f aca="false">$G149*Premissas!$F$42</f>
        <v>2309.571</v>
      </c>
    </row>
    <row r="150" customFormat="false" ht="15" hidden="false" customHeight="true" outlineLevel="0" collapsed="false">
      <c r="A150" s="32" t="n">
        <v>2025</v>
      </c>
      <c r="B150" s="32" t="n">
        <v>5</v>
      </c>
      <c r="C150" s="32" t="s">
        <v>152</v>
      </c>
      <c r="D150" s="32" t="s">
        <v>145</v>
      </c>
      <c r="E150" s="78" t="n">
        <f aca="false">SUMIFS(DRE_por_UN!$H:$H,DRE_por_UN!$C:$C,$C150,DRE_por_UN!$E:$E,$D150)</f>
        <v>79390.4</v>
      </c>
      <c r="F150" s="44" t="n">
        <f aca="false">IF($A150=2025,VLOOKUP($D150,Premissas!$A$52:$P$56,12,0),IF($A150=2026,VLOOKUP($D150,Premissas!$A$52:$P$56,13,0),VLOOKUP($D150,Premissas!$A$52:$P$56,14,0)))</f>
        <v>30</v>
      </c>
      <c r="G150" s="33" t="n">
        <f aca="false">E150*F150/30</f>
        <v>79390.4</v>
      </c>
      <c r="H150" s="33" t="n">
        <f aca="false">$G150*Premissas!$B$42</f>
        <v>55573.28</v>
      </c>
      <c r="I150" s="33" t="n">
        <f aca="false">$G150*Premissas!$C$42</f>
        <v>11908.56</v>
      </c>
      <c r="J150" s="33" t="n">
        <f aca="false">$G150*Premissas!$D$42</f>
        <v>6351.232</v>
      </c>
      <c r="K150" s="33" t="n">
        <f aca="false">$G150*Premissas!$E$42</f>
        <v>3175.616</v>
      </c>
      <c r="L150" s="33" t="n">
        <f aca="false">$G150*Premissas!$F$42</f>
        <v>2381.712</v>
      </c>
    </row>
    <row r="151" customFormat="false" ht="15" hidden="false" customHeight="true" outlineLevel="0" collapsed="false">
      <c r="A151" s="32" t="n">
        <v>2025</v>
      </c>
      <c r="B151" s="32" t="n">
        <v>6</v>
      </c>
      <c r="C151" s="32" t="s">
        <v>153</v>
      </c>
      <c r="D151" s="32" t="s">
        <v>145</v>
      </c>
      <c r="E151" s="78" t="n">
        <f aca="false">SUMIFS(DRE_por_UN!$H:$H,DRE_por_UN!$C:$C,$C151,DRE_por_UN!$E:$E,$D151)</f>
        <v>83369.56</v>
      </c>
      <c r="F151" s="44" t="n">
        <f aca="false">IF($A151=2025,VLOOKUP($D151,Premissas!$A$52:$P$56,12,0),IF($A151=2026,VLOOKUP($D151,Premissas!$A$52:$P$56,13,0),VLOOKUP($D151,Premissas!$A$52:$P$56,14,0)))</f>
        <v>30</v>
      </c>
      <c r="G151" s="33" t="n">
        <f aca="false">E151*F151/30</f>
        <v>83369.56</v>
      </c>
      <c r="H151" s="33" t="n">
        <f aca="false">$G151*Premissas!$B$42</f>
        <v>58358.692</v>
      </c>
      <c r="I151" s="33" t="n">
        <f aca="false">$G151*Premissas!$C$42</f>
        <v>12505.434</v>
      </c>
      <c r="J151" s="33" t="n">
        <f aca="false">$G151*Premissas!$D$42</f>
        <v>6669.5648</v>
      </c>
      <c r="K151" s="33" t="n">
        <f aca="false">$G151*Premissas!$E$42</f>
        <v>3334.7824</v>
      </c>
      <c r="L151" s="33" t="n">
        <f aca="false">$G151*Premissas!$F$42</f>
        <v>2501.0868</v>
      </c>
    </row>
    <row r="152" customFormat="false" ht="15" hidden="false" customHeight="true" outlineLevel="0" collapsed="false">
      <c r="A152" s="32" t="n">
        <v>2025</v>
      </c>
      <c r="B152" s="32" t="n">
        <v>7</v>
      </c>
      <c r="C152" s="32" t="s">
        <v>154</v>
      </c>
      <c r="D152" s="32" t="s">
        <v>145</v>
      </c>
      <c r="E152" s="78" t="n">
        <f aca="false">SUMIFS(DRE_por_UN!$H:$H,DRE_por_UN!$C:$C,$C152,DRE_por_UN!$E:$E,$D152)</f>
        <v>83566.9</v>
      </c>
      <c r="F152" s="44" t="n">
        <f aca="false">IF($A152=2025,VLOOKUP($D152,Premissas!$A$52:$P$56,12,0),IF($A152=2026,VLOOKUP($D152,Premissas!$A$52:$P$56,13,0),VLOOKUP($D152,Premissas!$A$52:$P$56,14,0)))</f>
        <v>30</v>
      </c>
      <c r="G152" s="33" t="n">
        <f aca="false">E152*F152/30</f>
        <v>83566.9</v>
      </c>
      <c r="H152" s="33" t="n">
        <f aca="false">$G152*Premissas!$B$42</f>
        <v>58496.83</v>
      </c>
      <c r="I152" s="33" t="n">
        <f aca="false">$G152*Premissas!$C$42</f>
        <v>12535.035</v>
      </c>
      <c r="J152" s="33" t="n">
        <f aca="false">$G152*Premissas!$D$42</f>
        <v>6685.352</v>
      </c>
      <c r="K152" s="33" t="n">
        <f aca="false">$G152*Premissas!$E$42</f>
        <v>3342.676</v>
      </c>
      <c r="L152" s="33" t="n">
        <f aca="false">$G152*Premissas!$F$42</f>
        <v>2507.007</v>
      </c>
    </row>
    <row r="153" customFormat="false" ht="15" hidden="false" customHeight="true" outlineLevel="0" collapsed="false">
      <c r="A153" s="32" t="n">
        <v>2025</v>
      </c>
      <c r="B153" s="32" t="n">
        <v>8</v>
      </c>
      <c r="C153" s="32" t="s">
        <v>155</v>
      </c>
      <c r="D153" s="32" t="s">
        <v>145</v>
      </c>
      <c r="E153" s="78" t="n">
        <f aca="false">SUMIFS(DRE_por_UN!$H:$H,DRE_por_UN!$C:$C,$C153,DRE_por_UN!$E:$E,$D153)</f>
        <v>80054.39</v>
      </c>
      <c r="F153" s="44" t="n">
        <f aca="false">IF($A153=2025,VLOOKUP($D153,Premissas!$A$52:$P$56,12,0),IF($A153=2026,VLOOKUP($D153,Premissas!$A$52:$P$56,13,0),VLOOKUP($D153,Premissas!$A$52:$P$56,14,0)))</f>
        <v>30</v>
      </c>
      <c r="G153" s="33" t="n">
        <f aca="false">E153*F153/30</f>
        <v>80054.39</v>
      </c>
      <c r="H153" s="33" t="n">
        <f aca="false">$G153*Premissas!$B$42</f>
        <v>56038.073</v>
      </c>
      <c r="I153" s="33" t="n">
        <f aca="false">$G153*Premissas!$C$42</f>
        <v>12008.1585</v>
      </c>
      <c r="J153" s="33" t="n">
        <f aca="false">$G153*Premissas!$D$42</f>
        <v>6404.3512</v>
      </c>
      <c r="K153" s="33" t="n">
        <f aca="false">$G153*Premissas!$E$42</f>
        <v>3202.1756</v>
      </c>
      <c r="L153" s="33" t="n">
        <f aca="false">$G153*Premissas!$F$42</f>
        <v>2401.6317</v>
      </c>
    </row>
    <row r="154" customFormat="false" ht="15" hidden="false" customHeight="true" outlineLevel="0" collapsed="false">
      <c r="A154" s="32" t="n">
        <v>2025</v>
      </c>
      <c r="B154" s="32" t="n">
        <v>9</v>
      </c>
      <c r="C154" s="32" t="s">
        <v>156</v>
      </c>
      <c r="D154" s="32" t="s">
        <v>145</v>
      </c>
      <c r="E154" s="78" t="n">
        <f aca="false">SUMIFS(DRE_por_UN!$H:$H,DRE_por_UN!$C:$C,$C154,DRE_por_UN!$E:$E,$D154)</f>
        <v>80821.24</v>
      </c>
      <c r="F154" s="44" t="n">
        <f aca="false">IF($A154=2025,VLOOKUP($D154,Premissas!$A$52:$P$56,12,0),IF($A154=2026,VLOOKUP($D154,Premissas!$A$52:$P$56,13,0),VLOOKUP($D154,Premissas!$A$52:$P$56,14,0)))</f>
        <v>30</v>
      </c>
      <c r="G154" s="33" t="n">
        <f aca="false">E154*F154/30</f>
        <v>80821.24</v>
      </c>
      <c r="H154" s="33" t="n">
        <f aca="false">$G154*Premissas!$B$42</f>
        <v>56574.868</v>
      </c>
      <c r="I154" s="33" t="n">
        <f aca="false">$G154*Premissas!$C$42</f>
        <v>12123.186</v>
      </c>
      <c r="J154" s="33" t="n">
        <f aca="false">$G154*Premissas!$D$42</f>
        <v>6465.6992</v>
      </c>
      <c r="K154" s="33" t="n">
        <f aca="false">$G154*Premissas!$E$42</f>
        <v>3232.8496</v>
      </c>
      <c r="L154" s="33" t="n">
        <f aca="false">$G154*Premissas!$F$42</f>
        <v>2424.6372</v>
      </c>
    </row>
    <row r="155" customFormat="false" ht="15" hidden="false" customHeight="true" outlineLevel="0" collapsed="false">
      <c r="A155" s="32" t="n">
        <v>2025</v>
      </c>
      <c r="B155" s="32" t="n">
        <v>10</v>
      </c>
      <c r="C155" s="32" t="s">
        <v>157</v>
      </c>
      <c r="D155" s="32" t="s">
        <v>145</v>
      </c>
      <c r="E155" s="78" t="n">
        <f aca="false">SUMIFS(DRE_por_UN!$H:$H,DRE_por_UN!$C:$C,$C155,DRE_por_UN!$E:$E,$D155)</f>
        <v>81438.96</v>
      </c>
      <c r="F155" s="44" t="n">
        <f aca="false">IF($A155=2025,VLOOKUP($D155,Premissas!$A$52:$P$56,12,0),IF($A155=2026,VLOOKUP($D155,Premissas!$A$52:$P$56,13,0),VLOOKUP($D155,Premissas!$A$52:$P$56,14,0)))</f>
        <v>30</v>
      </c>
      <c r="G155" s="33" t="n">
        <f aca="false">E155*F155/30</f>
        <v>81438.96</v>
      </c>
      <c r="H155" s="33" t="n">
        <f aca="false">$G155*Premissas!$B$42</f>
        <v>57007.272</v>
      </c>
      <c r="I155" s="33" t="n">
        <f aca="false">$G155*Premissas!$C$42</f>
        <v>12215.844</v>
      </c>
      <c r="J155" s="33" t="n">
        <f aca="false">$G155*Premissas!$D$42</f>
        <v>6515.1168</v>
      </c>
      <c r="K155" s="33" t="n">
        <f aca="false">$G155*Premissas!$E$42</f>
        <v>3257.5584</v>
      </c>
      <c r="L155" s="33" t="n">
        <f aca="false">$G155*Premissas!$F$42</f>
        <v>2443.1688</v>
      </c>
    </row>
    <row r="156" customFormat="false" ht="15" hidden="false" customHeight="true" outlineLevel="0" collapsed="false">
      <c r="A156" s="32" t="n">
        <v>2025</v>
      </c>
      <c r="B156" s="32" t="n">
        <v>11</v>
      </c>
      <c r="C156" s="32" t="s">
        <v>158</v>
      </c>
      <c r="D156" s="32" t="s">
        <v>145</v>
      </c>
      <c r="E156" s="78" t="n">
        <f aca="false">SUMIFS(DRE_por_UN!$H:$H,DRE_por_UN!$C:$C,$C156,DRE_por_UN!$E:$E,$D156)</f>
        <v>101154.21</v>
      </c>
      <c r="F156" s="44" t="n">
        <f aca="false">IF($A156=2025,VLOOKUP($D156,Premissas!$A$52:$P$56,12,0),IF($A156=2026,VLOOKUP($D156,Premissas!$A$52:$P$56,13,0),VLOOKUP($D156,Premissas!$A$52:$P$56,14,0)))</f>
        <v>30</v>
      </c>
      <c r="G156" s="33" t="n">
        <f aca="false">E156*F156/30</f>
        <v>101154.21</v>
      </c>
      <c r="H156" s="33" t="n">
        <f aca="false">$G156*Premissas!$B$42</f>
        <v>70807.947</v>
      </c>
      <c r="I156" s="33" t="n">
        <f aca="false">$G156*Premissas!$C$42</f>
        <v>15173.1315</v>
      </c>
      <c r="J156" s="33" t="n">
        <f aca="false">$G156*Premissas!$D$42</f>
        <v>8092.3368</v>
      </c>
      <c r="K156" s="33" t="n">
        <f aca="false">$G156*Premissas!$E$42</f>
        <v>4046.1684</v>
      </c>
      <c r="L156" s="33" t="n">
        <f aca="false">$G156*Premissas!$F$42</f>
        <v>3034.6263</v>
      </c>
    </row>
    <row r="157" customFormat="false" ht="15" hidden="false" customHeight="true" outlineLevel="0" collapsed="false">
      <c r="A157" s="32" t="n">
        <v>2025</v>
      </c>
      <c r="B157" s="32" t="n">
        <v>12</v>
      </c>
      <c r="C157" s="32" t="s">
        <v>159</v>
      </c>
      <c r="D157" s="32" t="s">
        <v>145</v>
      </c>
      <c r="E157" s="78" t="n">
        <f aca="false">SUMIFS(DRE_por_UN!$H:$H,DRE_por_UN!$C:$C,$C157,DRE_por_UN!$E:$E,$D157)</f>
        <v>104310.92</v>
      </c>
      <c r="F157" s="44" t="n">
        <f aca="false">IF($A157=2025,VLOOKUP($D157,Premissas!$A$52:$P$56,12,0),IF($A157=2026,VLOOKUP($D157,Premissas!$A$52:$P$56,13,0),VLOOKUP($D157,Premissas!$A$52:$P$56,14,0)))</f>
        <v>30</v>
      </c>
      <c r="G157" s="33" t="n">
        <f aca="false">E157*F157/30</f>
        <v>104310.92</v>
      </c>
      <c r="H157" s="33" t="n">
        <f aca="false">$G157*Premissas!$B$42</f>
        <v>73017.644</v>
      </c>
      <c r="I157" s="33" t="n">
        <f aca="false">$G157*Premissas!$C$42</f>
        <v>15646.638</v>
      </c>
      <c r="J157" s="33" t="n">
        <f aca="false">$G157*Premissas!$D$42</f>
        <v>8344.8736</v>
      </c>
      <c r="K157" s="33" t="n">
        <f aca="false">$G157*Premissas!$E$42</f>
        <v>4172.4368</v>
      </c>
      <c r="L157" s="33" t="n">
        <f aca="false">$G157*Premissas!$F$42</f>
        <v>3129.3276</v>
      </c>
    </row>
    <row r="158" customFormat="false" ht="15" hidden="false" customHeight="true" outlineLevel="0" collapsed="false">
      <c r="A158" s="32" t="n">
        <v>2026</v>
      </c>
      <c r="B158" s="32" t="n">
        <v>1</v>
      </c>
      <c r="C158" s="32" t="s">
        <v>160</v>
      </c>
      <c r="D158" s="32" t="s">
        <v>145</v>
      </c>
      <c r="E158" s="78" t="n">
        <f aca="false">SUMIFS(DRE_por_UN!$H:$H,DRE_por_UN!$C:$C,$C158,DRE_por_UN!$E:$E,$D158)</f>
        <v>74215.81</v>
      </c>
      <c r="F158" s="44" t="n">
        <f aca="false">IF($A158=2025,VLOOKUP($D158,Premissas!$A$52:$P$56,12,0),IF($A158=2026,VLOOKUP($D158,Premissas!$A$52:$P$56,13,0),VLOOKUP($D158,Premissas!$A$52:$P$56,14,0)))</f>
        <v>32</v>
      </c>
      <c r="G158" s="33" t="n">
        <f aca="false">E158*F158/30</f>
        <v>79163.5306666667</v>
      </c>
      <c r="H158" s="33" t="n">
        <f aca="false">$G158*Premissas!$B$42</f>
        <v>55414.4714666667</v>
      </c>
      <c r="I158" s="33" t="n">
        <f aca="false">$G158*Premissas!$C$42</f>
        <v>11874.5296</v>
      </c>
      <c r="J158" s="33" t="n">
        <f aca="false">$G158*Premissas!$D$42</f>
        <v>6333.08245333333</v>
      </c>
      <c r="K158" s="33" t="n">
        <f aca="false">$G158*Premissas!$E$42</f>
        <v>3166.54122666667</v>
      </c>
      <c r="L158" s="33" t="n">
        <f aca="false">$G158*Premissas!$F$42</f>
        <v>2374.90592</v>
      </c>
    </row>
    <row r="159" customFormat="false" ht="15" hidden="false" customHeight="true" outlineLevel="0" collapsed="false">
      <c r="A159" s="32" t="n">
        <v>2026</v>
      </c>
      <c r="B159" s="32" t="n">
        <v>2</v>
      </c>
      <c r="C159" s="32" t="s">
        <v>161</v>
      </c>
      <c r="D159" s="32" t="s">
        <v>145</v>
      </c>
      <c r="E159" s="78" t="n">
        <f aca="false">SUMIFS(DRE_por_UN!$H:$H,DRE_por_UN!$C:$C,$C159,DRE_por_UN!$E:$E,$D159)</f>
        <v>70132.44</v>
      </c>
      <c r="F159" s="44" t="n">
        <f aca="false">IF($A159=2025,VLOOKUP($D159,Premissas!$A$52:$P$56,12,0),IF($A159=2026,VLOOKUP($D159,Premissas!$A$52:$P$56,13,0),VLOOKUP($D159,Premissas!$A$52:$P$56,14,0)))</f>
        <v>32</v>
      </c>
      <c r="G159" s="33" t="n">
        <f aca="false">E159*F159/30</f>
        <v>74807.936</v>
      </c>
      <c r="H159" s="33" t="n">
        <f aca="false">$G159*Premissas!$B$42</f>
        <v>52365.5552</v>
      </c>
      <c r="I159" s="33" t="n">
        <f aca="false">$G159*Premissas!$C$42</f>
        <v>11221.1904</v>
      </c>
      <c r="J159" s="33" t="n">
        <f aca="false">$G159*Premissas!$D$42</f>
        <v>5984.63488</v>
      </c>
      <c r="K159" s="33" t="n">
        <f aca="false">$G159*Premissas!$E$42</f>
        <v>2992.31744</v>
      </c>
      <c r="L159" s="33" t="n">
        <f aca="false">$G159*Premissas!$F$42</f>
        <v>2244.23808</v>
      </c>
    </row>
    <row r="160" customFormat="false" ht="15" hidden="false" customHeight="true" outlineLevel="0" collapsed="false">
      <c r="A160" s="32" t="n">
        <v>2026</v>
      </c>
      <c r="B160" s="32" t="n">
        <v>3</v>
      </c>
      <c r="C160" s="32" t="s">
        <v>162</v>
      </c>
      <c r="D160" s="32" t="s">
        <v>145</v>
      </c>
      <c r="E160" s="78" t="n">
        <f aca="false">SUMIFS(DRE_por_UN!$H:$H,DRE_por_UN!$C:$C,$C160,DRE_por_UN!$E:$E,$D160)</f>
        <v>81639.08</v>
      </c>
      <c r="F160" s="44" t="n">
        <f aca="false">IF($A160=2025,VLOOKUP($D160,Premissas!$A$52:$P$56,12,0),IF($A160=2026,VLOOKUP($D160,Premissas!$A$52:$P$56,13,0),VLOOKUP($D160,Premissas!$A$52:$P$56,14,0)))</f>
        <v>32</v>
      </c>
      <c r="G160" s="33" t="n">
        <f aca="false">E160*F160/30</f>
        <v>87081.6853333333</v>
      </c>
      <c r="H160" s="33" t="n">
        <f aca="false">$G160*Premissas!$B$42</f>
        <v>60957.1797333333</v>
      </c>
      <c r="I160" s="33" t="n">
        <f aca="false">$G160*Premissas!$C$42</f>
        <v>13062.2528</v>
      </c>
      <c r="J160" s="33" t="n">
        <f aca="false">$G160*Premissas!$D$42</f>
        <v>6966.53482666667</v>
      </c>
      <c r="K160" s="33" t="n">
        <f aca="false">$G160*Premissas!$E$42</f>
        <v>3483.26741333333</v>
      </c>
      <c r="L160" s="33" t="n">
        <f aca="false">$G160*Premissas!$F$42</f>
        <v>2612.45056</v>
      </c>
    </row>
    <row r="161" customFormat="false" ht="15" hidden="false" customHeight="true" outlineLevel="0" collapsed="false">
      <c r="A161" s="32" t="n">
        <v>2026</v>
      </c>
      <c r="B161" s="32" t="n">
        <v>4</v>
      </c>
      <c r="C161" s="32" t="s">
        <v>163</v>
      </c>
      <c r="D161" s="32" t="s">
        <v>145</v>
      </c>
      <c r="E161" s="78" t="n">
        <f aca="false">SUMIFS(DRE_por_UN!$H:$H,DRE_por_UN!$C:$C,$C161,DRE_por_UN!$E:$E,$D161)</f>
        <v>78207.91</v>
      </c>
      <c r="F161" s="44" t="n">
        <f aca="false">IF($A161=2025,VLOOKUP($D161,Premissas!$A$52:$P$56,12,0),IF($A161=2026,VLOOKUP($D161,Premissas!$A$52:$P$56,13,0),VLOOKUP($D161,Premissas!$A$52:$P$56,14,0)))</f>
        <v>32</v>
      </c>
      <c r="G161" s="33" t="n">
        <f aca="false">E161*F161/30</f>
        <v>83421.7706666667</v>
      </c>
      <c r="H161" s="33" t="n">
        <f aca="false">$G161*Premissas!$B$42</f>
        <v>58395.2394666667</v>
      </c>
      <c r="I161" s="33" t="n">
        <f aca="false">$G161*Premissas!$C$42</f>
        <v>12513.2656</v>
      </c>
      <c r="J161" s="33" t="n">
        <f aca="false">$G161*Premissas!$D$42</f>
        <v>6673.74165333333</v>
      </c>
      <c r="K161" s="33" t="n">
        <f aca="false">$G161*Premissas!$E$42</f>
        <v>3336.87082666667</v>
      </c>
      <c r="L161" s="33" t="n">
        <f aca="false">$G161*Premissas!$F$42</f>
        <v>2502.65312</v>
      </c>
    </row>
    <row r="162" customFormat="false" ht="15" hidden="false" customHeight="true" outlineLevel="0" collapsed="false">
      <c r="A162" s="32" t="n">
        <v>2026</v>
      </c>
      <c r="B162" s="32" t="n">
        <v>5</v>
      </c>
      <c r="C162" s="32" t="s">
        <v>164</v>
      </c>
      <c r="D162" s="32" t="s">
        <v>145</v>
      </c>
      <c r="E162" s="78" t="n">
        <f aca="false">SUMIFS(DRE_por_UN!$H:$H,DRE_por_UN!$C:$C,$C162,DRE_por_UN!$E:$E,$D162)</f>
        <v>86502.85</v>
      </c>
      <c r="F162" s="44" t="n">
        <f aca="false">IF($A162=2025,VLOOKUP($D162,Premissas!$A$52:$P$56,12,0),IF($A162=2026,VLOOKUP($D162,Premissas!$A$52:$P$56,13,0),VLOOKUP($D162,Premissas!$A$52:$P$56,14,0)))</f>
        <v>32</v>
      </c>
      <c r="G162" s="33" t="n">
        <f aca="false">E162*F162/30</f>
        <v>92269.7066666667</v>
      </c>
      <c r="H162" s="33" t="n">
        <f aca="false">$G162*Premissas!$B$42</f>
        <v>64588.7946666667</v>
      </c>
      <c r="I162" s="33" t="n">
        <f aca="false">$G162*Premissas!$C$42</f>
        <v>13840.456</v>
      </c>
      <c r="J162" s="33" t="n">
        <f aca="false">$G162*Premissas!$D$42</f>
        <v>7381.57653333333</v>
      </c>
      <c r="K162" s="33" t="n">
        <f aca="false">$G162*Premissas!$E$42</f>
        <v>3690.78826666667</v>
      </c>
      <c r="L162" s="33" t="n">
        <f aca="false">$G162*Premissas!$F$42</f>
        <v>2768.0912</v>
      </c>
    </row>
    <row r="163" customFormat="false" ht="15" hidden="false" customHeight="true" outlineLevel="0" collapsed="false">
      <c r="A163" s="32" t="n">
        <v>2026</v>
      </c>
      <c r="B163" s="32" t="n">
        <v>6</v>
      </c>
      <c r="C163" s="32" t="s">
        <v>165</v>
      </c>
      <c r="D163" s="32" t="s">
        <v>145</v>
      </c>
      <c r="E163" s="78" t="n">
        <f aca="false">SUMIFS(DRE_por_UN!$H:$H,DRE_por_UN!$C:$C,$C163,DRE_por_UN!$E:$E,$D163)</f>
        <v>87226.39</v>
      </c>
      <c r="F163" s="44" t="n">
        <f aca="false">IF($A163=2025,VLOOKUP($D163,Premissas!$A$52:$P$56,12,0),IF($A163=2026,VLOOKUP($D163,Premissas!$A$52:$P$56,13,0),VLOOKUP($D163,Premissas!$A$52:$P$56,14,0)))</f>
        <v>32</v>
      </c>
      <c r="G163" s="33" t="n">
        <f aca="false">E163*F163/30</f>
        <v>93041.4826666667</v>
      </c>
      <c r="H163" s="33" t="n">
        <f aca="false">$G163*Premissas!$B$42</f>
        <v>65129.0378666667</v>
      </c>
      <c r="I163" s="33" t="n">
        <f aca="false">$G163*Premissas!$C$42</f>
        <v>13956.2224</v>
      </c>
      <c r="J163" s="33" t="n">
        <f aca="false">$G163*Premissas!$D$42</f>
        <v>7443.31861333333</v>
      </c>
      <c r="K163" s="33" t="n">
        <f aca="false">$G163*Premissas!$E$42</f>
        <v>3721.65930666667</v>
      </c>
      <c r="L163" s="33" t="n">
        <f aca="false">$G163*Premissas!$F$42</f>
        <v>2791.24448</v>
      </c>
    </row>
    <row r="164" customFormat="false" ht="15" hidden="false" customHeight="true" outlineLevel="0" collapsed="false">
      <c r="A164" s="32" t="n">
        <v>2026</v>
      </c>
      <c r="B164" s="32" t="n">
        <v>7</v>
      </c>
      <c r="C164" s="32" t="s">
        <v>166</v>
      </c>
      <c r="D164" s="32" t="s">
        <v>145</v>
      </c>
      <c r="E164" s="78" t="n">
        <f aca="false">SUMIFS(DRE_por_UN!$H:$H,DRE_por_UN!$C:$C,$C164,DRE_por_UN!$E:$E,$D164)</f>
        <v>90701.76</v>
      </c>
      <c r="F164" s="44" t="n">
        <f aca="false">IF($A164=2025,VLOOKUP($D164,Premissas!$A$52:$P$56,12,0),IF($A164=2026,VLOOKUP($D164,Premissas!$A$52:$P$56,13,0),VLOOKUP($D164,Premissas!$A$52:$P$56,14,0)))</f>
        <v>32</v>
      </c>
      <c r="G164" s="33" t="n">
        <f aca="false">E164*F164/30</f>
        <v>96748.544</v>
      </c>
      <c r="H164" s="33" t="n">
        <f aca="false">$G164*Premissas!$B$42</f>
        <v>67723.9808</v>
      </c>
      <c r="I164" s="33" t="n">
        <f aca="false">$G164*Premissas!$C$42</f>
        <v>14512.2816</v>
      </c>
      <c r="J164" s="33" t="n">
        <f aca="false">$G164*Premissas!$D$42</f>
        <v>7739.88352</v>
      </c>
      <c r="K164" s="33" t="n">
        <f aca="false">$G164*Premissas!$E$42</f>
        <v>3869.94176</v>
      </c>
      <c r="L164" s="33" t="n">
        <f aca="false">$G164*Premissas!$F$42</f>
        <v>2902.45632</v>
      </c>
    </row>
    <row r="165" customFormat="false" ht="15" hidden="false" customHeight="true" outlineLevel="0" collapsed="false">
      <c r="A165" s="32" t="n">
        <v>2026</v>
      </c>
      <c r="B165" s="32" t="n">
        <v>8</v>
      </c>
      <c r="C165" s="32" t="s">
        <v>167</v>
      </c>
      <c r="D165" s="32" t="s">
        <v>145</v>
      </c>
      <c r="E165" s="78" t="n">
        <f aca="false">SUMIFS(DRE_por_UN!$H:$H,DRE_por_UN!$C:$C,$C165,DRE_por_UN!$E:$E,$D165)</f>
        <v>84548.74</v>
      </c>
      <c r="F165" s="44" t="n">
        <f aca="false">IF($A165=2025,VLOOKUP($D165,Premissas!$A$52:$P$56,12,0),IF($A165=2026,VLOOKUP($D165,Premissas!$A$52:$P$56,13,0),VLOOKUP($D165,Premissas!$A$52:$P$56,14,0)))</f>
        <v>32</v>
      </c>
      <c r="G165" s="33" t="n">
        <f aca="false">E165*F165/30</f>
        <v>90185.3226666667</v>
      </c>
      <c r="H165" s="33" t="n">
        <f aca="false">$G165*Premissas!$B$42</f>
        <v>63129.7258666667</v>
      </c>
      <c r="I165" s="33" t="n">
        <f aca="false">$G165*Premissas!$C$42</f>
        <v>13527.7984</v>
      </c>
      <c r="J165" s="33" t="n">
        <f aca="false">$G165*Premissas!$D$42</f>
        <v>7214.82581333333</v>
      </c>
      <c r="K165" s="33" t="n">
        <f aca="false">$G165*Premissas!$E$42</f>
        <v>3607.41290666667</v>
      </c>
      <c r="L165" s="33" t="n">
        <f aca="false">$G165*Premissas!$F$42</f>
        <v>2705.55968</v>
      </c>
    </row>
    <row r="166" customFormat="false" ht="15" hidden="false" customHeight="true" outlineLevel="0" collapsed="false">
      <c r="A166" s="32" t="n">
        <v>2026</v>
      </c>
      <c r="B166" s="32" t="n">
        <v>9</v>
      </c>
      <c r="C166" s="32" t="s">
        <v>168</v>
      </c>
      <c r="D166" s="32" t="s">
        <v>145</v>
      </c>
      <c r="E166" s="78" t="n">
        <f aca="false">SUMIFS(DRE_por_UN!$H:$H,DRE_por_UN!$C:$C,$C166,DRE_por_UN!$E:$E,$D166)</f>
        <v>80175.47</v>
      </c>
      <c r="F166" s="44" t="n">
        <f aca="false">IF($A166=2025,VLOOKUP($D166,Premissas!$A$52:$P$56,12,0),IF($A166=2026,VLOOKUP($D166,Premissas!$A$52:$P$56,13,0),VLOOKUP($D166,Premissas!$A$52:$P$56,14,0)))</f>
        <v>32</v>
      </c>
      <c r="G166" s="33" t="n">
        <f aca="false">E166*F166/30</f>
        <v>85520.5013333333</v>
      </c>
      <c r="H166" s="33" t="n">
        <f aca="false">$G166*Premissas!$B$42</f>
        <v>59864.3509333333</v>
      </c>
      <c r="I166" s="33" t="n">
        <f aca="false">$G166*Premissas!$C$42</f>
        <v>12828.0752</v>
      </c>
      <c r="J166" s="33" t="n">
        <f aca="false">$G166*Premissas!$D$42</f>
        <v>6841.64010666667</v>
      </c>
      <c r="K166" s="33" t="n">
        <f aca="false">$G166*Premissas!$E$42</f>
        <v>3420.82005333333</v>
      </c>
      <c r="L166" s="33" t="n">
        <f aca="false">$G166*Premissas!$F$42</f>
        <v>2565.61504</v>
      </c>
    </row>
    <row r="167" customFormat="false" ht="15" hidden="false" customHeight="true" outlineLevel="0" collapsed="false">
      <c r="A167" s="32" t="n">
        <v>2026</v>
      </c>
      <c r="B167" s="32" t="n">
        <v>10</v>
      </c>
      <c r="C167" s="32" t="s">
        <v>169</v>
      </c>
      <c r="D167" s="32" t="s">
        <v>145</v>
      </c>
      <c r="E167" s="78" t="n">
        <f aca="false">SUMIFS(DRE_por_UN!$H:$H,DRE_por_UN!$C:$C,$C167,DRE_por_UN!$E:$E,$D167)</f>
        <v>84520.08</v>
      </c>
      <c r="F167" s="44" t="n">
        <f aca="false">IF($A167=2025,VLOOKUP($D167,Premissas!$A$52:$P$56,12,0),IF($A167=2026,VLOOKUP($D167,Premissas!$A$52:$P$56,13,0),VLOOKUP($D167,Premissas!$A$52:$P$56,14,0)))</f>
        <v>32</v>
      </c>
      <c r="G167" s="33" t="n">
        <f aca="false">E167*F167/30</f>
        <v>90154.752</v>
      </c>
      <c r="H167" s="33" t="n">
        <f aca="false">$G167*Premissas!$B$42</f>
        <v>63108.3264</v>
      </c>
      <c r="I167" s="33" t="n">
        <f aca="false">$G167*Premissas!$C$42</f>
        <v>13523.2128</v>
      </c>
      <c r="J167" s="33" t="n">
        <f aca="false">$G167*Premissas!$D$42</f>
        <v>7212.38016</v>
      </c>
      <c r="K167" s="33" t="n">
        <f aca="false">$G167*Premissas!$E$42</f>
        <v>3606.19008</v>
      </c>
      <c r="L167" s="33" t="n">
        <f aca="false">$G167*Premissas!$F$42</f>
        <v>2704.64256</v>
      </c>
    </row>
    <row r="168" customFormat="false" ht="15" hidden="false" customHeight="true" outlineLevel="0" collapsed="false">
      <c r="A168" s="32" t="n">
        <v>2026</v>
      </c>
      <c r="B168" s="32" t="n">
        <v>11</v>
      </c>
      <c r="C168" s="32" t="s">
        <v>170</v>
      </c>
      <c r="D168" s="32" t="s">
        <v>145</v>
      </c>
      <c r="E168" s="78" t="n">
        <f aca="false">SUMIFS(DRE_por_UN!$H:$H,DRE_por_UN!$C:$C,$C168,DRE_por_UN!$E:$E,$D168)</f>
        <v>103255.67</v>
      </c>
      <c r="F168" s="44" t="n">
        <f aca="false">IF($A168=2025,VLOOKUP($D168,Premissas!$A$52:$P$56,12,0),IF($A168=2026,VLOOKUP($D168,Premissas!$A$52:$P$56,13,0),VLOOKUP($D168,Premissas!$A$52:$P$56,14,0)))</f>
        <v>32</v>
      </c>
      <c r="G168" s="33" t="n">
        <f aca="false">E168*F168/30</f>
        <v>110139.381333333</v>
      </c>
      <c r="H168" s="33" t="n">
        <f aca="false">$G168*Premissas!$B$42</f>
        <v>77097.5669333333</v>
      </c>
      <c r="I168" s="33" t="n">
        <f aca="false">$G168*Premissas!$C$42</f>
        <v>16520.9072</v>
      </c>
      <c r="J168" s="33" t="n">
        <f aca="false">$G168*Premissas!$D$42</f>
        <v>8811.15050666667</v>
      </c>
      <c r="K168" s="33" t="n">
        <f aca="false">$G168*Premissas!$E$42</f>
        <v>4405.57525333333</v>
      </c>
      <c r="L168" s="33" t="n">
        <f aca="false">$G168*Premissas!$F$42</f>
        <v>3304.18144</v>
      </c>
    </row>
    <row r="169" customFormat="false" ht="15" hidden="false" customHeight="true" outlineLevel="0" collapsed="false">
      <c r="A169" s="32" t="n">
        <v>2026</v>
      </c>
      <c r="B169" s="32" t="n">
        <v>12</v>
      </c>
      <c r="C169" s="32" t="s">
        <v>171</v>
      </c>
      <c r="D169" s="32" t="s">
        <v>145</v>
      </c>
      <c r="E169" s="78" t="n">
        <f aca="false">SUMIFS(DRE_por_UN!$H:$H,DRE_por_UN!$C:$C,$C169,DRE_por_UN!$E:$E,$D169)</f>
        <v>109638.61</v>
      </c>
      <c r="F169" s="44" t="n">
        <f aca="false">IF($A169=2025,VLOOKUP($D169,Premissas!$A$52:$P$56,12,0),IF($A169=2026,VLOOKUP($D169,Premissas!$A$52:$P$56,13,0),VLOOKUP($D169,Premissas!$A$52:$P$56,14,0)))</f>
        <v>32</v>
      </c>
      <c r="G169" s="33" t="n">
        <f aca="false">E169*F169/30</f>
        <v>116947.850666667</v>
      </c>
      <c r="H169" s="33" t="n">
        <f aca="false">$G169*Premissas!$B$42</f>
        <v>81863.4954666667</v>
      </c>
      <c r="I169" s="33" t="n">
        <f aca="false">$G169*Premissas!$C$42</f>
        <v>17542.1776</v>
      </c>
      <c r="J169" s="33" t="n">
        <f aca="false">$G169*Premissas!$D$42</f>
        <v>9355.82805333333</v>
      </c>
      <c r="K169" s="33" t="n">
        <f aca="false">$G169*Premissas!$E$42</f>
        <v>4677.91402666667</v>
      </c>
      <c r="L169" s="33" t="n">
        <f aca="false">$G169*Premissas!$F$42</f>
        <v>3508.43552</v>
      </c>
    </row>
    <row r="170" customFormat="false" ht="15" hidden="false" customHeight="true" outlineLevel="0" collapsed="false">
      <c r="A170" s="32" t="n">
        <v>2027</v>
      </c>
      <c r="B170" s="32" t="n">
        <v>1</v>
      </c>
      <c r="C170" s="32" t="s">
        <v>172</v>
      </c>
      <c r="D170" s="32" t="s">
        <v>145</v>
      </c>
      <c r="E170" s="78" t="n">
        <f aca="false">SUMIFS(DRE_por_UN!$H:$H,DRE_por_UN!$C:$C,$C170,DRE_por_UN!$E:$E,$D170)</f>
        <v>79383.68401872</v>
      </c>
      <c r="F170" s="44" t="n">
        <f aca="false">IF($A170=2025,VLOOKUP($D170,Premissas!$A$52:$P$56,12,0),IF($A170=2026,VLOOKUP($D170,Premissas!$A$52:$P$56,13,0),VLOOKUP($D170,Premissas!$A$52:$P$56,14,0)))</f>
        <v>35</v>
      </c>
      <c r="G170" s="33" t="n">
        <f aca="false">E170*F170/30</f>
        <v>92614.29802184</v>
      </c>
      <c r="H170" s="33" t="n">
        <f aca="false">$G170*Premissas!$B$42</f>
        <v>64830.008615288</v>
      </c>
      <c r="I170" s="33" t="n">
        <f aca="false">$G170*Premissas!$C$42</f>
        <v>13892.144703276</v>
      </c>
      <c r="J170" s="33" t="n">
        <f aca="false">$G170*Premissas!$D$42</f>
        <v>7409.1438417472</v>
      </c>
      <c r="K170" s="33" t="n">
        <f aca="false">$G170*Premissas!$E$42</f>
        <v>3704.5719208736</v>
      </c>
      <c r="L170" s="33" t="n">
        <f aca="false">$G170*Premissas!$F$42</f>
        <v>2778.4289406552</v>
      </c>
    </row>
    <row r="171" customFormat="false" ht="15" hidden="false" customHeight="true" outlineLevel="0" collapsed="false">
      <c r="A171" s="32" t="n">
        <v>2027</v>
      </c>
      <c r="B171" s="32" t="n">
        <v>2</v>
      </c>
      <c r="C171" s="32" t="s">
        <v>173</v>
      </c>
      <c r="D171" s="32" t="s">
        <v>145</v>
      </c>
      <c r="E171" s="78" t="n">
        <f aca="false">SUMIFS(DRE_por_UN!$H:$H,DRE_por_UN!$C:$C,$C171,DRE_por_UN!$E:$E,$D171)</f>
        <v>75092.50445328</v>
      </c>
      <c r="F171" s="44" t="n">
        <f aca="false">IF($A171=2025,VLOOKUP($D171,Premissas!$A$52:$P$56,12,0),IF($A171=2026,VLOOKUP($D171,Premissas!$A$52:$P$56,13,0),VLOOKUP($D171,Premissas!$A$52:$P$56,14,0)))</f>
        <v>35</v>
      </c>
      <c r="G171" s="33" t="n">
        <f aca="false">E171*F171/30</f>
        <v>87607.92186216</v>
      </c>
      <c r="H171" s="33" t="n">
        <f aca="false">$G171*Premissas!$B$42</f>
        <v>61325.545303512</v>
      </c>
      <c r="I171" s="33" t="n">
        <f aca="false">$G171*Premissas!$C$42</f>
        <v>13141.188279324</v>
      </c>
      <c r="J171" s="33" t="n">
        <f aca="false">$G171*Premissas!$D$42</f>
        <v>7008.6337489728</v>
      </c>
      <c r="K171" s="33" t="n">
        <f aca="false">$G171*Premissas!$E$42</f>
        <v>3504.3168744864</v>
      </c>
      <c r="L171" s="33" t="n">
        <f aca="false">$G171*Premissas!$F$42</f>
        <v>2628.2376558648</v>
      </c>
    </row>
    <row r="172" customFormat="false" ht="15" hidden="false" customHeight="true" outlineLevel="0" collapsed="false">
      <c r="A172" s="32" t="n">
        <v>2027</v>
      </c>
      <c r="B172" s="32" t="n">
        <v>3</v>
      </c>
      <c r="C172" s="32" t="s">
        <v>174</v>
      </c>
      <c r="D172" s="32" t="s">
        <v>145</v>
      </c>
      <c r="E172" s="78" t="n">
        <f aca="false">SUMIFS(DRE_por_UN!$H:$H,DRE_por_UN!$C:$C,$C172,DRE_por_UN!$E:$E,$D172)</f>
        <v>87339.72313932</v>
      </c>
      <c r="F172" s="44" t="n">
        <f aca="false">IF($A172=2025,VLOOKUP($D172,Premissas!$A$52:$P$56,12,0),IF($A172=2026,VLOOKUP($D172,Premissas!$A$52:$P$56,13,0),VLOOKUP($D172,Premissas!$A$52:$P$56,14,0)))</f>
        <v>35</v>
      </c>
      <c r="G172" s="33" t="n">
        <f aca="false">E172*F172/30</f>
        <v>101896.34366254</v>
      </c>
      <c r="H172" s="33" t="n">
        <f aca="false">$G172*Premissas!$B$42</f>
        <v>71327.440563778</v>
      </c>
      <c r="I172" s="33" t="n">
        <f aca="false">$G172*Premissas!$C$42</f>
        <v>15284.451549381</v>
      </c>
      <c r="J172" s="33" t="n">
        <f aca="false">$G172*Premissas!$D$42</f>
        <v>8151.7074930032</v>
      </c>
      <c r="K172" s="33" t="n">
        <f aca="false">$G172*Premissas!$E$42</f>
        <v>4075.8537465016</v>
      </c>
      <c r="L172" s="33" t="n">
        <f aca="false">$G172*Premissas!$F$42</f>
        <v>3056.8903098762</v>
      </c>
    </row>
    <row r="173" customFormat="false" ht="15" hidden="false" customHeight="true" outlineLevel="0" collapsed="false">
      <c r="A173" s="32" t="n">
        <v>2027</v>
      </c>
      <c r="B173" s="32" t="n">
        <v>4</v>
      </c>
      <c r="C173" s="32" t="s">
        <v>175</v>
      </c>
      <c r="D173" s="32" t="s">
        <v>145</v>
      </c>
      <c r="E173" s="78" t="n">
        <f aca="false">SUMIFS(DRE_por_UN!$H:$H,DRE_por_UN!$C:$C,$C173,DRE_por_UN!$E:$E,$D173)</f>
        <v>83946.5814942</v>
      </c>
      <c r="F173" s="44" t="n">
        <f aca="false">IF($A173=2025,VLOOKUP($D173,Premissas!$A$52:$P$56,12,0),IF($A173=2026,VLOOKUP($D173,Premissas!$A$52:$P$56,13,0),VLOOKUP($D173,Premissas!$A$52:$P$56,14,0)))</f>
        <v>35</v>
      </c>
      <c r="G173" s="33" t="n">
        <f aca="false">E173*F173/30</f>
        <v>97937.6784099</v>
      </c>
      <c r="H173" s="33" t="n">
        <f aca="false">$G173*Premissas!$B$42</f>
        <v>68556.37488693</v>
      </c>
      <c r="I173" s="33" t="n">
        <f aca="false">$G173*Premissas!$C$42</f>
        <v>14690.651761485</v>
      </c>
      <c r="J173" s="33" t="n">
        <f aca="false">$G173*Premissas!$D$42</f>
        <v>7835.014272792</v>
      </c>
      <c r="K173" s="33" t="n">
        <f aca="false">$G173*Premissas!$E$42</f>
        <v>3917.507136396</v>
      </c>
      <c r="L173" s="33" t="n">
        <f aca="false">$G173*Premissas!$F$42</f>
        <v>2938.130352297</v>
      </c>
    </row>
    <row r="174" customFormat="false" ht="15" hidden="false" customHeight="true" outlineLevel="0" collapsed="false">
      <c r="A174" s="32" t="n">
        <v>2027</v>
      </c>
      <c r="B174" s="32" t="n">
        <v>5</v>
      </c>
      <c r="C174" s="32" t="s">
        <v>176</v>
      </c>
      <c r="D174" s="32" t="s">
        <v>145</v>
      </c>
      <c r="E174" s="78" t="n">
        <f aca="false">SUMIFS(DRE_por_UN!$H:$H,DRE_por_UN!$C:$C,$C174,DRE_por_UN!$E:$E,$D174)</f>
        <v>92371.83091152</v>
      </c>
      <c r="F174" s="44" t="n">
        <f aca="false">IF($A174=2025,VLOOKUP($D174,Premissas!$A$52:$P$56,12,0),IF($A174=2026,VLOOKUP($D174,Premissas!$A$52:$P$56,13,0),VLOOKUP($D174,Premissas!$A$52:$P$56,14,0)))</f>
        <v>35</v>
      </c>
      <c r="G174" s="33" t="n">
        <f aca="false">E174*F174/30</f>
        <v>107767.13606344</v>
      </c>
      <c r="H174" s="33" t="n">
        <f aca="false">$G174*Premissas!$B$42</f>
        <v>75436.995244408</v>
      </c>
      <c r="I174" s="33" t="n">
        <f aca="false">$G174*Premissas!$C$42</f>
        <v>16165.070409516</v>
      </c>
      <c r="J174" s="33" t="n">
        <f aca="false">$G174*Premissas!$D$42</f>
        <v>8621.3708850752</v>
      </c>
      <c r="K174" s="33" t="n">
        <f aca="false">$G174*Premissas!$E$42</f>
        <v>4310.6854425376</v>
      </c>
      <c r="L174" s="33" t="n">
        <f aca="false">$G174*Premissas!$F$42</f>
        <v>3233.0140819032</v>
      </c>
    </row>
    <row r="175" customFormat="false" ht="15" hidden="false" customHeight="true" outlineLevel="0" collapsed="false">
      <c r="A175" s="32" t="n">
        <v>2027</v>
      </c>
      <c r="B175" s="32" t="n">
        <v>6</v>
      </c>
      <c r="C175" s="32" t="s">
        <v>177</v>
      </c>
      <c r="D175" s="32" t="s">
        <v>145</v>
      </c>
      <c r="E175" s="78" t="n">
        <f aca="false">SUMIFS(DRE_por_UN!$H:$H,DRE_por_UN!$C:$C,$C175,DRE_por_UN!$E:$E,$D175)</f>
        <v>93112.09927068</v>
      </c>
      <c r="F175" s="44" t="n">
        <f aca="false">IF($A175=2025,VLOOKUP($D175,Premissas!$A$52:$P$56,12,0),IF($A175=2026,VLOOKUP($D175,Premissas!$A$52:$P$56,13,0),VLOOKUP($D175,Premissas!$A$52:$P$56,14,0)))</f>
        <v>35</v>
      </c>
      <c r="G175" s="33" t="n">
        <f aca="false">E175*F175/30</f>
        <v>108630.78248246</v>
      </c>
      <c r="H175" s="33" t="n">
        <f aca="false">$G175*Premissas!$B$42</f>
        <v>76041.547737722</v>
      </c>
      <c r="I175" s="33" t="n">
        <f aca="false">$G175*Premissas!$C$42</f>
        <v>16294.617372369</v>
      </c>
      <c r="J175" s="33" t="n">
        <f aca="false">$G175*Premissas!$D$42</f>
        <v>8690.4625985968</v>
      </c>
      <c r="K175" s="33" t="n">
        <f aca="false">$G175*Premissas!$E$42</f>
        <v>4345.2312992984</v>
      </c>
      <c r="L175" s="33" t="n">
        <f aca="false">$G175*Premissas!$F$42</f>
        <v>3258.9234744738</v>
      </c>
    </row>
    <row r="176" customFormat="false" ht="15" hidden="false" customHeight="true" outlineLevel="0" collapsed="false">
      <c r="A176" s="32" t="n">
        <v>2027</v>
      </c>
      <c r="B176" s="32" t="n">
        <v>7</v>
      </c>
      <c r="C176" s="32" t="s">
        <v>178</v>
      </c>
      <c r="D176" s="32" t="s">
        <v>145</v>
      </c>
      <c r="E176" s="78" t="n">
        <f aca="false">SUMIFS(DRE_por_UN!$H:$H,DRE_por_UN!$C:$C,$C176,DRE_por_UN!$E:$E,$D176)</f>
        <v>96986.0132088</v>
      </c>
      <c r="F176" s="44" t="n">
        <f aca="false">IF($A176=2025,VLOOKUP($D176,Premissas!$A$52:$P$56,12,0),IF($A176=2026,VLOOKUP($D176,Premissas!$A$52:$P$56,13,0),VLOOKUP($D176,Premissas!$A$52:$P$56,14,0)))</f>
        <v>35</v>
      </c>
      <c r="G176" s="33" t="n">
        <f aca="false">E176*F176/30</f>
        <v>113150.3487436</v>
      </c>
      <c r="H176" s="33" t="n">
        <f aca="false">$G176*Premissas!$B$42</f>
        <v>79205.24412052</v>
      </c>
      <c r="I176" s="33" t="n">
        <f aca="false">$G176*Premissas!$C$42</f>
        <v>16972.55231154</v>
      </c>
      <c r="J176" s="33" t="n">
        <f aca="false">$G176*Premissas!$D$42</f>
        <v>9052.027899488</v>
      </c>
      <c r="K176" s="33" t="n">
        <f aca="false">$G176*Premissas!$E$42</f>
        <v>4526.013949744</v>
      </c>
      <c r="L176" s="33" t="n">
        <f aca="false">$G176*Premissas!$F$42</f>
        <v>3394.510462308</v>
      </c>
    </row>
    <row r="177" customFormat="false" ht="15" hidden="false" customHeight="true" outlineLevel="0" collapsed="false">
      <c r="A177" s="32" t="n">
        <v>2027</v>
      </c>
      <c r="B177" s="32" t="n">
        <v>8</v>
      </c>
      <c r="C177" s="32" t="s">
        <v>179</v>
      </c>
      <c r="D177" s="32" t="s">
        <v>145</v>
      </c>
      <c r="E177" s="78" t="n">
        <f aca="false">SUMIFS(DRE_por_UN!$H:$H,DRE_por_UN!$C:$C,$C177,DRE_por_UN!$E:$E,$D177)</f>
        <v>90942.36639744</v>
      </c>
      <c r="F177" s="44" t="n">
        <f aca="false">IF($A177=2025,VLOOKUP($D177,Premissas!$A$52:$P$56,12,0),IF($A177=2026,VLOOKUP($D177,Premissas!$A$52:$P$56,13,0),VLOOKUP($D177,Premissas!$A$52:$P$56,14,0)))</f>
        <v>35</v>
      </c>
      <c r="G177" s="33" t="n">
        <f aca="false">E177*F177/30</f>
        <v>106099.42746368</v>
      </c>
      <c r="H177" s="33" t="n">
        <f aca="false">$G177*Premissas!$B$42</f>
        <v>74269.599224576</v>
      </c>
      <c r="I177" s="33" t="n">
        <f aca="false">$G177*Premissas!$C$42</f>
        <v>15914.914119552</v>
      </c>
      <c r="J177" s="33" t="n">
        <f aca="false">$G177*Premissas!$D$42</f>
        <v>8487.9541970944</v>
      </c>
      <c r="K177" s="33" t="n">
        <f aca="false">$G177*Premissas!$E$42</f>
        <v>4243.9770985472</v>
      </c>
      <c r="L177" s="33" t="n">
        <f aca="false">$G177*Premissas!$F$42</f>
        <v>3182.9828239104</v>
      </c>
    </row>
    <row r="178" customFormat="false" ht="15" hidden="false" customHeight="true" outlineLevel="0" collapsed="false">
      <c r="A178" s="32" t="n">
        <v>2027</v>
      </c>
      <c r="B178" s="32" t="n">
        <v>9</v>
      </c>
      <c r="C178" s="32" t="s">
        <v>180</v>
      </c>
      <c r="D178" s="32" t="s">
        <v>145</v>
      </c>
      <c r="E178" s="78" t="n">
        <f aca="false">SUMIFS(DRE_por_UN!$H:$H,DRE_por_UN!$C:$C,$C178,DRE_por_UN!$E:$E,$D178)</f>
        <v>85851.34889784</v>
      </c>
      <c r="F178" s="44" t="n">
        <f aca="false">IF($A178=2025,VLOOKUP($D178,Premissas!$A$52:$P$56,12,0),IF($A178=2026,VLOOKUP($D178,Premissas!$A$52:$P$56,13,0),VLOOKUP($D178,Premissas!$A$52:$P$56,14,0)))</f>
        <v>35</v>
      </c>
      <c r="G178" s="33" t="n">
        <f aca="false">E178*F178/30</f>
        <v>100159.90704748</v>
      </c>
      <c r="H178" s="33" t="n">
        <f aca="false">$G178*Premissas!$B$42</f>
        <v>70111.934933236</v>
      </c>
      <c r="I178" s="33" t="n">
        <f aca="false">$G178*Premissas!$C$42</f>
        <v>15023.986057122</v>
      </c>
      <c r="J178" s="33" t="n">
        <f aca="false">$G178*Premissas!$D$42</f>
        <v>8012.7925637984</v>
      </c>
      <c r="K178" s="33" t="n">
        <f aca="false">$G178*Premissas!$E$42</f>
        <v>4006.3962818992</v>
      </c>
      <c r="L178" s="33" t="n">
        <f aca="false">$G178*Premissas!$F$42</f>
        <v>3004.7972114244</v>
      </c>
    </row>
    <row r="179" customFormat="false" ht="15" hidden="false" customHeight="true" outlineLevel="0" collapsed="false">
      <c r="A179" s="32" t="n">
        <v>2027</v>
      </c>
      <c r="B179" s="32" t="n">
        <v>10</v>
      </c>
      <c r="C179" s="32" t="s">
        <v>181</v>
      </c>
      <c r="D179" s="32" t="s">
        <v>145</v>
      </c>
      <c r="E179" s="78" t="n">
        <f aca="false">SUMIFS(DRE_por_UN!$H:$H,DRE_por_UN!$C:$C,$C179,DRE_por_UN!$E:$E,$D179)</f>
        <v>90228.49927392</v>
      </c>
      <c r="F179" s="44" t="n">
        <f aca="false">IF($A179=2025,VLOOKUP($D179,Premissas!$A$52:$P$56,12,0),IF($A179=2026,VLOOKUP($D179,Premissas!$A$52:$P$56,13,0),VLOOKUP($D179,Premissas!$A$52:$P$56,14,0)))</f>
        <v>35</v>
      </c>
      <c r="G179" s="33" t="n">
        <f aca="false">E179*F179/30</f>
        <v>105266.58248624</v>
      </c>
      <c r="H179" s="33" t="n">
        <f aca="false">$G179*Premissas!$B$42</f>
        <v>73686.607740368</v>
      </c>
      <c r="I179" s="33" t="n">
        <f aca="false">$G179*Premissas!$C$42</f>
        <v>15789.987372936</v>
      </c>
      <c r="J179" s="33" t="n">
        <f aca="false">$G179*Premissas!$D$42</f>
        <v>8421.3265988992</v>
      </c>
      <c r="K179" s="33" t="n">
        <f aca="false">$G179*Premissas!$E$42</f>
        <v>4210.6632994496</v>
      </c>
      <c r="L179" s="33" t="n">
        <f aca="false">$G179*Premissas!$F$42</f>
        <v>3157.9974745872</v>
      </c>
    </row>
    <row r="180" customFormat="false" ht="15" hidden="false" customHeight="true" outlineLevel="0" collapsed="false">
      <c r="A180" s="32" t="n">
        <v>2027</v>
      </c>
      <c r="B180" s="32" t="n">
        <v>11</v>
      </c>
      <c r="C180" s="32" t="s">
        <v>182</v>
      </c>
      <c r="D180" s="32" t="s">
        <v>145</v>
      </c>
      <c r="E180" s="78" t="n">
        <f aca="false">SUMIFS(DRE_por_UN!$H:$H,DRE_por_UN!$C:$C,$C180,DRE_por_UN!$E:$E,$D180)</f>
        <v>110602.04908284</v>
      </c>
      <c r="F180" s="44" t="n">
        <f aca="false">IF($A180=2025,VLOOKUP($D180,Premissas!$A$52:$P$56,12,0),IF($A180=2026,VLOOKUP($D180,Premissas!$A$52:$P$56,13,0),VLOOKUP($D180,Premissas!$A$52:$P$56,14,0)))</f>
        <v>35</v>
      </c>
      <c r="G180" s="33" t="n">
        <f aca="false">E180*F180/30</f>
        <v>129035.72392998</v>
      </c>
      <c r="H180" s="33" t="n">
        <f aca="false">$G180*Premissas!$B$42</f>
        <v>90325.006750986</v>
      </c>
      <c r="I180" s="33" t="n">
        <f aca="false">$G180*Premissas!$C$42</f>
        <v>19355.358589497</v>
      </c>
      <c r="J180" s="33" t="n">
        <f aca="false">$G180*Premissas!$D$42</f>
        <v>10322.8579143984</v>
      </c>
      <c r="K180" s="33" t="n">
        <f aca="false">$G180*Premissas!$E$42</f>
        <v>5161.4289571992</v>
      </c>
      <c r="L180" s="33" t="n">
        <f aca="false">$G180*Premissas!$F$42</f>
        <v>3871.0717178994</v>
      </c>
    </row>
    <row r="181" customFormat="false" ht="15" hidden="false" customHeight="true" outlineLevel="0" collapsed="false">
      <c r="A181" s="32" t="n">
        <v>2027</v>
      </c>
      <c r="B181" s="32" t="n">
        <v>12</v>
      </c>
      <c r="C181" s="32" t="s">
        <v>183</v>
      </c>
      <c r="D181" s="32" t="s">
        <v>145</v>
      </c>
      <c r="E181" s="78" t="n">
        <f aca="false">SUMIFS(DRE_por_UN!$H:$H,DRE_por_UN!$C:$C,$C181,DRE_por_UN!$E:$E,$D181)</f>
        <v>117260.59320936</v>
      </c>
      <c r="F181" s="44" t="n">
        <f aca="false">IF($A181=2025,VLOOKUP($D181,Premissas!$A$52:$P$56,12,0),IF($A181=2026,VLOOKUP($D181,Premissas!$A$52:$P$56,13,0),VLOOKUP($D181,Premissas!$A$52:$P$56,14,0)))</f>
        <v>35</v>
      </c>
      <c r="G181" s="33" t="n">
        <f aca="false">E181*F181/30</f>
        <v>136804.02541092</v>
      </c>
      <c r="H181" s="33" t="n">
        <f aca="false">$G181*Premissas!$B$42</f>
        <v>95762.817787644</v>
      </c>
      <c r="I181" s="33" t="n">
        <f aca="false">$G181*Premissas!$C$42</f>
        <v>20520.603811638</v>
      </c>
      <c r="J181" s="33" t="n">
        <f aca="false">$G181*Premissas!$D$42</f>
        <v>10944.3220328736</v>
      </c>
      <c r="K181" s="33" t="n">
        <f aca="false">$G181*Premissas!$E$42</f>
        <v>5472.1610164368</v>
      </c>
      <c r="L181" s="33" t="n">
        <f aca="false">$G181*Premissas!$F$42</f>
        <v>4104.1207623276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6"/>
    <col collapsed="false" customWidth="true" hidden="false" outlineLevel="0" max="3" min="3" style="1" width="10"/>
    <col collapsed="false" customWidth="true" hidden="false" outlineLevel="0" max="4" min="4" style="1" width="24"/>
    <col collapsed="false" customWidth="true" hidden="false" outlineLevel="0" max="5" min="5" style="1" width="14"/>
    <col collapsed="false" customWidth="true" hidden="false" outlineLevel="0" max="6" min="6" style="1" width="11"/>
    <col collapsed="false" customWidth="true" hidden="false" outlineLevel="0" max="7" min="7" style="1" width="13"/>
    <col collapsed="false" customWidth="true" hidden="false" outlineLevel="0" max="12" min="8" style="1" width="12"/>
  </cols>
  <sheetData>
    <row r="1" customFormat="false" ht="15" hidden="false" customHeight="true" outlineLevel="0" collapsed="false">
      <c r="A1" s="25" t="s">
        <v>254</v>
      </c>
      <c r="B1" s="25" t="s">
        <v>255</v>
      </c>
      <c r="C1" s="25" t="s">
        <v>256</v>
      </c>
      <c r="D1" s="25" t="s">
        <v>349</v>
      </c>
      <c r="E1" s="25" t="s">
        <v>364</v>
      </c>
      <c r="F1" s="25" t="s">
        <v>371</v>
      </c>
      <c r="G1" s="25" t="s">
        <v>372</v>
      </c>
      <c r="H1" s="25" t="s">
        <v>110</v>
      </c>
      <c r="I1" s="25" t="s">
        <v>111</v>
      </c>
      <c r="J1" s="25" t="s">
        <v>112</v>
      </c>
      <c r="K1" s="25" t="s">
        <v>113</v>
      </c>
      <c r="L1" s="25" t="s">
        <v>114</v>
      </c>
    </row>
    <row r="2" customFormat="false" ht="15" hidden="false" customHeight="true" outlineLevel="0" collapsed="false">
      <c r="A2" s="32" t="n">
        <v>2025</v>
      </c>
      <c r="B2" s="32" t="n">
        <v>1</v>
      </c>
      <c r="C2" s="32" t="s">
        <v>148</v>
      </c>
      <c r="D2" s="32" t="s">
        <v>141</v>
      </c>
      <c r="E2" s="78" t="n">
        <f aca="false">SUMIFS(DRE_por_UN!$J:$J,DRE_por_UN!$C:$C,$C2,DRE_por_UN!$E:$E,$D2)</f>
        <v>12150.012</v>
      </c>
      <c r="F2" s="44" t="n">
        <f aca="false">VLOOKUP($D2,Premissas!$A$52:$P$56,16,0)</f>
        <v>40</v>
      </c>
      <c r="G2" s="33" t="n">
        <f aca="false">E2*F2/30</f>
        <v>16200.016</v>
      </c>
      <c r="H2" s="33" t="n">
        <f aca="false">$G2*Premissas!$B$42</f>
        <v>11340.0112</v>
      </c>
      <c r="I2" s="33" t="n">
        <f aca="false">$G2*Premissas!$C$42</f>
        <v>2430.0024</v>
      </c>
      <c r="J2" s="33" t="n">
        <f aca="false">$G2*Premissas!$D$42</f>
        <v>1296.00128</v>
      </c>
      <c r="K2" s="33" t="n">
        <f aca="false">$G2*Premissas!$E$42</f>
        <v>648.00064</v>
      </c>
      <c r="L2" s="33" t="n">
        <f aca="false">$G2*Premissas!$F$42</f>
        <v>486.00048</v>
      </c>
    </row>
    <row r="3" customFormat="false" ht="15" hidden="false" customHeight="true" outlineLevel="0" collapsed="false">
      <c r="A3" s="32" t="n">
        <v>2025</v>
      </c>
      <c r="B3" s="32" t="n">
        <v>2</v>
      </c>
      <c r="C3" s="32" t="s">
        <v>149</v>
      </c>
      <c r="D3" s="32" t="s">
        <v>141</v>
      </c>
      <c r="E3" s="78" t="n">
        <f aca="false">SUMIFS(DRE_por_UN!$J:$J,DRE_por_UN!$C:$C,$C3,DRE_por_UN!$E:$E,$D3)</f>
        <v>17815.847</v>
      </c>
      <c r="F3" s="44" t="n">
        <f aca="false">VLOOKUP($D3,Premissas!$A$52:$P$56,16,0)</f>
        <v>40</v>
      </c>
      <c r="G3" s="33" t="n">
        <f aca="false">E3*F3/30</f>
        <v>23754.4626666667</v>
      </c>
      <c r="H3" s="33" t="n">
        <f aca="false">$G3*Premissas!$B$42</f>
        <v>16628.1238666667</v>
      </c>
      <c r="I3" s="33" t="n">
        <f aca="false">$G3*Premissas!$C$42</f>
        <v>3563.1694</v>
      </c>
      <c r="J3" s="33" t="n">
        <f aca="false">$G3*Premissas!$D$42</f>
        <v>1900.35701333333</v>
      </c>
      <c r="K3" s="33" t="n">
        <f aca="false">$G3*Premissas!$E$42</f>
        <v>950.178506666667</v>
      </c>
      <c r="L3" s="33" t="n">
        <f aca="false">$G3*Premissas!$F$42</f>
        <v>712.63388</v>
      </c>
    </row>
    <row r="4" customFormat="false" ht="15" hidden="false" customHeight="true" outlineLevel="0" collapsed="false">
      <c r="A4" s="32" t="n">
        <v>2025</v>
      </c>
      <c r="B4" s="32" t="n">
        <v>3</v>
      </c>
      <c r="C4" s="32" t="s">
        <v>150</v>
      </c>
      <c r="D4" s="32" t="s">
        <v>141</v>
      </c>
      <c r="E4" s="78" t="n">
        <f aca="false">SUMIFS(DRE_por_UN!$J:$J,DRE_por_UN!$C:$C,$C4,DRE_por_UN!$E:$E,$D4)</f>
        <v>17155.621</v>
      </c>
      <c r="F4" s="44" t="n">
        <f aca="false">VLOOKUP($D4,Premissas!$A$52:$P$56,16,0)</f>
        <v>40</v>
      </c>
      <c r="G4" s="33" t="n">
        <f aca="false">E4*F4/30</f>
        <v>22874.1613333333</v>
      </c>
      <c r="H4" s="33" t="n">
        <f aca="false">$G4*Premissas!$B$42</f>
        <v>16011.9129333333</v>
      </c>
      <c r="I4" s="33" t="n">
        <f aca="false">$G4*Premissas!$C$42</f>
        <v>3431.1242</v>
      </c>
      <c r="J4" s="33" t="n">
        <f aca="false">$G4*Premissas!$D$42</f>
        <v>1829.93290666667</v>
      </c>
      <c r="K4" s="33" t="n">
        <f aca="false">$G4*Premissas!$E$42</f>
        <v>914.966453333333</v>
      </c>
      <c r="L4" s="33" t="n">
        <f aca="false">$G4*Premissas!$F$42</f>
        <v>686.22484</v>
      </c>
    </row>
    <row r="5" customFormat="false" ht="15" hidden="false" customHeight="true" outlineLevel="0" collapsed="false">
      <c r="A5" s="32" t="n">
        <v>2025</v>
      </c>
      <c r="B5" s="32" t="n">
        <v>4</v>
      </c>
      <c r="C5" s="32" t="s">
        <v>151</v>
      </c>
      <c r="D5" s="32" t="s">
        <v>141</v>
      </c>
      <c r="E5" s="78" t="n">
        <f aca="false">SUMIFS(DRE_por_UN!$J:$J,DRE_por_UN!$C:$C,$C5,DRE_por_UN!$E:$E,$D5)</f>
        <v>13445.425</v>
      </c>
      <c r="F5" s="44" t="n">
        <f aca="false">VLOOKUP($D5,Premissas!$A$52:$P$56,16,0)</f>
        <v>40</v>
      </c>
      <c r="G5" s="33" t="n">
        <f aca="false">E5*F5/30</f>
        <v>17927.2333333333</v>
      </c>
      <c r="H5" s="33" t="n">
        <f aca="false">$G5*Premissas!$B$42</f>
        <v>12549.0633333333</v>
      </c>
      <c r="I5" s="33" t="n">
        <f aca="false">$G5*Premissas!$C$42</f>
        <v>2689.085</v>
      </c>
      <c r="J5" s="33" t="n">
        <f aca="false">$G5*Premissas!$D$42</f>
        <v>1434.17866666667</v>
      </c>
      <c r="K5" s="33" t="n">
        <f aca="false">$G5*Premissas!$E$42</f>
        <v>717.089333333333</v>
      </c>
      <c r="L5" s="33" t="n">
        <f aca="false">$G5*Premissas!$F$42</f>
        <v>537.817</v>
      </c>
    </row>
    <row r="6" customFormat="false" ht="15" hidden="false" customHeight="true" outlineLevel="0" collapsed="false">
      <c r="A6" s="32" t="n">
        <v>2025</v>
      </c>
      <c r="B6" s="32" t="n">
        <v>5</v>
      </c>
      <c r="C6" s="32" t="s">
        <v>152</v>
      </c>
      <c r="D6" s="32" t="s">
        <v>141</v>
      </c>
      <c r="E6" s="78" t="n">
        <f aca="false">SUMIFS(DRE_por_UN!$J:$J,DRE_por_UN!$C:$C,$C6,DRE_por_UN!$E:$E,$D6)</f>
        <v>19372.969</v>
      </c>
      <c r="F6" s="44" t="n">
        <f aca="false">VLOOKUP($D6,Premissas!$A$52:$P$56,16,0)</f>
        <v>40</v>
      </c>
      <c r="G6" s="33" t="n">
        <f aca="false">E6*F6/30</f>
        <v>25830.6253333333</v>
      </c>
      <c r="H6" s="33" t="n">
        <f aca="false">$G6*Premissas!$B$42</f>
        <v>18081.4377333333</v>
      </c>
      <c r="I6" s="33" t="n">
        <f aca="false">$G6*Premissas!$C$42</f>
        <v>3874.5938</v>
      </c>
      <c r="J6" s="33" t="n">
        <f aca="false">$G6*Premissas!$D$42</f>
        <v>2066.45002666667</v>
      </c>
      <c r="K6" s="33" t="n">
        <f aca="false">$G6*Premissas!$E$42</f>
        <v>1033.22501333333</v>
      </c>
      <c r="L6" s="33" t="n">
        <f aca="false">$G6*Premissas!$F$42</f>
        <v>774.91876</v>
      </c>
    </row>
    <row r="7" customFormat="false" ht="15" hidden="false" customHeight="true" outlineLevel="0" collapsed="false">
      <c r="A7" s="32" t="n">
        <v>2025</v>
      </c>
      <c r="B7" s="32" t="n">
        <v>6</v>
      </c>
      <c r="C7" s="32" t="s">
        <v>153</v>
      </c>
      <c r="D7" s="32" t="s">
        <v>141</v>
      </c>
      <c r="E7" s="78" t="n">
        <f aca="false">SUMIFS(DRE_por_UN!$J:$J,DRE_por_UN!$C:$C,$C7,DRE_por_UN!$E:$E,$D7)</f>
        <v>18347.021</v>
      </c>
      <c r="F7" s="44" t="n">
        <f aca="false">VLOOKUP($D7,Premissas!$A$52:$P$56,16,0)</f>
        <v>40</v>
      </c>
      <c r="G7" s="33" t="n">
        <f aca="false">E7*F7/30</f>
        <v>24462.6946666667</v>
      </c>
      <c r="H7" s="33" t="n">
        <f aca="false">$G7*Premissas!$B$42</f>
        <v>17123.8862666667</v>
      </c>
      <c r="I7" s="33" t="n">
        <f aca="false">$G7*Premissas!$C$42</f>
        <v>3669.4042</v>
      </c>
      <c r="J7" s="33" t="n">
        <f aca="false">$G7*Premissas!$D$42</f>
        <v>1957.01557333333</v>
      </c>
      <c r="K7" s="33" t="n">
        <f aca="false">$G7*Premissas!$E$42</f>
        <v>978.507786666667</v>
      </c>
      <c r="L7" s="33" t="n">
        <f aca="false">$G7*Premissas!$F$42</f>
        <v>733.88084</v>
      </c>
    </row>
    <row r="8" customFormat="false" ht="15" hidden="false" customHeight="true" outlineLevel="0" collapsed="false">
      <c r="A8" s="32" t="n">
        <v>2025</v>
      </c>
      <c r="B8" s="32" t="n">
        <v>7</v>
      </c>
      <c r="C8" s="32" t="s">
        <v>154</v>
      </c>
      <c r="D8" s="32" t="s">
        <v>141</v>
      </c>
      <c r="E8" s="78" t="n">
        <f aca="false">SUMIFS(DRE_por_UN!$J:$J,DRE_por_UN!$C:$C,$C8,DRE_por_UN!$E:$E,$D8)</f>
        <v>19660.907</v>
      </c>
      <c r="F8" s="44" t="n">
        <f aca="false">VLOOKUP($D8,Premissas!$A$52:$P$56,16,0)</f>
        <v>40</v>
      </c>
      <c r="G8" s="33" t="n">
        <f aca="false">E8*F8/30</f>
        <v>26214.5426666667</v>
      </c>
      <c r="H8" s="33" t="n">
        <f aca="false">$G8*Premissas!$B$42</f>
        <v>18350.1798666667</v>
      </c>
      <c r="I8" s="33" t="n">
        <f aca="false">$G8*Premissas!$C$42</f>
        <v>3932.1814</v>
      </c>
      <c r="J8" s="33" t="n">
        <f aca="false">$G8*Premissas!$D$42</f>
        <v>2097.16341333333</v>
      </c>
      <c r="K8" s="33" t="n">
        <f aca="false">$G8*Premissas!$E$42</f>
        <v>1048.58170666667</v>
      </c>
      <c r="L8" s="33" t="n">
        <f aca="false">$G8*Premissas!$F$42</f>
        <v>786.43628</v>
      </c>
    </row>
    <row r="9" customFormat="false" ht="15" hidden="false" customHeight="true" outlineLevel="0" collapsed="false">
      <c r="A9" s="32" t="n">
        <v>2025</v>
      </c>
      <c r="B9" s="32" t="n">
        <v>8</v>
      </c>
      <c r="C9" s="32" t="s">
        <v>155</v>
      </c>
      <c r="D9" s="32" t="s">
        <v>141</v>
      </c>
      <c r="E9" s="78" t="n">
        <f aca="false">SUMIFS(DRE_por_UN!$J:$J,DRE_por_UN!$C:$C,$C9,DRE_por_UN!$E:$E,$D9)</f>
        <v>16610.944</v>
      </c>
      <c r="F9" s="44" t="n">
        <f aca="false">VLOOKUP($D9,Premissas!$A$52:$P$56,16,0)</f>
        <v>40</v>
      </c>
      <c r="G9" s="33" t="n">
        <f aca="false">E9*F9/30</f>
        <v>22147.9253333333</v>
      </c>
      <c r="H9" s="33" t="n">
        <f aca="false">$G9*Premissas!$B$42</f>
        <v>15503.5477333333</v>
      </c>
      <c r="I9" s="33" t="n">
        <f aca="false">$G9*Premissas!$C$42</f>
        <v>3322.1888</v>
      </c>
      <c r="J9" s="33" t="n">
        <f aca="false">$G9*Premissas!$D$42</f>
        <v>1771.83402666667</v>
      </c>
      <c r="K9" s="33" t="n">
        <f aca="false">$G9*Premissas!$E$42</f>
        <v>885.917013333333</v>
      </c>
      <c r="L9" s="33" t="n">
        <f aca="false">$G9*Premissas!$F$42</f>
        <v>664.43776</v>
      </c>
    </row>
    <row r="10" customFormat="false" ht="15" hidden="false" customHeight="true" outlineLevel="0" collapsed="false">
      <c r="A10" s="32" t="n">
        <v>2025</v>
      </c>
      <c r="B10" s="32" t="n">
        <v>9</v>
      </c>
      <c r="C10" s="32" t="s">
        <v>156</v>
      </c>
      <c r="D10" s="32" t="s">
        <v>141</v>
      </c>
      <c r="E10" s="78" t="n">
        <f aca="false">SUMIFS(DRE_por_UN!$J:$J,DRE_por_UN!$C:$C,$C10,DRE_por_UN!$E:$E,$D10)</f>
        <v>13829.284</v>
      </c>
      <c r="F10" s="44" t="n">
        <f aca="false">VLOOKUP($D10,Premissas!$A$52:$P$56,16,0)</f>
        <v>40</v>
      </c>
      <c r="G10" s="33" t="n">
        <f aca="false">E10*F10/30</f>
        <v>18439.0453333333</v>
      </c>
      <c r="H10" s="33" t="n">
        <f aca="false">$G10*Premissas!$B$42</f>
        <v>12907.3317333333</v>
      </c>
      <c r="I10" s="33" t="n">
        <f aca="false">$G10*Premissas!$C$42</f>
        <v>2765.8568</v>
      </c>
      <c r="J10" s="33" t="n">
        <f aca="false">$G10*Premissas!$D$42</f>
        <v>1475.12362666667</v>
      </c>
      <c r="K10" s="33" t="n">
        <f aca="false">$G10*Premissas!$E$42</f>
        <v>737.561813333334</v>
      </c>
      <c r="L10" s="33" t="n">
        <f aca="false">$G10*Premissas!$F$42</f>
        <v>553.17136</v>
      </c>
    </row>
    <row r="11" customFormat="false" ht="15" hidden="false" customHeight="true" outlineLevel="0" collapsed="false">
      <c r="A11" s="32" t="n">
        <v>2025</v>
      </c>
      <c r="B11" s="32" t="n">
        <v>10</v>
      </c>
      <c r="C11" s="32" t="s">
        <v>157</v>
      </c>
      <c r="D11" s="32" t="s">
        <v>141</v>
      </c>
      <c r="E11" s="78" t="n">
        <f aca="false">SUMIFS(DRE_por_UN!$J:$J,DRE_por_UN!$C:$C,$C11,DRE_por_UN!$E:$E,$D11)</f>
        <v>23383.563</v>
      </c>
      <c r="F11" s="44" t="n">
        <f aca="false">VLOOKUP($D11,Premissas!$A$52:$P$56,16,0)</f>
        <v>40</v>
      </c>
      <c r="G11" s="33" t="n">
        <f aca="false">E11*F11/30</f>
        <v>31178.084</v>
      </c>
      <c r="H11" s="33" t="n">
        <f aca="false">$G11*Premissas!$B$42</f>
        <v>21824.6588</v>
      </c>
      <c r="I11" s="33" t="n">
        <f aca="false">$G11*Premissas!$C$42</f>
        <v>4676.7126</v>
      </c>
      <c r="J11" s="33" t="n">
        <f aca="false">$G11*Premissas!$D$42</f>
        <v>2494.24672</v>
      </c>
      <c r="K11" s="33" t="n">
        <f aca="false">$G11*Premissas!$E$42</f>
        <v>1247.12336</v>
      </c>
      <c r="L11" s="33" t="n">
        <f aca="false">$G11*Premissas!$F$42</f>
        <v>935.34252</v>
      </c>
    </row>
    <row r="12" customFormat="false" ht="15" hidden="false" customHeight="true" outlineLevel="0" collapsed="false">
      <c r="A12" s="32" t="n">
        <v>2025</v>
      </c>
      <c r="B12" s="32" t="n">
        <v>11</v>
      </c>
      <c r="C12" s="32" t="s">
        <v>158</v>
      </c>
      <c r="D12" s="32" t="s">
        <v>141</v>
      </c>
      <c r="E12" s="78" t="n">
        <f aca="false">SUMIFS(DRE_por_UN!$J:$J,DRE_por_UN!$C:$C,$C12,DRE_por_UN!$E:$E,$D12)</f>
        <v>20226.57</v>
      </c>
      <c r="F12" s="44" t="n">
        <f aca="false">VLOOKUP($D12,Premissas!$A$52:$P$56,16,0)</f>
        <v>40</v>
      </c>
      <c r="G12" s="33" t="n">
        <f aca="false">E12*F12/30</f>
        <v>26968.76</v>
      </c>
      <c r="H12" s="33" t="n">
        <f aca="false">$G12*Premissas!$B$42</f>
        <v>18878.132</v>
      </c>
      <c r="I12" s="33" t="n">
        <f aca="false">$G12*Premissas!$C$42</f>
        <v>4045.314</v>
      </c>
      <c r="J12" s="33" t="n">
        <f aca="false">$G12*Premissas!$D$42</f>
        <v>2157.5008</v>
      </c>
      <c r="K12" s="33" t="n">
        <f aca="false">$G12*Premissas!$E$42</f>
        <v>1078.7504</v>
      </c>
      <c r="L12" s="33" t="n">
        <f aca="false">$G12*Premissas!$F$42</f>
        <v>809.0628</v>
      </c>
    </row>
    <row r="13" customFormat="false" ht="15" hidden="false" customHeight="true" outlineLevel="0" collapsed="false">
      <c r="A13" s="32" t="n">
        <v>2025</v>
      </c>
      <c r="B13" s="32" t="n">
        <v>12</v>
      </c>
      <c r="C13" s="32" t="s">
        <v>159</v>
      </c>
      <c r="D13" s="32" t="s">
        <v>141</v>
      </c>
      <c r="E13" s="78" t="n">
        <f aca="false">SUMIFS(DRE_por_UN!$J:$J,DRE_por_UN!$C:$C,$C13,DRE_por_UN!$E:$E,$D13)</f>
        <v>18957.372</v>
      </c>
      <c r="F13" s="44" t="n">
        <f aca="false">VLOOKUP($D13,Premissas!$A$52:$P$56,16,0)</f>
        <v>40</v>
      </c>
      <c r="G13" s="33" t="n">
        <f aca="false">E13*F13/30</f>
        <v>25276.496</v>
      </c>
      <c r="H13" s="33" t="n">
        <f aca="false">$G13*Premissas!$B$42</f>
        <v>17693.5472</v>
      </c>
      <c r="I13" s="33" t="n">
        <f aca="false">$G13*Premissas!$C$42</f>
        <v>3791.4744</v>
      </c>
      <c r="J13" s="33" t="n">
        <f aca="false">$G13*Premissas!$D$42</f>
        <v>2022.11968</v>
      </c>
      <c r="K13" s="33" t="n">
        <f aca="false">$G13*Premissas!$E$42</f>
        <v>1011.05984</v>
      </c>
      <c r="L13" s="33" t="n">
        <f aca="false">$G13*Premissas!$F$42</f>
        <v>758.29488</v>
      </c>
    </row>
    <row r="14" customFormat="false" ht="15" hidden="false" customHeight="true" outlineLevel="0" collapsed="false">
      <c r="A14" s="32" t="n">
        <v>2026</v>
      </c>
      <c r="B14" s="32" t="n">
        <v>1</v>
      </c>
      <c r="C14" s="32" t="s">
        <v>160</v>
      </c>
      <c r="D14" s="32" t="s">
        <v>141</v>
      </c>
      <c r="E14" s="78" t="n">
        <f aca="false">SUMIFS(DRE_por_UN!$J:$J,DRE_por_UN!$C:$C,$C14,DRE_por_UN!$E:$E,$D14)</f>
        <v>13808.263</v>
      </c>
      <c r="F14" s="44" t="n">
        <f aca="false">VLOOKUP($D14,Premissas!$A$52:$P$56,16,0)</f>
        <v>40</v>
      </c>
      <c r="G14" s="33" t="n">
        <f aca="false">E14*F14/30</f>
        <v>18411.0173333333</v>
      </c>
      <c r="H14" s="33" t="n">
        <f aca="false">$G14*Premissas!$B$42</f>
        <v>12887.7121333333</v>
      </c>
      <c r="I14" s="33" t="n">
        <f aca="false">$G14*Premissas!$C$42</f>
        <v>2761.6526</v>
      </c>
      <c r="J14" s="33" t="n">
        <f aca="false">$G14*Premissas!$D$42</f>
        <v>1472.88138666667</v>
      </c>
      <c r="K14" s="33" t="n">
        <f aca="false">$G14*Premissas!$E$42</f>
        <v>736.440693333334</v>
      </c>
      <c r="L14" s="33" t="n">
        <f aca="false">$G14*Premissas!$F$42</f>
        <v>552.33052</v>
      </c>
    </row>
    <row r="15" customFormat="false" ht="15" hidden="false" customHeight="true" outlineLevel="0" collapsed="false">
      <c r="A15" s="32" t="n">
        <v>2026</v>
      </c>
      <c r="B15" s="32" t="n">
        <v>2</v>
      </c>
      <c r="C15" s="32" t="s">
        <v>161</v>
      </c>
      <c r="D15" s="32" t="s">
        <v>141</v>
      </c>
      <c r="E15" s="78" t="n">
        <f aca="false">SUMIFS(DRE_por_UN!$J:$J,DRE_por_UN!$C:$C,$C15,DRE_por_UN!$E:$E,$D15)</f>
        <v>12204.829</v>
      </c>
      <c r="F15" s="44" t="n">
        <f aca="false">VLOOKUP($D15,Premissas!$A$52:$P$56,16,0)</f>
        <v>40</v>
      </c>
      <c r="G15" s="33" t="n">
        <f aca="false">E15*F15/30</f>
        <v>16273.1053333333</v>
      </c>
      <c r="H15" s="33" t="n">
        <f aca="false">$G15*Premissas!$B$42</f>
        <v>11391.1737333333</v>
      </c>
      <c r="I15" s="33" t="n">
        <f aca="false">$G15*Premissas!$C$42</f>
        <v>2440.9658</v>
      </c>
      <c r="J15" s="33" t="n">
        <f aca="false">$G15*Premissas!$D$42</f>
        <v>1301.84842666667</v>
      </c>
      <c r="K15" s="33" t="n">
        <f aca="false">$G15*Premissas!$E$42</f>
        <v>650.924213333333</v>
      </c>
      <c r="L15" s="33" t="n">
        <f aca="false">$G15*Premissas!$F$42</f>
        <v>488.19316</v>
      </c>
    </row>
    <row r="16" customFormat="false" ht="15" hidden="false" customHeight="true" outlineLevel="0" collapsed="false">
      <c r="A16" s="32" t="n">
        <v>2026</v>
      </c>
      <c r="B16" s="32" t="n">
        <v>3</v>
      </c>
      <c r="C16" s="32" t="s">
        <v>162</v>
      </c>
      <c r="D16" s="32" t="s">
        <v>141</v>
      </c>
      <c r="E16" s="78" t="n">
        <f aca="false">SUMIFS(DRE_por_UN!$J:$J,DRE_por_UN!$C:$C,$C16,DRE_por_UN!$E:$E,$D16)</f>
        <v>18390.239</v>
      </c>
      <c r="F16" s="44" t="n">
        <f aca="false">VLOOKUP($D16,Premissas!$A$52:$P$56,16,0)</f>
        <v>40</v>
      </c>
      <c r="G16" s="33" t="n">
        <f aca="false">E16*F16/30</f>
        <v>24520.3186666667</v>
      </c>
      <c r="H16" s="33" t="n">
        <f aca="false">$G16*Premissas!$B$42</f>
        <v>17164.2230666667</v>
      </c>
      <c r="I16" s="33" t="n">
        <f aca="false">$G16*Premissas!$C$42</f>
        <v>3678.0478</v>
      </c>
      <c r="J16" s="33" t="n">
        <f aca="false">$G16*Premissas!$D$42</f>
        <v>1961.62549333333</v>
      </c>
      <c r="K16" s="33" t="n">
        <f aca="false">$G16*Premissas!$E$42</f>
        <v>980.812746666667</v>
      </c>
      <c r="L16" s="33" t="n">
        <f aca="false">$G16*Premissas!$F$42</f>
        <v>735.60956</v>
      </c>
    </row>
    <row r="17" customFormat="false" ht="15" hidden="false" customHeight="true" outlineLevel="0" collapsed="false">
      <c r="A17" s="32" t="n">
        <v>2026</v>
      </c>
      <c r="B17" s="32" t="n">
        <v>4</v>
      </c>
      <c r="C17" s="32" t="s">
        <v>163</v>
      </c>
      <c r="D17" s="32" t="s">
        <v>141</v>
      </c>
      <c r="E17" s="78" t="n">
        <f aca="false">SUMIFS(DRE_por_UN!$J:$J,DRE_por_UN!$C:$C,$C17,DRE_por_UN!$E:$E,$D17)</f>
        <v>14398.426</v>
      </c>
      <c r="F17" s="44" t="n">
        <f aca="false">VLOOKUP($D17,Premissas!$A$52:$P$56,16,0)</f>
        <v>40</v>
      </c>
      <c r="G17" s="33" t="n">
        <f aca="false">E17*F17/30</f>
        <v>19197.9013333333</v>
      </c>
      <c r="H17" s="33" t="n">
        <f aca="false">$G17*Premissas!$B$42</f>
        <v>13438.5309333333</v>
      </c>
      <c r="I17" s="33" t="n">
        <f aca="false">$G17*Premissas!$C$42</f>
        <v>2879.6852</v>
      </c>
      <c r="J17" s="33" t="n">
        <f aca="false">$G17*Premissas!$D$42</f>
        <v>1535.83210666667</v>
      </c>
      <c r="K17" s="33" t="n">
        <f aca="false">$G17*Premissas!$E$42</f>
        <v>767.916053333333</v>
      </c>
      <c r="L17" s="33" t="n">
        <f aca="false">$G17*Premissas!$F$42</f>
        <v>575.93704</v>
      </c>
    </row>
    <row r="18" customFormat="false" ht="15" hidden="false" customHeight="true" outlineLevel="0" collapsed="false">
      <c r="A18" s="32" t="n">
        <v>2026</v>
      </c>
      <c r="B18" s="32" t="n">
        <v>5</v>
      </c>
      <c r="C18" s="32" t="s">
        <v>164</v>
      </c>
      <c r="D18" s="32" t="s">
        <v>141</v>
      </c>
      <c r="E18" s="78" t="n">
        <f aca="false">SUMIFS(DRE_por_UN!$J:$J,DRE_por_UN!$C:$C,$C18,DRE_por_UN!$E:$E,$D18)</f>
        <v>18771.788</v>
      </c>
      <c r="F18" s="44" t="n">
        <f aca="false">VLOOKUP($D18,Premissas!$A$52:$P$56,16,0)</f>
        <v>40</v>
      </c>
      <c r="G18" s="33" t="n">
        <f aca="false">E18*F18/30</f>
        <v>25029.0506666667</v>
      </c>
      <c r="H18" s="33" t="n">
        <f aca="false">$G18*Premissas!$B$42</f>
        <v>17520.3354666667</v>
      </c>
      <c r="I18" s="33" t="n">
        <f aca="false">$G18*Premissas!$C$42</f>
        <v>3754.3576</v>
      </c>
      <c r="J18" s="33" t="n">
        <f aca="false">$G18*Premissas!$D$42</f>
        <v>2002.32405333333</v>
      </c>
      <c r="K18" s="33" t="n">
        <f aca="false">$G18*Premissas!$E$42</f>
        <v>1001.16202666667</v>
      </c>
      <c r="L18" s="33" t="n">
        <f aca="false">$G18*Premissas!$F$42</f>
        <v>750.87152</v>
      </c>
    </row>
    <row r="19" customFormat="false" ht="15" hidden="false" customHeight="true" outlineLevel="0" collapsed="false">
      <c r="A19" s="32" t="n">
        <v>2026</v>
      </c>
      <c r="B19" s="32" t="n">
        <v>6</v>
      </c>
      <c r="C19" s="32" t="s">
        <v>165</v>
      </c>
      <c r="D19" s="32" t="s">
        <v>141</v>
      </c>
      <c r="E19" s="78" t="n">
        <f aca="false">SUMIFS(DRE_por_UN!$J:$J,DRE_por_UN!$C:$C,$C19,DRE_por_UN!$E:$E,$D19)</f>
        <v>15655.654</v>
      </c>
      <c r="F19" s="44" t="n">
        <f aca="false">VLOOKUP($D19,Premissas!$A$52:$P$56,16,0)</f>
        <v>40</v>
      </c>
      <c r="G19" s="33" t="n">
        <f aca="false">E19*F19/30</f>
        <v>20874.2053333333</v>
      </c>
      <c r="H19" s="33" t="n">
        <f aca="false">$G19*Premissas!$B$42</f>
        <v>14611.9437333333</v>
      </c>
      <c r="I19" s="33" t="n">
        <f aca="false">$G19*Premissas!$C$42</f>
        <v>3131.1308</v>
      </c>
      <c r="J19" s="33" t="n">
        <f aca="false">$G19*Premissas!$D$42</f>
        <v>1669.93642666667</v>
      </c>
      <c r="K19" s="33" t="n">
        <f aca="false">$G19*Premissas!$E$42</f>
        <v>834.968213333333</v>
      </c>
      <c r="L19" s="33" t="n">
        <f aca="false">$G19*Premissas!$F$42</f>
        <v>626.22616</v>
      </c>
    </row>
    <row r="20" customFormat="false" ht="15" hidden="false" customHeight="true" outlineLevel="0" collapsed="false">
      <c r="A20" s="32" t="n">
        <v>2026</v>
      </c>
      <c r="B20" s="32" t="n">
        <v>7</v>
      </c>
      <c r="C20" s="32" t="s">
        <v>166</v>
      </c>
      <c r="D20" s="32" t="s">
        <v>141</v>
      </c>
      <c r="E20" s="78" t="n">
        <f aca="false">SUMIFS(DRE_por_UN!$J:$J,DRE_por_UN!$C:$C,$C20,DRE_por_UN!$E:$E,$D20)</f>
        <v>22294.748</v>
      </c>
      <c r="F20" s="44" t="n">
        <f aca="false">VLOOKUP($D20,Premissas!$A$52:$P$56,16,0)</f>
        <v>40</v>
      </c>
      <c r="G20" s="33" t="n">
        <f aca="false">E20*F20/30</f>
        <v>29726.3306666667</v>
      </c>
      <c r="H20" s="33" t="n">
        <f aca="false">$G20*Premissas!$B$42</f>
        <v>20808.4314666667</v>
      </c>
      <c r="I20" s="33" t="n">
        <f aca="false">$G20*Premissas!$C$42</f>
        <v>4458.9496</v>
      </c>
      <c r="J20" s="33" t="n">
        <f aca="false">$G20*Premissas!$D$42</f>
        <v>2378.10645333333</v>
      </c>
      <c r="K20" s="33" t="n">
        <f aca="false">$G20*Premissas!$E$42</f>
        <v>1189.05322666667</v>
      </c>
      <c r="L20" s="33" t="n">
        <f aca="false">$G20*Premissas!$F$42</f>
        <v>891.78992</v>
      </c>
    </row>
    <row r="21" customFormat="false" ht="15" hidden="false" customHeight="true" outlineLevel="0" collapsed="false">
      <c r="A21" s="32" t="n">
        <v>2026</v>
      </c>
      <c r="B21" s="32" t="n">
        <v>8</v>
      </c>
      <c r="C21" s="32" t="s">
        <v>167</v>
      </c>
      <c r="D21" s="32" t="s">
        <v>141</v>
      </c>
      <c r="E21" s="78" t="n">
        <f aca="false">SUMIFS(DRE_por_UN!$J:$J,DRE_por_UN!$C:$C,$C21,DRE_por_UN!$E:$E,$D21)</f>
        <v>19484.689</v>
      </c>
      <c r="F21" s="44" t="n">
        <f aca="false">VLOOKUP($D21,Premissas!$A$52:$P$56,16,0)</f>
        <v>40</v>
      </c>
      <c r="G21" s="33" t="n">
        <f aca="false">E21*F21/30</f>
        <v>25979.5853333333</v>
      </c>
      <c r="H21" s="33" t="n">
        <f aca="false">$G21*Premissas!$B$42</f>
        <v>18185.7097333333</v>
      </c>
      <c r="I21" s="33" t="n">
        <f aca="false">$G21*Premissas!$C$42</f>
        <v>3896.9378</v>
      </c>
      <c r="J21" s="33" t="n">
        <f aca="false">$G21*Premissas!$D$42</f>
        <v>2078.36682666667</v>
      </c>
      <c r="K21" s="33" t="n">
        <f aca="false">$G21*Premissas!$E$42</f>
        <v>1039.18341333333</v>
      </c>
      <c r="L21" s="33" t="n">
        <f aca="false">$G21*Premissas!$F$42</f>
        <v>779.38756</v>
      </c>
    </row>
    <row r="22" customFormat="false" ht="15" hidden="false" customHeight="true" outlineLevel="0" collapsed="false">
      <c r="A22" s="32" t="n">
        <v>2026</v>
      </c>
      <c r="B22" s="32" t="n">
        <v>9</v>
      </c>
      <c r="C22" s="32" t="s">
        <v>168</v>
      </c>
      <c r="D22" s="32" t="s">
        <v>141</v>
      </c>
      <c r="E22" s="78" t="n">
        <f aca="false">SUMIFS(DRE_por_UN!$J:$J,DRE_por_UN!$C:$C,$C22,DRE_por_UN!$E:$E,$D22)</f>
        <v>20214.936</v>
      </c>
      <c r="F22" s="44" t="n">
        <f aca="false">VLOOKUP($D22,Premissas!$A$52:$P$56,16,0)</f>
        <v>40</v>
      </c>
      <c r="G22" s="33" t="n">
        <f aca="false">E22*F22/30</f>
        <v>26953.248</v>
      </c>
      <c r="H22" s="33" t="n">
        <f aca="false">$G22*Premissas!$B$42</f>
        <v>18867.2736</v>
      </c>
      <c r="I22" s="33" t="n">
        <f aca="false">$G22*Premissas!$C$42</f>
        <v>4042.9872</v>
      </c>
      <c r="J22" s="33" t="n">
        <f aca="false">$G22*Premissas!$D$42</f>
        <v>2156.25984</v>
      </c>
      <c r="K22" s="33" t="n">
        <f aca="false">$G22*Premissas!$E$42</f>
        <v>1078.12992</v>
      </c>
      <c r="L22" s="33" t="n">
        <f aca="false">$G22*Premissas!$F$42</f>
        <v>808.59744</v>
      </c>
    </row>
    <row r="23" customFormat="false" ht="15" hidden="false" customHeight="true" outlineLevel="0" collapsed="false">
      <c r="A23" s="32" t="n">
        <v>2026</v>
      </c>
      <c r="B23" s="32" t="n">
        <v>10</v>
      </c>
      <c r="C23" s="32" t="s">
        <v>169</v>
      </c>
      <c r="D23" s="32" t="s">
        <v>141</v>
      </c>
      <c r="E23" s="78" t="n">
        <f aca="false">SUMIFS(DRE_por_UN!$J:$J,DRE_por_UN!$C:$C,$C23,DRE_por_UN!$E:$E,$D23)</f>
        <v>20250.531</v>
      </c>
      <c r="F23" s="44" t="n">
        <f aca="false">VLOOKUP($D23,Premissas!$A$52:$P$56,16,0)</f>
        <v>40</v>
      </c>
      <c r="G23" s="33" t="n">
        <f aca="false">E23*F23/30</f>
        <v>27000.708</v>
      </c>
      <c r="H23" s="33" t="n">
        <f aca="false">$G23*Premissas!$B$42</f>
        <v>18900.4956</v>
      </c>
      <c r="I23" s="33" t="n">
        <f aca="false">$G23*Premissas!$C$42</f>
        <v>4050.1062</v>
      </c>
      <c r="J23" s="33" t="n">
        <f aca="false">$G23*Premissas!$D$42</f>
        <v>2160.05664</v>
      </c>
      <c r="K23" s="33" t="n">
        <f aca="false">$G23*Premissas!$E$42</f>
        <v>1080.02832</v>
      </c>
      <c r="L23" s="33" t="n">
        <f aca="false">$G23*Premissas!$F$42</f>
        <v>810.02124</v>
      </c>
    </row>
    <row r="24" customFormat="false" ht="15" hidden="false" customHeight="true" outlineLevel="0" collapsed="false">
      <c r="A24" s="32" t="n">
        <v>2026</v>
      </c>
      <c r="B24" s="32" t="n">
        <v>11</v>
      </c>
      <c r="C24" s="32" t="s">
        <v>170</v>
      </c>
      <c r="D24" s="32" t="s">
        <v>141</v>
      </c>
      <c r="E24" s="78" t="n">
        <f aca="false">SUMIFS(DRE_por_UN!$J:$J,DRE_por_UN!$C:$C,$C24,DRE_por_UN!$E:$E,$D24)</f>
        <v>24006.304</v>
      </c>
      <c r="F24" s="44" t="n">
        <f aca="false">VLOOKUP($D24,Premissas!$A$52:$P$56,16,0)</f>
        <v>40</v>
      </c>
      <c r="G24" s="33" t="n">
        <f aca="false">E24*F24/30</f>
        <v>32008.4053333333</v>
      </c>
      <c r="H24" s="33" t="n">
        <f aca="false">$G24*Premissas!$B$42</f>
        <v>22405.8837333333</v>
      </c>
      <c r="I24" s="33" t="n">
        <f aca="false">$G24*Premissas!$C$42</f>
        <v>4801.2608</v>
      </c>
      <c r="J24" s="33" t="n">
        <f aca="false">$G24*Premissas!$D$42</f>
        <v>2560.67242666667</v>
      </c>
      <c r="K24" s="33" t="n">
        <f aca="false">$G24*Premissas!$E$42</f>
        <v>1280.33621333333</v>
      </c>
      <c r="L24" s="33" t="n">
        <f aca="false">$G24*Premissas!$F$42</f>
        <v>960.25216</v>
      </c>
    </row>
    <row r="25" customFormat="false" ht="15" hidden="false" customHeight="true" outlineLevel="0" collapsed="false">
      <c r="A25" s="32" t="n">
        <v>2026</v>
      </c>
      <c r="B25" s="32" t="n">
        <v>12</v>
      </c>
      <c r="C25" s="32" t="s">
        <v>171</v>
      </c>
      <c r="D25" s="32" t="s">
        <v>141</v>
      </c>
      <c r="E25" s="78" t="n">
        <f aca="false">SUMIFS(DRE_por_UN!$J:$J,DRE_por_UN!$C:$C,$C25,DRE_por_UN!$E:$E,$D25)</f>
        <v>23834.601</v>
      </c>
      <c r="F25" s="44" t="n">
        <f aca="false">VLOOKUP($D25,Premissas!$A$52:$P$56,16,0)</f>
        <v>40</v>
      </c>
      <c r="G25" s="33" t="n">
        <f aca="false">E25*F25/30</f>
        <v>31779.468</v>
      </c>
      <c r="H25" s="33" t="n">
        <f aca="false">$G25*Premissas!$B$42</f>
        <v>22245.6276</v>
      </c>
      <c r="I25" s="33" t="n">
        <f aca="false">$G25*Premissas!$C$42</f>
        <v>4766.9202</v>
      </c>
      <c r="J25" s="33" t="n">
        <f aca="false">$G25*Premissas!$D$42</f>
        <v>2542.35744</v>
      </c>
      <c r="K25" s="33" t="n">
        <f aca="false">$G25*Premissas!$E$42</f>
        <v>1271.17872</v>
      </c>
      <c r="L25" s="33" t="n">
        <f aca="false">$G25*Premissas!$F$42</f>
        <v>953.38404</v>
      </c>
    </row>
    <row r="26" customFormat="false" ht="15" hidden="false" customHeight="true" outlineLevel="0" collapsed="false">
      <c r="A26" s="32" t="n">
        <v>2027</v>
      </c>
      <c r="B26" s="32" t="n">
        <v>1</v>
      </c>
      <c r="C26" s="32" t="s">
        <v>172</v>
      </c>
      <c r="D26" s="32" t="s">
        <v>141</v>
      </c>
      <c r="E26" s="78" t="n">
        <f aca="false">SUMIFS(DRE_por_UN!$J:$J,DRE_por_UN!$C:$C,$C26,DRE_por_UN!$E:$E,$D26)</f>
        <v>15387.855373044</v>
      </c>
      <c r="F26" s="44" t="n">
        <f aca="false">VLOOKUP($D26,Premissas!$A$52:$P$56,16,0)</f>
        <v>40</v>
      </c>
      <c r="G26" s="33" t="n">
        <f aca="false">E26*F26/30</f>
        <v>20517.140497392</v>
      </c>
      <c r="H26" s="33" t="n">
        <f aca="false">$G26*Premissas!$B$42</f>
        <v>14361.9983481744</v>
      </c>
      <c r="I26" s="33" t="n">
        <f aca="false">$G26*Premissas!$C$42</f>
        <v>3077.5710746088</v>
      </c>
      <c r="J26" s="33" t="n">
        <f aca="false">$G26*Premissas!$D$42</f>
        <v>1641.37123979136</v>
      </c>
      <c r="K26" s="33" t="n">
        <f aca="false">$G26*Premissas!$E$42</f>
        <v>820.68561989568</v>
      </c>
      <c r="L26" s="33" t="n">
        <f aca="false">$G26*Premissas!$F$42</f>
        <v>615.51421492176</v>
      </c>
    </row>
    <row r="27" customFormat="false" ht="15" hidden="false" customHeight="true" outlineLevel="0" collapsed="false">
      <c r="A27" s="32" t="n">
        <v>2027</v>
      </c>
      <c r="B27" s="32" t="n">
        <v>2</v>
      </c>
      <c r="C27" s="32" t="s">
        <v>173</v>
      </c>
      <c r="D27" s="32" t="s">
        <v>141</v>
      </c>
      <c r="E27" s="78" t="n">
        <f aca="false">SUMIFS(DRE_por_UN!$J:$J,DRE_por_UN!$C:$C,$C27,DRE_por_UN!$E:$E,$D27)</f>
        <v>13192.484943204</v>
      </c>
      <c r="F27" s="44" t="n">
        <f aca="false">VLOOKUP($D27,Premissas!$A$52:$P$56,16,0)</f>
        <v>40</v>
      </c>
      <c r="G27" s="33" t="n">
        <f aca="false">E27*F27/30</f>
        <v>17589.979924272</v>
      </c>
      <c r="H27" s="33" t="n">
        <f aca="false">$G27*Premissas!$B$42</f>
        <v>12312.9859469904</v>
      </c>
      <c r="I27" s="33" t="n">
        <f aca="false">$G27*Premissas!$C$42</f>
        <v>2638.4969886408</v>
      </c>
      <c r="J27" s="33" t="n">
        <f aca="false">$G27*Premissas!$D$42</f>
        <v>1407.19839394176</v>
      </c>
      <c r="K27" s="33" t="n">
        <f aca="false">$G27*Premissas!$E$42</f>
        <v>703.59919697088</v>
      </c>
      <c r="L27" s="33" t="n">
        <f aca="false">$G27*Premissas!$F$42</f>
        <v>527.69939772816</v>
      </c>
    </row>
    <row r="28" customFormat="false" ht="15" hidden="false" customHeight="true" outlineLevel="0" collapsed="false">
      <c r="A28" s="32" t="n">
        <v>2027</v>
      </c>
      <c r="B28" s="32" t="n">
        <v>3</v>
      </c>
      <c r="C28" s="32" t="s">
        <v>174</v>
      </c>
      <c r="D28" s="32" t="s">
        <v>141</v>
      </c>
      <c r="E28" s="78" t="n">
        <f aca="false">SUMIFS(DRE_por_UN!$J:$J,DRE_por_UN!$C:$C,$C28,DRE_por_UN!$E:$E,$D28)</f>
        <v>19386.562544244</v>
      </c>
      <c r="F28" s="44" t="n">
        <f aca="false">VLOOKUP($D28,Premissas!$A$52:$P$56,16,0)</f>
        <v>40</v>
      </c>
      <c r="G28" s="33" t="n">
        <f aca="false">E28*F28/30</f>
        <v>25848.750058992</v>
      </c>
      <c r="H28" s="33" t="n">
        <f aca="false">$G28*Premissas!$B$42</f>
        <v>18094.1250412944</v>
      </c>
      <c r="I28" s="33" t="n">
        <f aca="false">$G28*Premissas!$C$42</f>
        <v>3877.3125088488</v>
      </c>
      <c r="J28" s="33" t="n">
        <f aca="false">$G28*Premissas!$D$42</f>
        <v>2067.90000471936</v>
      </c>
      <c r="K28" s="33" t="n">
        <f aca="false">$G28*Premissas!$E$42</f>
        <v>1033.95000235968</v>
      </c>
      <c r="L28" s="33" t="n">
        <f aca="false">$G28*Premissas!$F$42</f>
        <v>775.46250176976</v>
      </c>
    </row>
    <row r="29" customFormat="false" ht="15" hidden="false" customHeight="true" outlineLevel="0" collapsed="false">
      <c r="A29" s="32" t="n">
        <v>2027</v>
      </c>
      <c r="B29" s="32" t="n">
        <v>4</v>
      </c>
      <c r="C29" s="32" t="s">
        <v>175</v>
      </c>
      <c r="D29" s="32" t="s">
        <v>141</v>
      </c>
      <c r="E29" s="78" t="n">
        <f aca="false">SUMIFS(DRE_por_UN!$J:$J,DRE_por_UN!$C:$C,$C29,DRE_por_UN!$E:$E,$D29)</f>
        <v>14983.410018276</v>
      </c>
      <c r="F29" s="44" t="n">
        <f aca="false">VLOOKUP($D29,Premissas!$A$52:$P$56,16,0)</f>
        <v>40</v>
      </c>
      <c r="G29" s="33" t="n">
        <f aca="false">E29*F29/30</f>
        <v>19977.880024368</v>
      </c>
      <c r="H29" s="33" t="n">
        <f aca="false">$G29*Premissas!$B$42</f>
        <v>13984.5160170576</v>
      </c>
      <c r="I29" s="33" t="n">
        <f aca="false">$G29*Premissas!$C$42</f>
        <v>2996.6820036552</v>
      </c>
      <c r="J29" s="33" t="n">
        <f aca="false">$G29*Premissas!$D$42</f>
        <v>1598.23040194944</v>
      </c>
      <c r="K29" s="33" t="n">
        <f aca="false">$G29*Premissas!$E$42</f>
        <v>799.11520097472</v>
      </c>
      <c r="L29" s="33" t="n">
        <f aca="false">$G29*Premissas!$F$42</f>
        <v>599.33640073104</v>
      </c>
    </row>
    <row r="30" customFormat="false" ht="15" hidden="false" customHeight="true" outlineLevel="0" collapsed="false">
      <c r="A30" s="32" t="n">
        <v>2027</v>
      </c>
      <c r="B30" s="32" t="n">
        <v>5</v>
      </c>
      <c r="C30" s="32" t="s">
        <v>176</v>
      </c>
      <c r="D30" s="32" t="s">
        <v>141</v>
      </c>
      <c r="E30" s="78" t="n">
        <f aca="false">SUMIFS(DRE_por_UN!$J:$J,DRE_por_UN!$C:$C,$C30,DRE_por_UN!$E:$E,$D30)</f>
        <v>19345.504715712</v>
      </c>
      <c r="F30" s="44" t="n">
        <f aca="false">VLOOKUP($D30,Premissas!$A$52:$P$56,16,0)</f>
        <v>40</v>
      </c>
      <c r="G30" s="33" t="n">
        <f aca="false">E30*F30/30</f>
        <v>25794.006287616</v>
      </c>
      <c r="H30" s="33" t="n">
        <f aca="false">$G30*Premissas!$B$42</f>
        <v>18055.8044013312</v>
      </c>
      <c r="I30" s="33" t="n">
        <f aca="false">$G30*Premissas!$C$42</f>
        <v>3869.1009431424</v>
      </c>
      <c r="J30" s="33" t="n">
        <f aca="false">$G30*Premissas!$D$42</f>
        <v>2063.52050300928</v>
      </c>
      <c r="K30" s="33" t="n">
        <f aca="false">$G30*Premissas!$E$42</f>
        <v>1031.76025150464</v>
      </c>
      <c r="L30" s="33" t="n">
        <f aca="false">$G30*Premissas!$F$42</f>
        <v>773.82018862848</v>
      </c>
    </row>
    <row r="31" customFormat="false" ht="15" hidden="false" customHeight="true" outlineLevel="0" collapsed="false">
      <c r="A31" s="32" t="n">
        <v>2027</v>
      </c>
      <c r="B31" s="32" t="n">
        <v>6</v>
      </c>
      <c r="C31" s="32" t="s">
        <v>177</v>
      </c>
      <c r="D31" s="32" t="s">
        <v>141</v>
      </c>
      <c r="E31" s="78" t="n">
        <f aca="false">SUMIFS(DRE_por_UN!$J:$J,DRE_por_UN!$C:$C,$C31,DRE_por_UN!$E:$E,$D31)</f>
        <v>16518.893523804</v>
      </c>
      <c r="F31" s="44" t="n">
        <f aca="false">VLOOKUP($D31,Premissas!$A$52:$P$56,16,0)</f>
        <v>40</v>
      </c>
      <c r="G31" s="33" t="n">
        <f aca="false">E31*F31/30</f>
        <v>22025.191365072</v>
      </c>
      <c r="H31" s="33" t="n">
        <f aca="false">$G31*Premissas!$B$42</f>
        <v>15417.6339555504</v>
      </c>
      <c r="I31" s="33" t="n">
        <f aca="false">$G31*Premissas!$C$42</f>
        <v>3303.7787047608</v>
      </c>
      <c r="J31" s="33" t="n">
        <f aca="false">$G31*Premissas!$D$42</f>
        <v>1762.01530920576</v>
      </c>
      <c r="K31" s="33" t="n">
        <f aca="false">$G31*Premissas!$E$42</f>
        <v>881.00765460288</v>
      </c>
      <c r="L31" s="33" t="n">
        <f aca="false">$G31*Premissas!$F$42</f>
        <v>660.75574095216</v>
      </c>
    </row>
    <row r="32" customFormat="false" ht="15" hidden="false" customHeight="true" outlineLevel="0" collapsed="false">
      <c r="A32" s="32" t="n">
        <v>2027</v>
      </c>
      <c r="B32" s="32" t="n">
        <v>7</v>
      </c>
      <c r="C32" s="32" t="s">
        <v>178</v>
      </c>
      <c r="D32" s="32" t="s">
        <v>141</v>
      </c>
      <c r="E32" s="78" t="n">
        <f aca="false">SUMIFS(DRE_por_UN!$J:$J,DRE_por_UN!$C:$C,$C32,DRE_por_UN!$E:$E,$D32)</f>
        <v>23688.05696208</v>
      </c>
      <c r="F32" s="44" t="n">
        <f aca="false">VLOOKUP($D32,Premissas!$A$52:$P$56,16,0)</f>
        <v>40</v>
      </c>
      <c r="G32" s="33" t="n">
        <f aca="false">E32*F32/30</f>
        <v>31584.07594944</v>
      </c>
      <c r="H32" s="33" t="n">
        <f aca="false">$G32*Premissas!$B$42</f>
        <v>22108.853164608</v>
      </c>
      <c r="I32" s="33" t="n">
        <f aca="false">$G32*Premissas!$C$42</f>
        <v>4737.611392416</v>
      </c>
      <c r="J32" s="33" t="n">
        <f aca="false">$G32*Premissas!$D$42</f>
        <v>2526.7260759552</v>
      </c>
      <c r="K32" s="33" t="n">
        <f aca="false">$G32*Premissas!$E$42</f>
        <v>1263.3630379776</v>
      </c>
      <c r="L32" s="33" t="n">
        <f aca="false">$G32*Premissas!$F$42</f>
        <v>947.5222784832</v>
      </c>
    </row>
    <row r="33" customFormat="false" ht="15" hidden="false" customHeight="true" outlineLevel="0" collapsed="false">
      <c r="A33" s="32" t="n">
        <v>2027</v>
      </c>
      <c r="B33" s="32" t="n">
        <v>8</v>
      </c>
      <c r="C33" s="32" t="s">
        <v>179</v>
      </c>
      <c r="D33" s="32" t="s">
        <v>141</v>
      </c>
      <c r="E33" s="78" t="n">
        <f aca="false">SUMIFS(DRE_por_UN!$J:$J,DRE_por_UN!$C:$C,$C33,DRE_por_UN!$E:$E,$D33)</f>
        <v>21085.097253192</v>
      </c>
      <c r="F33" s="44" t="n">
        <f aca="false">VLOOKUP($D33,Premissas!$A$52:$P$56,16,0)</f>
        <v>40</v>
      </c>
      <c r="G33" s="33" t="n">
        <f aca="false">E33*F33/30</f>
        <v>28113.463004256</v>
      </c>
      <c r="H33" s="33" t="n">
        <f aca="false">$G33*Premissas!$B$42</f>
        <v>19679.4241029792</v>
      </c>
      <c r="I33" s="33" t="n">
        <f aca="false">$G33*Premissas!$C$42</f>
        <v>4217.0194506384</v>
      </c>
      <c r="J33" s="33" t="n">
        <f aca="false">$G33*Premissas!$D$42</f>
        <v>2249.07704034048</v>
      </c>
      <c r="K33" s="33" t="n">
        <f aca="false">$G33*Premissas!$E$42</f>
        <v>1124.53852017024</v>
      </c>
      <c r="L33" s="33" t="n">
        <f aca="false">$G33*Premissas!$F$42</f>
        <v>843.40389012768</v>
      </c>
    </row>
    <row r="34" customFormat="false" ht="15" hidden="false" customHeight="true" outlineLevel="0" collapsed="false">
      <c r="A34" s="32" t="n">
        <v>2027</v>
      </c>
      <c r="B34" s="32" t="n">
        <v>9</v>
      </c>
      <c r="C34" s="32" t="s">
        <v>180</v>
      </c>
      <c r="D34" s="32" t="s">
        <v>141</v>
      </c>
      <c r="E34" s="78" t="n">
        <f aca="false">SUMIFS(DRE_por_UN!$J:$J,DRE_por_UN!$C:$C,$C34,DRE_por_UN!$E:$E,$D34)</f>
        <v>21204.967340088</v>
      </c>
      <c r="F34" s="44" t="n">
        <f aca="false">VLOOKUP($D34,Premissas!$A$52:$P$56,16,0)</f>
        <v>40</v>
      </c>
      <c r="G34" s="33" t="n">
        <f aca="false">E34*F34/30</f>
        <v>28273.289786784</v>
      </c>
      <c r="H34" s="33" t="n">
        <f aca="false">$G34*Premissas!$B$42</f>
        <v>19791.3028507488</v>
      </c>
      <c r="I34" s="33" t="n">
        <f aca="false">$G34*Premissas!$C$42</f>
        <v>4240.9934680176</v>
      </c>
      <c r="J34" s="33" t="n">
        <f aca="false">$G34*Premissas!$D$42</f>
        <v>2261.86318294272</v>
      </c>
      <c r="K34" s="33" t="n">
        <f aca="false">$G34*Premissas!$E$42</f>
        <v>1130.93159147136</v>
      </c>
      <c r="L34" s="33" t="n">
        <f aca="false">$G34*Premissas!$F$42</f>
        <v>848.19869360352</v>
      </c>
    </row>
    <row r="35" customFormat="false" ht="15" hidden="false" customHeight="true" outlineLevel="0" collapsed="false">
      <c r="A35" s="32" t="n">
        <v>2027</v>
      </c>
      <c r="B35" s="32" t="n">
        <v>10</v>
      </c>
      <c r="C35" s="32" t="s">
        <v>181</v>
      </c>
      <c r="D35" s="32" t="s">
        <v>141</v>
      </c>
      <c r="E35" s="78" t="n">
        <f aca="false">SUMIFS(DRE_por_UN!$J:$J,DRE_por_UN!$C:$C,$C35,DRE_por_UN!$E:$E,$D35)</f>
        <v>21729.36935358</v>
      </c>
      <c r="F35" s="44" t="n">
        <f aca="false">VLOOKUP($D35,Premissas!$A$52:$P$56,16,0)</f>
        <v>40</v>
      </c>
      <c r="G35" s="33" t="n">
        <f aca="false">E35*F35/30</f>
        <v>28972.49247144</v>
      </c>
      <c r="H35" s="33" t="n">
        <f aca="false">$G35*Premissas!$B$42</f>
        <v>20280.744730008</v>
      </c>
      <c r="I35" s="33" t="n">
        <f aca="false">$G35*Premissas!$C$42</f>
        <v>4345.873870716</v>
      </c>
      <c r="J35" s="33" t="n">
        <f aca="false">$G35*Premissas!$D$42</f>
        <v>2317.7993977152</v>
      </c>
      <c r="K35" s="33" t="n">
        <f aca="false">$G35*Premissas!$E$42</f>
        <v>1158.8996988576</v>
      </c>
      <c r="L35" s="33" t="n">
        <f aca="false">$G35*Premissas!$F$42</f>
        <v>869.1747741432</v>
      </c>
    </row>
    <row r="36" customFormat="false" ht="15" hidden="false" customHeight="true" outlineLevel="0" collapsed="false">
      <c r="A36" s="32" t="n">
        <v>2027</v>
      </c>
      <c r="B36" s="32" t="n">
        <v>11</v>
      </c>
      <c r="C36" s="32" t="s">
        <v>182</v>
      </c>
      <c r="D36" s="32" t="s">
        <v>141</v>
      </c>
      <c r="E36" s="78" t="n">
        <f aca="false">SUMIFS(DRE_por_UN!$J:$J,DRE_por_UN!$C:$C,$C36,DRE_por_UN!$E:$E,$D36)</f>
        <v>25215.09287976</v>
      </c>
      <c r="F36" s="44" t="n">
        <f aca="false">VLOOKUP($D36,Premissas!$A$52:$P$56,16,0)</f>
        <v>40</v>
      </c>
      <c r="G36" s="33" t="n">
        <f aca="false">E36*F36/30</f>
        <v>33620.12383968</v>
      </c>
      <c r="H36" s="33" t="n">
        <f aca="false">$G36*Premissas!$B$42</f>
        <v>23534.086687776</v>
      </c>
      <c r="I36" s="33" t="n">
        <f aca="false">$G36*Premissas!$C$42</f>
        <v>5043.018575952</v>
      </c>
      <c r="J36" s="33" t="n">
        <f aca="false">$G36*Premissas!$D$42</f>
        <v>2689.6099071744</v>
      </c>
      <c r="K36" s="33" t="n">
        <f aca="false">$G36*Premissas!$E$42</f>
        <v>1344.8049535872</v>
      </c>
      <c r="L36" s="33" t="n">
        <f aca="false">$G36*Premissas!$F$42</f>
        <v>1008.6037151904</v>
      </c>
    </row>
    <row r="37" customFormat="false" ht="15" hidden="false" customHeight="true" outlineLevel="0" collapsed="false">
      <c r="A37" s="32" t="n">
        <v>2027</v>
      </c>
      <c r="B37" s="32" t="n">
        <v>12</v>
      </c>
      <c r="C37" s="32" t="s">
        <v>183</v>
      </c>
      <c r="D37" s="32" t="s">
        <v>141</v>
      </c>
      <c r="E37" s="78" t="n">
        <f aca="false">SUMIFS(DRE_por_UN!$J:$J,DRE_por_UN!$C:$C,$C37,DRE_por_UN!$E:$E,$D37)</f>
        <v>25639.695801216</v>
      </c>
      <c r="F37" s="44" t="n">
        <f aca="false">VLOOKUP($D37,Premissas!$A$52:$P$56,16,0)</f>
        <v>40</v>
      </c>
      <c r="G37" s="33" t="n">
        <f aca="false">E37*F37/30</f>
        <v>34186.261068288</v>
      </c>
      <c r="H37" s="33" t="n">
        <f aca="false">$G37*Premissas!$B$42</f>
        <v>23930.3827478016</v>
      </c>
      <c r="I37" s="33" t="n">
        <f aca="false">$G37*Premissas!$C$42</f>
        <v>5127.9391602432</v>
      </c>
      <c r="J37" s="33" t="n">
        <f aca="false">$G37*Premissas!$D$42</f>
        <v>2734.90088546304</v>
      </c>
      <c r="K37" s="33" t="n">
        <f aca="false">$G37*Premissas!$E$42</f>
        <v>1367.45044273152</v>
      </c>
      <c r="L37" s="33" t="n">
        <f aca="false">$G37*Premissas!$F$42</f>
        <v>1025.58783204864</v>
      </c>
    </row>
    <row r="38" customFormat="false" ht="15" hidden="false" customHeight="true" outlineLevel="0" collapsed="false">
      <c r="A38" s="32" t="n">
        <v>2025</v>
      </c>
      <c r="B38" s="32" t="n">
        <v>1</v>
      </c>
      <c r="C38" s="32" t="s">
        <v>148</v>
      </c>
      <c r="D38" s="32" t="s">
        <v>142</v>
      </c>
      <c r="E38" s="78" t="n">
        <f aca="false">SUMIFS(DRE_por_UN!$J:$J,DRE_por_UN!$C:$C,$C38,DRE_por_UN!$E:$E,$D38)</f>
        <v>25516.472</v>
      </c>
      <c r="F38" s="44" t="n">
        <f aca="false">VLOOKUP($D38,Premissas!$A$52:$P$56,16,0)</f>
        <v>45</v>
      </c>
      <c r="G38" s="33" t="n">
        <f aca="false">E38*F38/30</f>
        <v>38274.708</v>
      </c>
      <c r="H38" s="33" t="n">
        <f aca="false">$G38*Premissas!$B$42</f>
        <v>26792.2956</v>
      </c>
      <c r="I38" s="33" t="n">
        <f aca="false">$G38*Premissas!$C$42</f>
        <v>5741.2062</v>
      </c>
      <c r="J38" s="33" t="n">
        <f aca="false">$G38*Premissas!$D$42</f>
        <v>3061.97664</v>
      </c>
      <c r="K38" s="33" t="n">
        <f aca="false">$G38*Premissas!$E$42</f>
        <v>1530.98832</v>
      </c>
      <c r="L38" s="33" t="n">
        <f aca="false">$G38*Premissas!$F$42</f>
        <v>1148.24124</v>
      </c>
    </row>
    <row r="39" customFormat="false" ht="15" hidden="false" customHeight="true" outlineLevel="0" collapsed="false">
      <c r="A39" s="32" t="n">
        <v>2025</v>
      </c>
      <c r="B39" s="32" t="n">
        <v>2</v>
      </c>
      <c r="C39" s="32" t="s">
        <v>149</v>
      </c>
      <c r="D39" s="32" t="s">
        <v>142</v>
      </c>
      <c r="E39" s="78" t="n">
        <f aca="false">SUMIFS(DRE_por_UN!$J:$J,DRE_por_UN!$C:$C,$C39,DRE_por_UN!$E:$E,$D39)</f>
        <v>25534.3528</v>
      </c>
      <c r="F39" s="44" t="n">
        <f aca="false">VLOOKUP($D39,Premissas!$A$52:$P$56,16,0)</f>
        <v>45</v>
      </c>
      <c r="G39" s="33" t="n">
        <f aca="false">E39*F39/30</f>
        <v>38301.5292</v>
      </c>
      <c r="H39" s="33" t="n">
        <f aca="false">$G39*Premissas!$B$42</f>
        <v>26811.07044</v>
      </c>
      <c r="I39" s="33" t="n">
        <f aca="false">$G39*Premissas!$C$42</f>
        <v>5745.22938</v>
      </c>
      <c r="J39" s="33" t="n">
        <f aca="false">$G39*Premissas!$D$42</f>
        <v>3064.122336</v>
      </c>
      <c r="K39" s="33" t="n">
        <f aca="false">$G39*Premissas!$E$42</f>
        <v>1532.061168</v>
      </c>
      <c r="L39" s="33" t="n">
        <f aca="false">$G39*Premissas!$F$42</f>
        <v>1149.045876</v>
      </c>
    </row>
    <row r="40" customFormat="false" ht="15" hidden="false" customHeight="true" outlineLevel="0" collapsed="false">
      <c r="A40" s="32" t="n">
        <v>2025</v>
      </c>
      <c r="B40" s="32" t="n">
        <v>3</v>
      </c>
      <c r="C40" s="32" t="s">
        <v>150</v>
      </c>
      <c r="D40" s="32" t="s">
        <v>142</v>
      </c>
      <c r="E40" s="78" t="n">
        <f aca="false">SUMIFS(DRE_por_UN!$J:$J,DRE_por_UN!$C:$C,$C40,DRE_por_UN!$E:$E,$D40)</f>
        <v>25326.473</v>
      </c>
      <c r="F40" s="44" t="n">
        <f aca="false">VLOOKUP($D40,Premissas!$A$52:$P$56,16,0)</f>
        <v>45</v>
      </c>
      <c r="G40" s="33" t="n">
        <f aca="false">E40*F40/30</f>
        <v>37989.7095</v>
      </c>
      <c r="H40" s="33" t="n">
        <f aca="false">$G40*Premissas!$B$42</f>
        <v>26592.79665</v>
      </c>
      <c r="I40" s="33" t="n">
        <f aca="false">$G40*Premissas!$C$42</f>
        <v>5698.456425</v>
      </c>
      <c r="J40" s="33" t="n">
        <f aca="false">$G40*Premissas!$D$42</f>
        <v>3039.17676</v>
      </c>
      <c r="K40" s="33" t="n">
        <f aca="false">$G40*Premissas!$E$42</f>
        <v>1519.58838</v>
      </c>
      <c r="L40" s="33" t="n">
        <f aca="false">$G40*Premissas!$F$42</f>
        <v>1139.691285</v>
      </c>
    </row>
    <row r="41" customFormat="false" ht="15" hidden="false" customHeight="true" outlineLevel="0" collapsed="false">
      <c r="A41" s="32" t="n">
        <v>2025</v>
      </c>
      <c r="B41" s="32" t="n">
        <v>4</v>
      </c>
      <c r="C41" s="32" t="s">
        <v>151</v>
      </c>
      <c r="D41" s="32" t="s">
        <v>142</v>
      </c>
      <c r="E41" s="78" t="n">
        <f aca="false">SUMIFS(DRE_por_UN!$J:$J,DRE_por_UN!$C:$C,$C41,DRE_por_UN!$E:$E,$D41)</f>
        <v>29760.2542</v>
      </c>
      <c r="F41" s="44" t="n">
        <f aca="false">VLOOKUP($D41,Premissas!$A$52:$P$56,16,0)</f>
        <v>45</v>
      </c>
      <c r="G41" s="33" t="n">
        <f aca="false">E41*F41/30</f>
        <v>44640.3813</v>
      </c>
      <c r="H41" s="33" t="n">
        <f aca="false">$G41*Premissas!$B$42</f>
        <v>31248.26691</v>
      </c>
      <c r="I41" s="33" t="n">
        <f aca="false">$G41*Premissas!$C$42</f>
        <v>6696.057195</v>
      </c>
      <c r="J41" s="33" t="n">
        <f aca="false">$G41*Premissas!$D$42</f>
        <v>3571.230504</v>
      </c>
      <c r="K41" s="33" t="n">
        <f aca="false">$G41*Premissas!$E$42</f>
        <v>1785.615252</v>
      </c>
      <c r="L41" s="33" t="n">
        <f aca="false">$G41*Premissas!$F$42</f>
        <v>1339.211439</v>
      </c>
    </row>
    <row r="42" customFormat="false" ht="15" hidden="false" customHeight="true" outlineLevel="0" collapsed="false">
      <c r="A42" s="32" t="n">
        <v>2025</v>
      </c>
      <c r="B42" s="32" t="n">
        <v>5</v>
      </c>
      <c r="C42" s="32" t="s">
        <v>152</v>
      </c>
      <c r="D42" s="32" t="s">
        <v>142</v>
      </c>
      <c r="E42" s="78" t="n">
        <f aca="false">SUMIFS(DRE_por_UN!$J:$J,DRE_por_UN!$C:$C,$C42,DRE_por_UN!$E:$E,$D42)</f>
        <v>27843.3072</v>
      </c>
      <c r="F42" s="44" t="n">
        <f aca="false">VLOOKUP($D42,Premissas!$A$52:$P$56,16,0)</f>
        <v>45</v>
      </c>
      <c r="G42" s="33" t="n">
        <f aca="false">E42*F42/30</f>
        <v>41764.9608</v>
      </c>
      <c r="H42" s="33" t="n">
        <f aca="false">$G42*Premissas!$B$42</f>
        <v>29235.47256</v>
      </c>
      <c r="I42" s="33" t="n">
        <f aca="false">$G42*Premissas!$C$42</f>
        <v>6264.74412</v>
      </c>
      <c r="J42" s="33" t="n">
        <f aca="false">$G42*Premissas!$D$42</f>
        <v>3341.196864</v>
      </c>
      <c r="K42" s="33" t="n">
        <f aca="false">$G42*Premissas!$E$42</f>
        <v>1670.598432</v>
      </c>
      <c r="L42" s="33" t="n">
        <f aca="false">$G42*Premissas!$F$42</f>
        <v>1252.948824</v>
      </c>
    </row>
    <row r="43" customFormat="false" ht="15" hidden="false" customHeight="true" outlineLevel="0" collapsed="false">
      <c r="A43" s="32" t="n">
        <v>2025</v>
      </c>
      <c r="B43" s="32" t="n">
        <v>6</v>
      </c>
      <c r="C43" s="32" t="s">
        <v>153</v>
      </c>
      <c r="D43" s="32" t="s">
        <v>142</v>
      </c>
      <c r="E43" s="78" t="n">
        <f aca="false">SUMIFS(DRE_por_UN!$J:$J,DRE_por_UN!$C:$C,$C43,DRE_por_UN!$E:$E,$D43)</f>
        <v>38710.5804</v>
      </c>
      <c r="F43" s="44" t="n">
        <f aca="false">VLOOKUP($D43,Premissas!$A$52:$P$56,16,0)</f>
        <v>45</v>
      </c>
      <c r="G43" s="33" t="n">
        <f aca="false">E43*F43/30</f>
        <v>58065.8706</v>
      </c>
      <c r="H43" s="33" t="n">
        <f aca="false">$G43*Premissas!$B$42</f>
        <v>40646.10942</v>
      </c>
      <c r="I43" s="33" t="n">
        <f aca="false">$G43*Premissas!$C$42</f>
        <v>8709.88059</v>
      </c>
      <c r="J43" s="33" t="n">
        <f aca="false">$G43*Premissas!$D$42</f>
        <v>4645.269648</v>
      </c>
      <c r="K43" s="33" t="n">
        <f aca="false">$G43*Premissas!$E$42</f>
        <v>2322.634824</v>
      </c>
      <c r="L43" s="33" t="n">
        <f aca="false">$G43*Premissas!$F$42</f>
        <v>1741.976118</v>
      </c>
    </row>
    <row r="44" customFormat="false" ht="15" hidden="false" customHeight="true" outlineLevel="0" collapsed="false">
      <c r="A44" s="32" t="n">
        <v>2025</v>
      </c>
      <c r="B44" s="32" t="n">
        <v>7</v>
      </c>
      <c r="C44" s="32" t="s">
        <v>154</v>
      </c>
      <c r="D44" s="32" t="s">
        <v>142</v>
      </c>
      <c r="E44" s="78" t="n">
        <f aca="false">SUMIFS(DRE_por_UN!$J:$J,DRE_por_UN!$C:$C,$C44,DRE_por_UN!$E:$E,$D44)</f>
        <v>35106.7622</v>
      </c>
      <c r="F44" s="44" t="n">
        <f aca="false">VLOOKUP($D44,Premissas!$A$52:$P$56,16,0)</f>
        <v>45</v>
      </c>
      <c r="G44" s="33" t="n">
        <f aca="false">E44*F44/30</f>
        <v>52660.1433</v>
      </c>
      <c r="H44" s="33" t="n">
        <f aca="false">$G44*Premissas!$B$42</f>
        <v>36862.10031</v>
      </c>
      <c r="I44" s="33" t="n">
        <f aca="false">$G44*Premissas!$C$42</f>
        <v>7899.021495</v>
      </c>
      <c r="J44" s="33" t="n">
        <f aca="false">$G44*Premissas!$D$42</f>
        <v>4212.811464</v>
      </c>
      <c r="K44" s="33" t="n">
        <f aca="false">$G44*Premissas!$E$42</f>
        <v>2106.405732</v>
      </c>
      <c r="L44" s="33" t="n">
        <f aca="false">$G44*Premissas!$F$42</f>
        <v>1579.804299</v>
      </c>
    </row>
    <row r="45" customFormat="false" ht="15" hidden="false" customHeight="true" outlineLevel="0" collapsed="false">
      <c r="A45" s="32" t="n">
        <v>2025</v>
      </c>
      <c r="B45" s="32" t="n">
        <v>8</v>
      </c>
      <c r="C45" s="32" t="s">
        <v>155</v>
      </c>
      <c r="D45" s="32" t="s">
        <v>142</v>
      </c>
      <c r="E45" s="78" t="n">
        <f aca="false">SUMIFS(DRE_por_UN!$J:$J,DRE_por_UN!$C:$C,$C45,DRE_por_UN!$E:$E,$D45)</f>
        <v>30608.3894</v>
      </c>
      <c r="F45" s="44" t="n">
        <f aca="false">VLOOKUP($D45,Premissas!$A$52:$P$56,16,0)</f>
        <v>45</v>
      </c>
      <c r="G45" s="33" t="n">
        <f aca="false">E45*F45/30</f>
        <v>45912.5841</v>
      </c>
      <c r="H45" s="33" t="n">
        <f aca="false">$G45*Premissas!$B$42</f>
        <v>32138.80887</v>
      </c>
      <c r="I45" s="33" t="n">
        <f aca="false">$G45*Premissas!$C$42</f>
        <v>6886.887615</v>
      </c>
      <c r="J45" s="33" t="n">
        <f aca="false">$G45*Premissas!$D$42</f>
        <v>3673.006728</v>
      </c>
      <c r="K45" s="33" t="n">
        <f aca="false">$G45*Premissas!$E$42</f>
        <v>1836.503364</v>
      </c>
      <c r="L45" s="33" t="n">
        <f aca="false">$G45*Premissas!$F$42</f>
        <v>1377.377523</v>
      </c>
    </row>
    <row r="46" customFormat="false" ht="15" hidden="false" customHeight="true" outlineLevel="0" collapsed="false">
      <c r="A46" s="32" t="n">
        <v>2025</v>
      </c>
      <c r="B46" s="32" t="n">
        <v>9</v>
      </c>
      <c r="C46" s="32" t="s">
        <v>156</v>
      </c>
      <c r="D46" s="32" t="s">
        <v>142</v>
      </c>
      <c r="E46" s="78" t="n">
        <f aca="false">SUMIFS(DRE_por_UN!$J:$J,DRE_por_UN!$C:$C,$C46,DRE_por_UN!$E:$E,$D46)</f>
        <v>28250.1512</v>
      </c>
      <c r="F46" s="44" t="n">
        <f aca="false">VLOOKUP($D46,Premissas!$A$52:$P$56,16,0)</f>
        <v>45</v>
      </c>
      <c r="G46" s="33" t="n">
        <f aca="false">E46*F46/30</f>
        <v>42375.2268</v>
      </c>
      <c r="H46" s="33" t="n">
        <f aca="false">$G46*Premissas!$B$42</f>
        <v>29662.65876</v>
      </c>
      <c r="I46" s="33" t="n">
        <f aca="false">$G46*Premissas!$C$42</f>
        <v>6356.28402</v>
      </c>
      <c r="J46" s="33" t="n">
        <f aca="false">$G46*Premissas!$D$42</f>
        <v>3390.018144</v>
      </c>
      <c r="K46" s="33" t="n">
        <f aca="false">$G46*Premissas!$E$42</f>
        <v>1695.009072</v>
      </c>
      <c r="L46" s="33" t="n">
        <f aca="false">$G46*Premissas!$F$42</f>
        <v>1271.256804</v>
      </c>
    </row>
    <row r="47" customFormat="false" ht="15" hidden="false" customHeight="true" outlineLevel="0" collapsed="false">
      <c r="A47" s="32" t="n">
        <v>2025</v>
      </c>
      <c r="B47" s="32" t="n">
        <v>10</v>
      </c>
      <c r="C47" s="32" t="s">
        <v>157</v>
      </c>
      <c r="D47" s="32" t="s">
        <v>142</v>
      </c>
      <c r="E47" s="78" t="n">
        <f aca="false">SUMIFS(DRE_por_UN!$J:$J,DRE_por_UN!$C:$C,$C47,DRE_por_UN!$E:$E,$D47)</f>
        <v>29020.6004</v>
      </c>
      <c r="F47" s="44" t="n">
        <f aca="false">VLOOKUP($D47,Premissas!$A$52:$P$56,16,0)</f>
        <v>45</v>
      </c>
      <c r="G47" s="33" t="n">
        <f aca="false">E47*F47/30</f>
        <v>43530.9006</v>
      </c>
      <c r="H47" s="33" t="n">
        <f aca="false">$G47*Premissas!$B$42</f>
        <v>30471.63042</v>
      </c>
      <c r="I47" s="33" t="n">
        <f aca="false">$G47*Premissas!$C$42</f>
        <v>6529.63509</v>
      </c>
      <c r="J47" s="33" t="n">
        <f aca="false">$G47*Premissas!$D$42</f>
        <v>3482.472048</v>
      </c>
      <c r="K47" s="33" t="n">
        <f aca="false">$G47*Premissas!$E$42</f>
        <v>1741.236024</v>
      </c>
      <c r="L47" s="33" t="n">
        <f aca="false">$G47*Premissas!$F$42</f>
        <v>1305.927018</v>
      </c>
    </row>
    <row r="48" customFormat="false" ht="15" hidden="false" customHeight="true" outlineLevel="0" collapsed="false">
      <c r="A48" s="32" t="n">
        <v>2025</v>
      </c>
      <c r="B48" s="32" t="n">
        <v>11</v>
      </c>
      <c r="C48" s="32" t="s">
        <v>158</v>
      </c>
      <c r="D48" s="32" t="s">
        <v>142</v>
      </c>
      <c r="E48" s="78" t="n">
        <f aca="false">SUMIFS(DRE_por_UN!$J:$J,DRE_por_UN!$C:$C,$C48,DRE_por_UN!$E:$E,$D48)</f>
        <v>36682.2752</v>
      </c>
      <c r="F48" s="44" t="n">
        <f aca="false">VLOOKUP($D48,Premissas!$A$52:$P$56,16,0)</f>
        <v>45</v>
      </c>
      <c r="G48" s="33" t="n">
        <f aca="false">E48*F48/30</f>
        <v>55023.4128</v>
      </c>
      <c r="H48" s="33" t="n">
        <f aca="false">$G48*Premissas!$B$42</f>
        <v>38516.38896</v>
      </c>
      <c r="I48" s="33" t="n">
        <f aca="false">$G48*Premissas!$C$42</f>
        <v>8253.51192</v>
      </c>
      <c r="J48" s="33" t="n">
        <f aca="false">$G48*Premissas!$D$42</f>
        <v>4401.873024</v>
      </c>
      <c r="K48" s="33" t="n">
        <f aca="false">$G48*Premissas!$E$42</f>
        <v>2200.936512</v>
      </c>
      <c r="L48" s="33" t="n">
        <f aca="false">$G48*Premissas!$F$42</f>
        <v>1650.702384</v>
      </c>
    </row>
    <row r="49" customFormat="false" ht="15" hidden="false" customHeight="true" outlineLevel="0" collapsed="false">
      <c r="A49" s="32" t="n">
        <v>2025</v>
      </c>
      <c r="B49" s="32" t="n">
        <v>12</v>
      </c>
      <c r="C49" s="32" t="s">
        <v>159</v>
      </c>
      <c r="D49" s="32" t="s">
        <v>142</v>
      </c>
      <c r="E49" s="78" t="n">
        <f aca="false">SUMIFS(DRE_por_UN!$J:$J,DRE_por_UN!$C:$C,$C49,DRE_por_UN!$E:$E,$D49)</f>
        <v>41058.2972</v>
      </c>
      <c r="F49" s="44" t="n">
        <f aca="false">VLOOKUP($D49,Premissas!$A$52:$P$56,16,0)</f>
        <v>45</v>
      </c>
      <c r="G49" s="33" t="n">
        <f aca="false">E49*F49/30</f>
        <v>61587.4458</v>
      </c>
      <c r="H49" s="33" t="n">
        <f aca="false">$G49*Premissas!$B$42</f>
        <v>43111.21206</v>
      </c>
      <c r="I49" s="33" t="n">
        <f aca="false">$G49*Premissas!$C$42</f>
        <v>9238.11687</v>
      </c>
      <c r="J49" s="33" t="n">
        <f aca="false">$G49*Premissas!$D$42</f>
        <v>4926.995664</v>
      </c>
      <c r="K49" s="33" t="n">
        <f aca="false">$G49*Premissas!$E$42</f>
        <v>2463.497832</v>
      </c>
      <c r="L49" s="33" t="n">
        <f aca="false">$G49*Premissas!$F$42</f>
        <v>1847.623374</v>
      </c>
    </row>
    <row r="50" customFormat="false" ht="15" hidden="false" customHeight="true" outlineLevel="0" collapsed="false">
      <c r="A50" s="32" t="n">
        <v>2026</v>
      </c>
      <c r="B50" s="32" t="n">
        <v>1</v>
      </c>
      <c r="C50" s="32" t="s">
        <v>160</v>
      </c>
      <c r="D50" s="32" t="s">
        <v>142</v>
      </c>
      <c r="E50" s="78" t="n">
        <f aca="false">SUMIFS(DRE_por_UN!$J:$J,DRE_por_UN!$C:$C,$C50,DRE_por_UN!$E:$E,$D50)</f>
        <v>27584.7462</v>
      </c>
      <c r="F50" s="44" t="n">
        <f aca="false">VLOOKUP($D50,Premissas!$A$52:$P$56,16,0)</f>
        <v>45</v>
      </c>
      <c r="G50" s="33" t="n">
        <f aca="false">E50*F50/30</f>
        <v>41377.1193</v>
      </c>
      <c r="H50" s="33" t="n">
        <f aca="false">$G50*Premissas!$B$42</f>
        <v>28963.98351</v>
      </c>
      <c r="I50" s="33" t="n">
        <f aca="false">$G50*Premissas!$C$42</f>
        <v>6206.567895</v>
      </c>
      <c r="J50" s="33" t="n">
        <f aca="false">$G50*Premissas!$D$42</f>
        <v>3310.169544</v>
      </c>
      <c r="K50" s="33" t="n">
        <f aca="false">$G50*Premissas!$E$42</f>
        <v>1655.084772</v>
      </c>
      <c r="L50" s="33" t="n">
        <f aca="false">$G50*Premissas!$F$42</f>
        <v>1241.313579</v>
      </c>
    </row>
    <row r="51" customFormat="false" ht="15" hidden="false" customHeight="true" outlineLevel="0" collapsed="false">
      <c r="A51" s="32" t="n">
        <v>2026</v>
      </c>
      <c r="B51" s="32" t="n">
        <v>2</v>
      </c>
      <c r="C51" s="32" t="s">
        <v>161</v>
      </c>
      <c r="D51" s="32" t="s">
        <v>142</v>
      </c>
      <c r="E51" s="78" t="n">
        <f aca="false">SUMIFS(DRE_por_UN!$J:$J,DRE_por_UN!$C:$C,$C51,DRE_por_UN!$E:$E,$D51)</f>
        <v>21296.9394</v>
      </c>
      <c r="F51" s="44" t="n">
        <f aca="false">VLOOKUP($D51,Premissas!$A$52:$P$56,16,0)</f>
        <v>45</v>
      </c>
      <c r="G51" s="33" t="n">
        <f aca="false">E51*F51/30</f>
        <v>31945.4091</v>
      </c>
      <c r="H51" s="33" t="n">
        <f aca="false">$G51*Premissas!$B$42</f>
        <v>22361.78637</v>
      </c>
      <c r="I51" s="33" t="n">
        <f aca="false">$G51*Premissas!$C$42</f>
        <v>4791.811365</v>
      </c>
      <c r="J51" s="33" t="n">
        <f aca="false">$G51*Premissas!$D$42</f>
        <v>2555.632728</v>
      </c>
      <c r="K51" s="33" t="n">
        <f aca="false">$G51*Premissas!$E$42</f>
        <v>1277.816364</v>
      </c>
      <c r="L51" s="33" t="n">
        <f aca="false">$G51*Premissas!$F$42</f>
        <v>958.362273</v>
      </c>
    </row>
    <row r="52" customFormat="false" ht="15" hidden="false" customHeight="true" outlineLevel="0" collapsed="false">
      <c r="A52" s="32" t="n">
        <v>2026</v>
      </c>
      <c r="B52" s="32" t="n">
        <v>3</v>
      </c>
      <c r="C52" s="32" t="s">
        <v>162</v>
      </c>
      <c r="D52" s="32" t="s">
        <v>142</v>
      </c>
      <c r="E52" s="78" t="n">
        <f aca="false">SUMIFS(DRE_por_UN!$J:$J,DRE_por_UN!$C:$C,$C52,DRE_por_UN!$E:$E,$D52)</f>
        <v>35530.5588</v>
      </c>
      <c r="F52" s="44" t="n">
        <f aca="false">VLOOKUP($D52,Premissas!$A$52:$P$56,16,0)</f>
        <v>45</v>
      </c>
      <c r="G52" s="33" t="n">
        <f aca="false">E52*F52/30</f>
        <v>53295.8382</v>
      </c>
      <c r="H52" s="33" t="n">
        <f aca="false">$G52*Premissas!$B$42</f>
        <v>37307.08674</v>
      </c>
      <c r="I52" s="33" t="n">
        <f aca="false">$G52*Premissas!$C$42</f>
        <v>7994.37573</v>
      </c>
      <c r="J52" s="33" t="n">
        <f aca="false">$G52*Premissas!$D$42</f>
        <v>4263.667056</v>
      </c>
      <c r="K52" s="33" t="n">
        <f aca="false">$G52*Premissas!$E$42</f>
        <v>2131.833528</v>
      </c>
      <c r="L52" s="33" t="n">
        <f aca="false">$G52*Premissas!$F$42</f>
        <v>1598.875146</v>
      </c>
    </row>
    <row r="53" customFormat="false" ht="15" hidden="false" customHeight="true" outlineLevel="0" collapsed="false">
      <c r="A53" s="32" t="n">
        <v>2026</v>
      </c>
      <c r="B53" s="32" t="n">
        <v>4</v>
      </c>
      <c r="C53" s="32" t="s">
        <v>163</v>
      </c>
      <c r="D53" s="32" t="s">
        <v>142</v>
      </c>
      <c r="E53" s="78" t="n">
        <f aca="false">SUMIFS(DRE_por_UN!$J:$J,DRE_por_UN!$C:$C,$C53,DRE_por_UN!$E:$E,$D53)</f>
        <v>23347.3284</v>
      </c>
      <c r="F53" s="44" t="n">
        <f aca="false">VLOOKUP($D53,Premissas!$A$52:$P$56,16,0)</f>
        <v>45</v>
      </c>
      <c r="G53" s="33" t="n">
        <f aca="false">E53*F53/30</f>
        <v>35020.9926</v>
      </c>
      <c r="H53" s="33" t="n">
        <f aca="false">$G53*Premissas!$B$42</f>
        <v>24514.69482</v>
      </c>
      <c r="I53" s="33" t="n">
        <f aca="false">$G53*Premissas!$C$42</f>
        <v>5253.14889</v>
      </c>
      <c r="J53" s="33" t="n">
        <f aca="false">$G53*Premissas!$D$42</f>
        <v>2801.679408</v>
      </c>
      <c r="K53" s="33" t="n">
        <f aca="false">$G53*Premissas!$E$42</f>
        <v>1400.839704</v>
      </c>
      <c r="L53" s="33" t="n">
        <f aca="false">$G53*Premissas!$F$42</f>
        <v>1050.629778</v>
      </c>
    </row>
    <row r="54" customFormat="false" ht="15" hidden="false" customHeight="true" outlineLevel="0" collapsed="false">
      <c r="A54" s="32" t="n">
        <v>2026</v>
      </c>
      <c r="B54" s="32" t="n">
        <v>5</v>
      </c>
      <c r="C54" s="32" t="s">
        <v>164</v>
      </c>
      <c r="D54" s="32" t="s">
        <v>142</v>
      </c>
      <c r="E54" s="78" t="n">
        <f aca="false">SUMIFS(DRE_por_UN!$J:$J,DRE_por_UN!$C:$C,$C54,DRE_por_UN!$E:$E,$D54)</f>
        <v>34821.1248</v>
      </c>
      <c r="F54" s="44" t="n">
        <f aca="false">VLOOKUP($D54,Premissas!$A$52:$P$56,16,0)</f>
        <v>45</v>
      </c>
      <c r="G54" s="33" t="n">
        <f aca="false">E54*F54/30</f>
        <v>52231.6872</v>
      </c>
      <c r="H54" s="33" t="n">
        <f aca="false">$G54*Premissas!$B$42</f>
        <v>36562.18104</v>
      </c>
      <c r="I54" s="33" t="n">
        <f aca="false">$G54*Premissas!$C$42</f>
        <v>7834.75308</v>
      </c>
      <c r="J54" s="33" t="n">
        <f aca="false">$G54*Premissas!$D$42</f>
        <v>4178.534976</v>
      </c>
      <c r="K54" s="33" t="n">
        <f aca="false">$G54*Premissas!$E$42</f>
        <v>2089.267488</v>
      </c>
      <c r="L54" s="33" t="n">
        <f aca="false">$G54*Premissas!$F$42</f>
        <v>1566.950616</v>
      </c>
    </row>
    <row r="55" customFormat="false" ht="15" hidden="false" customHeight="true" outlineLevel="0" collapsed="false">
      <c r="A55" s="32" t="n">
        <v>2026</v>
      </c>
      <c r="B55" s="32" t="n">
        <v>6</v>
      </c>
      <c r="C55" s="32" t="s">
        <v>165</v>
      </c>
      <c r="D55" s="32" t="s">
        <v>142</v>
      </c>
      <c r="E55" s="78" t="n">
        <f aca="false">SUMIFS(DRE_por_UN!$J:$J,DRE_por_UN!$C:$C,$C55,DRE_por_UN!$E:$E,$D55)</f>
        <v>33493.6932</v>
      </c>
      <c r="F55" s="44" t="n">
        <f aca="false">VLOOKUP($D55,Premissas!$A$52:$P$56,16,0)</f>
        <v>45</v>
      </c>
      <c r="G55" s="33" t="n">
        <f aca="false">E55*F55/30</f>
        <v>50240.5398</v>
      </c>
      <c r="H55" s="33" t="n">
        <f aca="false">$G55*Premissas!$B$42</f>
        <v>35168.37786</v>
      </c>
      <c r="I55" s="33" t="n">
        <f aca="false">$G55*Premissas!$C$42</f>
        <v>7536.08097</v>
      </c>
      <c r="J55" s="33" t="n">
        <f aca="false">$G55*Premissas!$D$42</f>
        <v>4019.243184</v>
      </c>
      <c r="K55" s="33" t="n">
        <f aca="false">$G55*Premissas!$E$42</f>
        <v>2009.621592</v>
      </c>
      <c r="L55" s="33" t="n">
        <f aca="false">$G55*Premissas!$F$42</f>
        <v>1507.216194</v>
      </c>
    </row>
    <row r="56" customFormat="false" ht="15" hidden="false" customHeight="true" outlineLevel="0" collapsed="false">
      <c r="A56" s="32" t="n">
        <v>2026</v>
      </c>
      <c r="B56" s="32" t="n">
        <v>7</v>
      </c>
      <c r="C56" s="32" t="s">
        <v>166</v>
      </c>
      <c r="D56" s="32" t="s">
        <v>142</v>
      </c>
      <c r="E56" s="78" t="n">
        <f aca="false">SUMIFS(DRE_por_UN!$J:$J,DRE_por_UN!$C:$C,$C56,DRE_por_UN!$E:$E,$D56)</f>
        <v>37084.3704</v>
      </c>
      <c r="F56" s="44" t="n">
        <f aca="false">VLOOKUP($D56,Premissas!$A$52:$P$56,16,0)</f>
        <v>45</v>
      </c>
      <c r="G56" s="33" t="n">
        <f aca="false">E56*F56/30</f>
        <v>55626.5556</v>
      </c>
      <c r="H56" s="33" t="n">
        <f aca="false">$G56*Premissas!$B$42</f>
        <v>38938.58892</v>
      </c>
      <c r="I56" s="33" t="n">
        <f aca="false">$G56*Premissas!$C$42</f>
        <v>8343.98334</v>
      </c>
      <c r="J56" s="33" t="n">
        <f aca="false">$G56*Premissas!$D$42</f>
        <v>4450.124448</v>
      </c>
      <c r="K56" s="33" t="n">
        <f aca="false">$G56*Premissas!$E$42</f>
        <v>2225.062224</v>
      </c>
      <c r="L56" s="33" t="n">
        <f aca="false">$G56*Premissas!$F$42</f>
        <v>1668.796668</v>
      </c>
    </row>
    <row r="57" customFormat="false" ht="15" hidden="false" customHeight="true" outlineLevel="0" collapsed="false">
      <c r="A57" s="32" t="n">
        <v>2026</v>
      </c>
      <c r="B57" s="32" t="n">
        <v>8</v>
      </c>
      <c r="C57" s="32" t="s">
        <v>167</v>
      </c>
      <c r="D57" s="32" t="s">
        <v>142</v>
      </c>
      <c r="E57" s="78" t="n">
        <f aca="false">SUMIFS(DRE_por_UN!$J:$J,DRE_por_UN!$C:$C,$C57,DRE_por_UN!$E:$E,$D57)</f>
        <v>32763.0468</v>
      </c>
      <c r="F57" s="44" t="n">
        <f aca="false">VLOOKUP($D57,Premissas!$A$52:$P$56,16,0)</f>
        <v>45</v>
      </c>
      <c r="G57" s="33" t="n">
        <f aca="false">E57*F57/30</f>
        <v>49144.5702</v>
      </c>
      <c r="H57" s="33" t="n">
        <f aca="false">$G57*Premissas!$B$42</f>
        <v>34401.19914</v>
      </c>
      <c r="I57" s="33" t="n">
        <f aca="false">$G57*Premissas!$C$42</f>
        <v>7371.68553</v>
      </c>
      <c r="J57" s="33" t="n">
        <f aca="false">$G57*Premissas!$D$42</f>
        <v>3931.565616</v>
      </c>
      <c r="K57" s="33" t="n">
        <f aca="false">$G57*Premissas!$E$42</f>
        <v>1965.782808</v>
      </c>
      <c r="L57" s="33" t="n">
        <f aca="false">$G57*Premissas!$F$42</f>
        <v>1474.337106</v>
      </c>
    </row>
    <row r="58" customFormat="false" ht="15" hidden="false" customHeight="true" outlineLevel="0" collapsed="false">
      <c r="A58" s="32" t="n">
        <v>2026</v>
      </c>
      <c r="B58" s="32" t="n">
        <v>9</v>
      </c>
      <c r="C58" s="32" t="s">
        <v>168</v>
      </c>
      <c r="D58" s="32" t="s">
        <v>142</v>
      </c>
      <c r="E58" s="78" t="n">
        <f aca="false">SUMIFS(DRE_por_UN!$J:$J,DRE_por_UN!$C:$C,$C58,DRE_por_UN!$E:$E,$D58)</f>
        <v>39207.7092</v>
      </c>
      <c r="F58" s="44" t="n">
        <f aca="false">VLOOKUP($D58,Premissas!$A$52:$P$56,16,0)</f>
        <v>45</v>
      </c>
      <c r="G58" s="33" t="n">
        <f aca="false">E58*F58/30</f>
        <v>58811.5638</v>
      </c>
      <c r="H58" s="33" t="n">
        <f aca="false">$G58*Premissas!$B$42</f>
        <v>41168.09466</v>
      </c>
      <c r="I58" s="33" t="n">
        <f aca="false">$G58*Premissas!$C$42</f>
        <v>8821.73457</v>
      </c>
      <c r="J58" s="33" t="n">
        <f aca="false">$G58*Premissas!$D$42</f>
        <v>4704.925104</v>
      </c>
      <c r="K58" s="33" t="n">
        <f aca="false">$G58*Premissas!$E$42</f>
        <v>2352.462552</v>
      </c>
      <c r="L58" s="33" t="n">
        <f aca="false">$G58*Premissas!$F$42</f>
        <v>1764.346914</v>
      </c>
    </row>
    <row r="59" customFormat="false" ht="15" hidden="false" customHeight="true" outlineLevel="0" collapsed="false">
      <c r="A59" s="32" t="n">
        <v>2026</v>
      </c>
      <c r="B59" s="32" t="n">
        <v>10</v>
      </c>
      <c r="C59" s="32" t="s">
        <v>169</v>
      </c>
      <c r="D59" s="32" t="s">
        <v>142</v>
      </c>
      <c r="E59" s="78" t="n">
        <f aca="false">SUMIFS(DRE_por_UN!$J:$J,DRE_por_UN!$C:$C,$C59,DRE_por_UN!$E:$E,$D59)</f>
        <v>25356.6918</v>
      </c>
      <c r="F59" s="44" t="n">
        <f aca="false">VLOOKUP($D59,Premissas!$A$52:$P$56,16,0)</f>
        <v>45</v>
      </c>
      <c r="G59" s="33" t="n">
        <f aca="false">E59*F59/30</f>
        <v>38035.0377</v>
      </c>
      <c r="H59" s="33" t="n">
        <f aca="false">$G59*Premissas!$B$42</f>
        <v>26624.52639</v>
      </c>
      <c r="I59" s="33" t="n">
        <f aca="false">$G59*Premissas!$C$42</f>
        <v>5705.255655</v>
      </c>
      <c r="J59" s="33" t="n">
        <f aca="false">$G59*Premissas!$D$42</f>
        <v>3042.803016</v>
      </c>
      <c r="K59" s="33" t="n">
        <f aca="false">$G59*Premissas!$E$42</f>
        <v>1521.401508</v>
      </c>
      <c r="L59" s="33" t="n">
        <f aca="false">$G59*Premissas!$F$42</f>
        <v>1141.051131</v>
      </c>
    </row>
    <row r="60" customFormat="false" ht="15" hidden="false" customHeight="true" outlineLevel="0" collapsed="false">
      <c r="A60" s="32" t="n">
        <v>2026</v>
      </c>
      <c r="B60" s="32" t="n">
        <v>11</v>
      </c>
      <c r="C60" s="32" t="s">
        <v>170</v>
      </c>
      <c r="D60" s="32" t="s">
        <v>142</v>
      </c>
      <c r="E60" s="78" t="n">
        <f aca="false">SUMIFS(DRE_por_UN!$J:$J,DRE_por_UN!$C:$C,$C60,DRE_por_UN!$E:$E,$D60)</f>
        <v>40333.3194</v>
      </c>
      <c r="F60" s="44" t="n">
        <f aca="false">VLOOKUP($D60,Premissas!$A$52:$P$56,16,0)</f>
        <v>45</v>
      </c>
      <c r="G60" s="33" t="n">
        <f aca="false">E60*F60/30</f>
        <v>60499.9791</v>
      </c>
      <c r="H60" s="33" t="n">
        <f aca="false">$G60*Premissas!$B$42</f>
        <v>42349.98537</v>
      </c>
      <c r="I60" s="33" t="n">
        <f aca="false">$G60*Premissas!$C$42</f>
        <v>9074.996865</v>
      </c>
      <c r="J60" s="33" t="n">
        <f aca="false">$G60*Premissas!$D$42</f>
        <v>4839.998328</v>
      </c>
      <c r="K60" s="33" t="n">
        <f aca="false">$G60*Premissas!$E$42</f>
        <v>2419.999164</v>
      </c>
      <c r="L60" s="33" t="n">
        <f aca="false">$G60*Premissas!$F$42</f>
        <v>1814.999373</v>
      </c>
    </row>
    <row r="61" customFormat="false" ht="15" hidden="false" customHeight="true" outlineLevel="0" collapsed="false">
      <c r="A61" s="32" t="n">
        <v>2026</v>
      </c>
      <c r="B61" s="32" t="n">
        <v>12</v>
      </c>
      <c r="C61" s="32" t="s">
        <v>171</v>
      </c>
      <c r="D61" s="32" t="s">
        <v>142</v>
      </c>
      <c r="E61" s="78" t="n">
        <f aca="false">SUMIFS(DRE_por_UN!$J:$J,DRE_por_UN!$C:$C,$C61,DRE_por_UN!$E:$E,$D61)</f>
        <v>45499.5156</v>
      </c>
      <c r="F61" s="44" t="n">
        <f aca="false">VLOOKUP($D61,Premissas!$A$52:$P$56,16,0)</f>
        <v>45</v>
      </c>
      <c r="G61" s="33" t="n">
        <f aca="false">E61*F61/30</f>
        <v>68249.2734</v>
      </c>
      <c r="H61" s="33" t="n">
        <f aca="false">$G61*Premissas!$B$42</f>
        <v>47774.49138</v>
      </c>
      <c r="I61" s="33" t="n">
        <f aca="false">$G61*Premissas!$C$42</f>
        <v>10237.39101</v>
      </c>
      <c r="J61" s="33" t="n">
        <f aca="false">$G61*Premissas!$D$42</f>
        <v>5459.941872</v>
      </c>
      <c r="K61" s="33" t="n">
        <f aca="false">$G61*Premissas!$E$42</f>
        <v>2729.970936</v>
      </c>
      <c r="L61" s="33" t="n">
        <f aca="false">$G61*Premissas!$F$42</f>
        <v>2047.478202</v>
      </c>
    </row>
    <row r="62" customFormat="false" ht="15" hidden="false" customHeight="true" outlineLevel="0" collapsed="false">
      <c r="A62" s="32" t="n">
        <v>2027</v>
      </c>
      <c r="B62" s="32" t="n">
        <v>1</v>
      </c>
      <c r="C62" s="32" t="s">
        <v>172</v>
      </c>
      <c r="D62" s="32" t="s">
        <v>142</v>
      </c>
      <c r="E62" s="78" t="n">
        <f aca="false">SUMIFS(DRE_por_UN!$J:$J,DRE_por_UN!$C:$C,$C62,DRE_por_UN!$E:$E,$D62)</f>
        <v>29373.484164696</v>
      </c>
      <c r="F62" s="44" t="n">
        <f aca="false">VLOOKUP($D62,Premissas!$A$52:$P$56,16,0)</f>
        <v>45</v>
      </c>
      <c r="G62" s="33" t="n">
        <f aca="false">E62*F62/30</f>
        <v>44060.226247044</v>
      </c>
      <c r="H62" s="33" t="n">
        <f aca="false">$G62*Premissas!$B$42</f>
        <v>30842.1583729308</v>
      </c>
      <c r="I62" s="33" t="n">
        <f aca="false">$G62*Premissas!$C$42</f>
        <v>6609.0339370566</v>
      </c>
      <c r="J62" s="33" t="n">
        <f aca="false">$G62*Premissas!$D$42</f>
        <v>3524.81809976352</v>
      </c>
      <c r="K62" s="33" t="n">
        <f aca="false">$G62*Premissas!$E$42</f>
        <v>1762.40904988176</v>
      </c>
      <c r="L62" s="33" t="n">
        <f aca="false">$G62*Premissas!$F$42</f>
        <v>1321.80678741132</v>
      </c>
    </row>
    <row r="63" customFormat="false" ht="15" hidden="false" customHeight="true" outlineLevel="0" collapsed="false">
      <c r="A63" s="32" t="n">
        <v>2027</v>
      </c>
      <c r="B63" s="32" t="n">
        <v>2</v>
      </c>
      <c r="C63" s="32" t="s">
        <v>173</v>
      </c>
      <c r="D63" s="32" t="s">
        <v>142</v>
      </c>
      <c r="E63" s="78" t="n">
        <f aca="false">SUMIFS(DRE_por_UN!$J:$J,DRE_por_UN!$C:$C,$C63,DRE_por_UN!$E:$E,$D63)</f>
        <v>22870.087969134</v>
      </c>
      <c r="F63" s="44" t="n">
        <f aca="false">VLOOKUP($D63,Premissas!$A$52:$P$56,16,0)</f>
        <v>45</v>
      </c>
      <c r="G63" s="33" t="n">
        <f aca="false">E63*F63/30</f>
        <v>34305.131953701</v>
      </c>
      <c r="H63" s="33" t="n">
        <f aca="false">$G63*Premissas!$B$42</f>
        <v>24013.5923675907</v>
      </c>
      <c r="I63" s="33" t="n">
        <f aca="false">$G63*Premissas!$C$42</f>
        <v>5145.76979305515</v>
      </c>
      <c r="J63" s="33" t="n">
        <f aca="false">$G63*Premissas!$D$42</f>
        <v>2744.41055629608</v>
      </c>
      <c r="K63" s="33" t="n">
        <f aca="false">$G63*Premissas!$E$42</f>
        <v>1372.20527814804</v>
      </c>
      <c r="L63" s="33" t="n">
        <f aca="false">$G63*Premissas!$F$42</f>
        <v>1029.15395861103</v>
      </c>
    </row>
    <row r="64" customFormat="false" ht="15" hidden="false" customHeight="true" outlineLevel="0" collapsed="false">
      <c r="A64" s="32" t="n">
        <v>2027</v>
      </c>
      <c r="B64" s="32" t="n">
        <v>3</v>
      </c>
      <c r="C64" s="32" t="s">
        <v>174</v>
      </c>
      <c r="D64" s="32" t="s">
        <v>142</v>
      </c>
      <c r="E64" s="78" t="n">
        <f aca="false">SUMIFS(DRE_por_UN!$J:$J,DRE_por_UN!$C:$C,$C64,DRE_por_UN!$E:$E,$D64)</f>
        <v>38231.336006136</v>
      </c>
      <c r="F64" s="44" t="n">
        <f aca="false">VLOOKUP($D64,Premissas!$A$52:$P$56,16,0)</f>
        <v>45</v>
      </c>
      <c r="G64" s="33" t="n">
        <f aca="false">E64*F64/30</f>
        <v>57347.004009204</v>
      </c>
      <c r="H64" s="33" t="n">
        <f aca="false">$G64*Premissas!$B$42</f>
        <v>40142.9028064428</v>
      </c>
      <c r="I64" s="33" t="n">
        <f aca="false">$G64*Premissas!$C$42</f>
        <v>8602.0506013806</v>
      </c>
      <c r="J64" s="33" t="n">
        <f aca="false">$G64*Premissas!$D$42</f>
        <v>4587.76032073632</v>
      </c>
      <c r="K64" s="33" t="n">
        <f aca="false">$G64*Premissas!$E$42</f>
        <v>2293.88016036816</v>
      </c>
      <c r="L64" s="33" t="n">
        <f aca="false">$G64*Premissas!$F$42</f>
        <v>1720.41012027612</v>
      </c>
    </row>
    <row r="65" customFormat="false" ht="15" hidden="false" customHeight="true" outlineLevel="0" collapsed="false">
      <c r="A65" s="32" t="n">
        <v>2027</v>
      </c>
      <c r="B65" s="32" t="n">
        <v>4</v>
      </c>
      <c r="C65" s="32" t="s">
        <v>175</v>
      </c>
      <c r="D65" s="32" t="s">
        <v>142</v>
      </c>
      <c r="E65" s="78" t="n">
        <f aca="false">SUMIFS(DRE_por_UN!$J:$J,DRE_por_UN!$C:$C,$C65,DRE_por_UN!$E:$E,$D65)</f>
        <v>25284.216006504</v>
      </c>
      <c r="F65" s="44" t="n">
        <f aca="false">VLOOKUP($D65,Premissas!$A$52:$P$56,16,0)</f>
        <v>45</v>
      </c>
      <c r="G65" s="33" t="n">
        <f aca="false">E65*F65/30</f>
        <v>37926.324009756</v>
      </c>
      <c r="H65" s="33" t="n">
        <f aca="false">$G65*Premissas!$B$42</f>
        <v>26548.4268068292</v>
      </c>
      <c r="I65" s="33" t="n">
        <f aca="false">$G65*Premissas!$C$42</f>
        <v>5688.9486014634</v>
      </c>
      <c r="J65" s="33" t="n">
        <f aca="false">$G65*Premissas!$D$42</f>
        <v>3034.10592078048</v>
      </c>
      <c r="K65" s="33" t="n">
        <f aca="false">$G65*Premissas!$E$42</f>
        <v>1517.05296039024</v>
      </c>
      <c r="L65" s="33" t="n">
        <f aca="false">$G65*Premissas!$F$42</f>
        <v>1137.78972029268</v>
      </c>
    </row>
    <row r="66" customFormat="false" ht="15" hidden="false" customHeight="true" outlineLevel="0" collapsed="false">
      <c r="A66" s="32" t="n">
        <v>2027</v>
      </c>
      <c r="B66" s="32" t="n">
        <v>5</v>
      </c>
      <c r="C66" s="32" t="s">
        <v>176</v>
      </c>
      <c r="D66" s="32" t="s">
        <v>142</v>
      </c>
      <c r="E66" s="78" t="n">
        <f aca="false">SUMIFS(DRE_por_UN!$J:$J,DRE_por_UN!$C:$C,$C66,DRE_por_UN!$E:$E,$D66)</f>
        <v>36792.314415108</v>
      </c>
      <c r="F66" s="44" t="n">
        <f aca="false">VLOOKUP($D66,Premissas!$A$52:$P$56,16,0)</f>
        <v>45</v>
      </c>
      <c r="G66" s="33" t="n">
        <f aca="false">E66*F66/30</f>
        <v>55188.471622662</v>
      </c>
      <c r="H66" s="33" t="n">
        <f aca="false">$G66*Premissas!$B$42</f>
        <v>38631.9301358634</v>
      </c>
      <c r="I66" s="33" t="n">
        <f aca="false">$G66*Premissas!$C$42</f>
        <v>8278.2707433993</v>
      </c>
      <c r="J66" s="33" t="n">
        <f aca="false">$G66*Premissas!$D$42</f>
        <v>4415.07772981296</v>
      </c>
      <c r="K66" s="33" t="n">
        <f aca="false">$G66*Premissas!$E$42</f>
        <v>2207.53886490648</v>
      </c>
      <c r="L66" s="33" t="n">
        <f aca="false">$G66*Premissas!$F$42</f>
        <v>1655.65414867986</v>
      </c>
    </row>
    <row r="67" customFormat="false" ht="15" hidden="false" customHeight="true" outlineLevel="0" collapsed="false">
      <c r="A67" s="32" t="n">
        <v>2027</v>
      </c>
      <c r="B67" s="32" t="n">
        <v>6</v>
      </c>
      <c r="C67" s="32" t="s">
        <v>177</v>
      </c>
      <c r="D67" s="32" t="s">
        <v>142</v>
      </c>
      <c r="E67" s="78" t="n">
        <f aca="false">SUMIFS(DRE_por_UN!$J:$J,DRE_por_UN!$C:$C,$C67,DRE_por_UN!$E:$E,$D67)</f>
        <v>35052.58930362</v>
      </c>
      <c r="F67" s="44" t="n">
        <f aca="false">VLOOKUP($D67,Premissas!$A$52:$P$56,16,0)</f>
        <v>45</v>
      </c>
      <c r="G67" s="33" t="n">
        <f aca="false">E67*F67/30</f>
        <v>52578.88395543</v>
      </c>
      <c r="H67" s="33" t="n">
        <f aca="false">$G67*Premissas!$B$42</f>
        <v>36805.218768801</v>
      </c>
      <c r="I67" s="33" t="n">
        <f aca="false">$G67*Premissas!$C$42</f>
        <v>7886.8325933145</v>
      </c>
      <c r="J67" s="33" t="n">
        <f aca="false">$G67*Premissas!$D$42</f>
        <v>4206.3107164344</v>
      </c>
      <c r="K67" s="33" t="n">
        <f aca="false">$G67*Premissas!$E$42</f>
        <v>2103.1553582172</v>
      </c>
      <c r="L67" s="33" t="n">
        <f aca="false">$G67*Premissas!$F$42</f>
        <v>1577.3665186629</v>
      </c>
    </row>
    <row r="68" customFormat="false" ht="15" hidden="false" customHeight="true" outlineLevel="0" collapsed="false">
      <c r="A68" s="32" t="n">
        <v>2027</v>
      </c>
      <c r="B68" s="32" t="n">
        <v>7</v>
      </c>
      <c r="C68" s="32" t="s">
        <v>178</v>
      </c>
      <c r="D68" s="32" t="s">
        <v>142</v>
      </c>
      <c r="E68" s="78" t="n">
        <f aca="false">SUMIFS(DRE_por_UN!$J:$J,DRE_por_UN!$C:$C,$C68,DRE_por_UN!$E:$E,$D68)</f>
        <v>40093.473348138</v>
      </c>
      <c r="F68" s="44" t="n">
        <f aca="false">VLOOKUP($D68,Premissas!$A$52:$P$56,16,0)</f>
        <v>45</v>
      </c>
      <c r="G68" s="33" t="n">
        <f aca="false">E68*F68/30</f>
        <v>60140.210022207</v>
      </c>
      <c r="H68" s="33" t="n">
        <f aca="false">$G68*Premissas!$B$42</f>
        <v>42098.1470155449</v>
      </c>
      <c r="I68" s="33" t="n">
        <f aca="false">$G68*Premissas!$C$42</f>
        <v>9021.03150333105</v>
      </c>
      <c r="J68" s="33" t="n">
        <f aca="false">$G68*Premissas!$D$42</f>
        <v>4811.21680177656</v>
      </c>
      <c r="K68" s="33" t="n">
        <f aca="false">$G68*Premissas!$E$42</f>
        <v>2405.60840088828</v>
      </c>
      <c r="L68" s="33" t="n">
        <f aca="false">$G68*Premissas!$F$42</f>
        <v>1804.20630066621</v>
      </c>
    </row>
    <row r="69" customFormat="false" ht="15" hidden="false" customHeight="true" outlineLevel="0" collapsed="false">
      <c r="A69" s="32" t="n">
        <v>2027</v>
      </c>
      <c r="B69" s="32" t="n">
        <v>8</v>
      </c>
      <c r="C69" s="32" t="s">
        <v>179</v>
      </c>
      <c r="D69" s="32" t="s">
        <v>142</v>
      </c>
      <c r="E69" s="78" t="n">
        <f aca="false">SUMIFS(DRE_por_UN!$J:$J,DRE_por_UN!$C:$C,$C69,DRE_por_UN!$E:$E,$D69)</f>
        <v>35232.730428336</v>
      </c>
      <c r="F69" s="44" t="n">
        <f aca="false">VLOOKUP($D69,Premissas!$A$52:$P$56,16,0)</f>
        <v>45</v>
      </c>
      <c r="G69" s="33" t="n">
        <f aca="false">E69*F69/30</f>
        <v>52849.095642504</v>
      </c>
      <c r="H69" s="33" t="n">
        <f aca="false">$G69*Premissas!$B$42</f>
        <v>36994.3669497528</v>
      </c>
      <c r="I69" s="33" t="n">
        <f aca="false">$G69*Premissas!$C$42</f>
        <v>7927.3643463756</v>
      </c>
      <c r="J69" s="33" t="n">
        <f aca="false">$G69*Premissas!$D$42</f>
        <v>4227.92765140032</v>
      </c>
      <c r="K69" s="33" t="n">
        <f aca="false">$G69*Premissas!$E$42</f>
        <v>2113.96382570016</v>
      </c>
      <c r="L69" s="33" t="n">
        <f aca="false">$G69*Premissas!$F$42</f>
        <v>1585.47286927512</v>
      </c>
    </row>
    <row r="70" customFormat="false" ht="15" hidden="false" customHeight="true" outlineLevel="0" collapsed="false">
      <c r="A70" s="32" t="n">
        <v>2027</v>
      </c>
      <c r="B70" s="32" t="n">
        <v>9</v>
      </c>
      <c r="C70" s="32" t="s">
        <v>180</v>
      </c>
      <c r="D70" s="32" t="s">
        <v>142</v>
      </c>
      <c r="E70" s="78" t="n">
        <f aca="false">SUMIFS(DRE_por_UN!$J:$J,DRE_por_UN!$C:$C,$C70,DRE_por_UN!$E:$E,$D70)</f>
        <v>42085.07570841</v>
      </c>
      <c r="F70" s="44" t="n">
        <f aca="false">VLOOKUP($D70,Premissas!$A$52:$P$56,16,0)</f>
        <v>45</v>
      </c>
      <c r="G70" s="33" t="n">
        <f aca="false">E70*F70/30</f>
        <v>63127.613562615</v>
      </c>
      <c r="H70" s="33" t="n">
        <f aca="false">$G70*Premissas!$B$42</f>
        <v>44189.3294938305</v>
      </c>
      <c r="I70" s="33" t="n">
        <f aca="false">$G70*Premissas!$C$42</f>
        <v>9469.14203439225</v>
      </c>
      <c r="J70" s="33" t="n">
        <f aca="false">$G70*Premissas!$D$42</f>
        <v>5050.2090850092</v>
      </c>
      <c r="K70" s="33" t="n">
        <f aca="false">$G70*Premissas!$E$42</f>
        <v>2525.1045425046</v>
      </c>
      <c r="L70" s="33" t="n">
        <f aca="false">$G70*Premissas!$F$42</f>
        <v>1893.82840687845</v>
      </c>
    </row>
    <row r="71" customFormat="false" ht="15" hidden="false" customHeight="true" outlineLevel="0" collapsed="false">
      <c r="A71" s="32" t="n">
        <v>2027</v>
      </c>
      <c r="B71" s="32" t="n">
        <v>10</v>
      </c>
      <c r="C71" s="32" t="s">
        <v>181</v>
      </c>
      <c r="D71" s="32" t="s">
        <v>142</v>
      </c>
      <c r="E71" s="78" t="n">
        <f aca="false">SUMIFS(DRE_por_UN!$J:$J,DRE_por_UN!$C:$C,$C71,DRE_por_UN!$E:$E,$D71)</f>
        <v>27105.60546918</v>
      </c>
      <c r="F71" s="44" t="n">
        <f aca="false">VLOOKUP($D71,Premissas!$A$52:$P$56,16,0)</f>
        <v>45</v>
      </c>
      <c r="G71" s="33" t="n">
        <f aca="false">E71*F71/30</f>
        <v>40658.40820377</v>
      </c>
      <c r="H71" s="33" t="n">
        <f aca="false">$G71*Premissas!$B$42</f>
        <v>28460.885742639</v>
      </c>
      <c r="I71" s="33" t="n">
        <f aca="false">$G71*Premissas!$C$42</f>
        <v>6098.7612305655</v>
      </c>
      <c r="J71" s="33" t="n">
        <f aca="false">$G71*Premissas!$D$42</f>
        <v>3252.6726563016</v>
      </c>
      <c r="K71" s="33" t="n">
        <f aca="false">$G71*Premissas!$E$42</f>
        <v>1626.3363281508</v>
      </c>
      <c r="L71" s="33" t="n">
        <f aca="false">$G71*Premissas!$F$42</f>
        <v>1219.7522461131</v>
      </c>
    </row>
    <row r="72" customFormat="false" ht="15" hidden="false" customHeight="true" outlineLevel="0" collapsed="false">
      <c r="A72" s="32" t="n">
        <v>2027</v>
      </c>
      <c r="B72" s="32" t="n">
        <v>11</v>
      </c>
      <c r="C72" s="32" t="s">
        <v>182</v>
      </c>
      <c r="D72" s="32" t="s">
        <v>142</v>
      </c>
      <c r="E72" s="78" t="n">
        <f aca="false">SUMIFS(DRE_por_UN!$J:$J,DRE_por_UN!$C:$C,$C72,DRE_por_UN!$E:$E,$D72)</f>
        <v>42990.689248038</v>
      </c>
      <c r="F72" s="44" t="n">
        <f aca="false">VLOOKUP($D72,Premissas!$A$52:$P$56,16,0)</f>
        <v>45</v>
      </c>
      <c r="G72" s="33" t="n">
        <f aca="false">E72*F72/30</f>
        <v>64486.033872057</v>
      </c>
      <c r="H72" s="33" t="n">
        <f aca="false">$G72*Premissas!$B$42</f>
        <v>45140.2237104399</v>
      </c>
      <c r="I72" s="33" t="n">
        <f aca="false">$G72*Premissas!$C$42</f>
        <v>9672.90508080855</v>
      </c>
      <c r="J72" s="33" t="n">
        <f aca="false">$G72*Premissas!$D$42</f>
        <v>5158.88270976456</v>
      </c>
      <c r="K72" s="33" t="n">
        <f aca="false">$G72*Premissas!$E$42</f>
        <v>2579.44135488228</v>
      </c>
      <c r="L72" s="33" t="n">
        <f aca="false">$G72*Premissas!$F$42</f>
        <v>1934.58101616171</v>
      </c>
    </row>
    <row r="73" customFormat="false" ht="15" hidden="false" customHeight="true" outlineLevel="0" collapsed="false">
      <c r="A73" s="32" t="n">
        <v>2027</v>
      </c>
      <c r="B73" s="32" t="n">
        <v>12</v>
      </c>
      <c r="C73" s="32" t="s">
        <v>183</v>
      </c>
      <c r="D73" s="32" t="s">
        <v>142</v>
      </c>
      <c r="E73" s="78" t="n">
        <f aca="false">SUMIFS(DRE_por_UN!$J:$J,DRE_por_UN!$C:$C,$C73,DRE_por_UN!$E:$E,$D73)</f>
        <v>48776.550927258</v>
      </c>
      <c r="F73" s="44" t="n">
        <f aca="false">VLOOKUP($D73,Premissas!$A$52:$P$56,16,0)</f>
        <v>45</v>
      </c>
      <c r="G73" s="33" t="n">
        <f aca="false">E73*F73/30</f>
        <v>73164.826390887</v>
      </c>
      <c r="H73" s="33" t="n">
        <f aca="false">$G73*Premissas!$B$42</f>
        <v>51215.3784736209</v>
      </c>
      <c r="I73" s="33" t="n">
        <f aca="false">$G73*Premissas!$C$42</f>
        <v>10974.723958633</v>
      </c>
      <c r="J73" s="33" t="n">
        <f aca="false">$G73*Premissas!$D$42</f>
        <v>5853.18611127096</v>
      </c>
      <c r="K73" s="33" t="n">
        <f aca="false">$G73*Premissas!$E$42</f>
        <v>2926.59305563548</v>
      </c>
      <c r="L73" s="33" t="n">
        <f aca="false">$G73*Premissas!$F$42</f>
        <v>2194.94479172661</v>
      </c>
    </row>
    <row r="74" customFormat="false" ht="15" hidden="false" customHeight="true" outlineLevel="0" collapsed="false">
      <c r="A74" s="32" t="n">
        <v>2025</v>
      </c>
      <c r="B74" s="32" t="n">
        <v>1</v>
      </c>
      <c r="C74" s="32" t="s">
        <v>148</v>
      </c>
      <c r="D74" s="32" t="s">
        <v>143</v>
      </c>
      <c r="E74" s="78" t="n">
        <f aca="false">SUMIFS(DRE_por_UN!$J:$J,DRE_por_UN!$C:$C,$C74,DRE_por_UN!$E:$E,$D74)</f>
        <v>9744.8932</v>
      </c>
      <c r="F74" s="44" t="n">
        <f aca="false">VLOOKUP($D74,Premissas!$A$52:$P$56,16,0)</f>
        <v>30</v>
      </c>
      <c r="G74" s="33" t="n">
        <f aca="false">E74*F74/30</f>
        <v>9744.8932</v>
      </c>
      <c r="H74" s="33" t="n">
        <f aca="false">$G74*Premissas!$B$42</f>
        <v>6821.42524</v>
      </c>
      <c r="I74" s="33" t="n">
        <f aca="false">$G74*Premissas!$C$42</f>
        <v>1461.73398</v>
      </c>
      <c r="J74" s="33" t="n">
        <f aca="false">$G74*Premissas!$D$42</f>
        <v>779.591456</v>
      </c>
      <c r="K74" s="33" t="n">
        <f aca="false">$G74*Premissas!$E$42</f>
        <v>389.795728</v>
      </c>
      <c r="L74" s="33" t="n">
        <f aca="false">$G74*Premissas!$F$42</f>
        <v>292.346796</v>
      </c>
    </row>
    <row r="75" customFormat="false" ht="15" hidden="false" customHeight="true" outlineLevel="0" collapsed="false">
      <c r="A75" s="32" t="n">
        <v>2025</v>
      </c>
      <c r="B75" s="32" t="n">
        <v>2</v>
      </c>
      <c r="C75" s="32" t="s">
        <v>149</v>
      </c>
      <c r="D75" s="32" t="s">
        <v>143</v>
      </c>
      <c r="E75" s="78" t="n">
        <f aca="false">SUMIFS(DRE_por_UN!$J:$J,DRE_por_UN!$C:$C,$C75,DRE_por_UN!$E:$E,$D75)</f>
        <v>1960.7074</v>
      </c>
      <c r="F75" s="44" t="n">
        <f aca="false">VLOOKUP($D75,Premissas!$A$52:$P$56,16,0)</f>
        <v>30</v>
      </c>
      <c r="G75" s="33" t="n">
        <f aca="false">E75*F75/30</f>
        <v>1960.7074</v>
      </c>
      <c r="H75" s="33" t="n">
        <f aca="false">$G75*Premissas!$B$42</f>
        <v>1372.49518</v>
      </c>
      <c r="I75" s="33" t="n">
        <f aca="false">$G75*Premissas!$C$42</f>
        <v>294.10611</v>
      </c>
      <c r="J75" s="33" t="n">
        <f aca="false">$G75*Premissas!$D$42</f>
        <v>156.856592</v>
      </c>
      <c r="K75" s="33" t="n">
        <f aca="false">$G75*Premissas!$E$42</f>
        <v>78.428296</v>
      </c>
      <c r="L75" s="33" t="n">
        <f aca="false">$G75*Premissas!$F$42</f>
        <v>58.821222</v>
      </c>
    </row>
    <row r="76" customFormat="false" ht="15" hidden="false" customHeight="true" outlineLevel="0" collapsed="false">
      <c r="A76" s="32" t="n">
        <v>2025</v>
      </c>
      <c r="B76" s="32" t="n">
        <v>3</v>
      </c>
      <c r="C76" s="32" t="s">
        <v>150</v>
      </c>
      <c r="D76" s="32" t="s">
        <v>143</v>
      </c>
      <c r="E76" s="78" t="n">
        <f aca="false">SUMIFS(DRE_por_UN!$J:$J,DRE_por_UN!$C:$C,$C76,DRE_por_UN!$E:$E,$D76)</f>
        <v>3114.9886</v>
      </c>
      <c r="F76" s="44" t="n">
        <f aca="false">VLOOKUP($D76,Premissas!$A$52:$P$56,16,0)</f>
        <v>30</v>
      </c>
      <c r="G76" s="33" t="n">
        <f aca="false">E76*F76/30</f>
        <v>3114.9886</v>
      </c>
      <c r="H76" s="33" t="n">
        <f aca="false">$G76*Premissas!$B$42</f>
        <v>2180.49202</v>
      </c>
      <c r="I76" s="33" t="n">
        <f aca="false">$G76*Premissas!$C$42</f>
        <v>467.24829</v>
      </c>
      <c r="J76" s="33" t="n">
        <f aca="false">$G76*Premissas!$D$42</f>
        <v>249.199088</v>
      </c>
      <c r="K76" s="33" t="n">
        <f aca="false">$G76*Premissas!$E$42</f>
        <v>124.599544</v>
      </c>
      <c r="L76" s="33" t="n">
        <f aca="false">$G76*Premissas!$F$42</f>
        <v>93.449658</v>
      </c>
    </row>
    <row r="77" customFormat="false" ht="15" hidden="false" customHeight="true" outlineLevel="0" collapsed="false">
      <c r="A77" s="32" t="n">
        <v>2025</v>
      </c>
      <c r="B77" s="32" t="n">
        <v>4</v>
      </c>
      <c r="C77" s="32" t="s">
        <v>151</v>
      </c>
      <c r="D77" s="32" t="s">
        <v>143</v>
      </c>
      <c r="E77" s="78" t="n">
        <f aca="false">SUMIFS(DRE_por_UN!$J:$J,DRE_por_UN!$C:$C,$C77,DRE_por_UN!$E:$E,$D77)</f>
        <v>3033.4116</v>
      </c>
      <c r="F77" s="44" t="n">
        <f aca="false">VLOOKUP($D77,Premissas!$A$52:$P$56,16,0)</f>
        <v>30</v>
      </c>
      <c r="G77" s="33" t="n">
        <f aca="false">E77*F77/30</f>
        <v>3033.4116</v>
      </c>
      <c r="H77" s="33" t="n">
        <f aca="false">$G77*Premissas!$B$42</f>
        <v>2123.38812</v>
      </c>
      <c r="I77" s="33" t="n">
        <f aca="false">$G77*Premissas!$C$42</f>
        <v>455.01174</v>
      </c>
      <c r="J77" s="33" t="n">
        <f aca="false">$G77*Premissas!$D$42</f>
        <v>242.672928</v>
      </c>
      <c r="K77" s="33" t="n">
        <f aca="false">$G77*Premissas!$E$42</f>
        <v>121.336464</v>
      </c>
      <c r="L77" s="33" t="n">
        <f aca="false">$G77*Premissas!$F$42</f>
        <v>91.002348</v>
      </c>
    </row>
    <row r="78" customFormat="false" ht="15" hidden="false" customHeight="true" outlineLevel="0" collapsed="false">
      <c r="A78" s="32" t="n">
        <v>2025</v>
      </c>
      <c r="B78" s="32" t="n">
        <v>5</v>
      </c>
      <c r="C78" s="32" t="s">
        <v>152</v>
      </c>
      <c r="D78" s="32" t="s">
        <v>143</v>
      </c>
      <c r="E78" s="78" t="n">
        <f aca="false">SUMIFS(DRE_por_UN!$J:$J,DRE_por_UN!$C:$C,$C78,DRE_por_UN!$E:$E,$D78)</f>
        <v>3010.4494</v>
      </c>
      <c r="F78" s="44" t="n">
        <f aca="false">VLOOKUP($D78,Premissas!$A$52:$P$56,16,0)</f>
        <v>30</v>
      </c>
      <c r="G78" s="33" t="n">
        <f aca="false">E78*F78/30</f>
        <v>3010.4494</v>
      </c>
      <c r="H78" s="33" t="n">
        <f aca="false">$G78*Premissas!$B$42</f>
        <v>2107.31458</v>
      </c>
      <c r="I78" s="33" t="n">
        <f aca="false">$G78*Premissas!$C$42</f>
        <v>451.56741</v>
      </c>
      <c r="J78" s="33" t="n">
        <f aca="false">$G78*Premissas!$D$42</f>
        <v>240.835952</v>
      </c>
      <c r="K78" s="33" t="n">
        <f aca="false">$G78*Premissas!$E$42</f>
        <v>120.417976</v>
      </c>
      <c r="L78" s="33" t="n">
        <f aca="false">$G78*Premissas!$F$42</f>
        <v>90.313482</v>
      </c>
    </row>
    <row r="79" customFormat="false" ht="15" hidden="false" customHeight="true" outlineLevel="0" collapsed="false">
      <c r="A79" s="32" t="n">
        <v>2025</v>
      </c>
      <c r="B79" s="32" t="n">
        <v>6</v>
      </c>
      <c r="C79" s="32" t="s">
        <v>153</v>
      </c>
      <c r="D79" s="32" t="s">
        <v>143</v>
      </c>
      <c r="E79" s="78" t="n">
        <f aca="false">SUMIFS(DRE_por_UN!$J:$J,DRE_por_UN!$C:$C,$C79,DRE_por_UN!$E:$E,$D79)</f>
        <v>2465.2146</v>
      </c>
      <c r="F79" s="44" t="n">
        <f aca="false">VLOOKUP($D79,Premissas!$A$52:$P$56,16,0)</f>
        <v>30</v>
      </c>
      <c r="G79" s="33" t="n">
        <f aca="false">E79*F79/30</f>
        <v>2465.2146</v>
      </c>
      <c r="H79" s="33" t="n">
        <f aca="false">$G79*Premissas!$B$42</f>
        <v>1725.65022</v>
      </c>
      <c r="I79" s="33" t="n">
        <f aca="false">$G79*Premissas!$C$42</f>
        <v>369.78219</v>
      </c>
      <c r="J79" s="33" t="n">
        <f aca="false">$G79*Premissas!$D$42</f>
        <v>197.217168</v>
      </c>
      <c r="K79" s="33" t="n">
        <f aca="false">$G79*Premissas!$E$42</f>
        <v>98.608584</v>
      </c>
      <c r="L79" s="33" t="n">
        <f aca="false">$G79*Premissas!$F$42</f>
        <v>73.956438</v>
      </c>
    </row>
    <row r="80" customFormat="false" ht="15" hidden="false" customHeight="true" outlineLevel="0" collapsed="false">
      <c r="A80" s="32" t="n">
        <v>2025</v>
      </c>
      <c r="B80" s="32" t="n">
        <v>7</v>
      </c>
      <c r="C80" s="32" t="s">
        <v>154</v>
      </c>
      <c r="D80" s="32" t="s">
        <v>143</v>
      </c>
      <c r="E80" s="78" t="n">
        <f aca="false">SUMIFS(DRE_por_UN!$J:$J,DRE_por_UN!$C:$C,$C80,DRE_por_UN!$E:$E,$D80)</f>
        <v>2038.0562</v>
      </c>
      <c r="F80" s="44" t="n">
        <f aca="false">VLOOKUP($D80,Premissas!$A$52:$P$56,16,0)</f>
        <v>30</v>
      </c>
      <c r="G80" s="33" t="n">
        <f aca="false">E80*F80/30</f>
        <v>2038.0562</v>
      </c>
      <c r="H80" s="33" t="n">
        <f aca="false">$G80*Premissas!$B$42</f>
        <v>1426.63934</v>
      </c>
      <c r="I80" s="33" t="n">
        <f aca="false">$G80*Premissas!$C$42</f>
        <v>305.70843</v>
      </c>
      <c r="J80" s="33" t="n">
        <f aca="false">$G80*Premissas!$D$42</f>
        <v>163.044496</v>
      </c>
      <c r="K80" s="33" t="n">
        <f aca="false">$G80*Premissas!$E$42</f>
        <v>81.522248</v>
      </c>
      <c r="L80" s="33" t="n">
        <f aca="false">$G80*Premissas!$F$42</f>
        <v>61.141686</v>
      </c>
    </row>
    <row r="81" customFormat="false" ht="15" hidden="false" customHeight="true" outlineLevel="0" collapsed="false">
      <c r="A81" s="32" t="n">
        <v>2025</v>
      </c>
      <c r="B81" s="32" t="n">
        <v>8</v>
      </c>
      <c r="C81" s="32" t="s">
        <v>155</v>
      </c>
      <c r="D81" s="32" t="s">
        <v>143</v>
      </c>
      <c r="E81" s="78" t="n">
        <f aca="false">SUMIFS(DRE_por_UN!$J:$J,DRE_por_UN!$C:$C,$C81,DRE_por_UN!$E:$E,$D81)</f>
        <v>2144.7066</v>
      </c>
      <c r="F81" s="44" t="n">
        <f aca="false">VLOOKUP($D81,Premissas!$A$52:$P$56,16,0)</f>
        <v>30</v>
      </c>
      <c r="G81" s="33" t="n">
        <f aca="false">E81*F81/30</f>
        <v>2144.7066</v>
      </c>
      <c r="H81" s="33" t="n">
        <f aca="false">$G81*Premissas!$B$42</f>
        <v>1501.29462</v>
      </c>
      <c r="I81" s="33" t="n">
        <f aca="false">$G81*Premissas!$C$42</f>
        <v>321.70599</v>
      </c>
      <c r="J81" s="33" t="n">
        <f aca="false">$G81*Premissas!$D$42</f>
        <v>171.576528</v>
      </c>
      <c r="K81" s="33" t="n">
        <f aca="false">$G81*Premissas!$E$42</f>
        <v>85.788264</v>
      </c>
      <c r="L81" s="33" t="n">
        <f aca="false">$G81*Premissas!$F$42</f>
        <v>64.341198</v>
      </c>
    </row>
    <row r="82" customFormat="false" ht="15" hidden="false" customHeight="true" outlineLevel="0" collapsed="false">
      <c r="A82" s="32" t="n">
        <v>2025</v>
      </c>
      <c r="B82" s="32" t="n">
        <v>9</v>
      </c>
      <c r="C82" s="32" t="s">
        <v>156</v>
      </c>
      <c r="D82" s="32" t="s">
        <v>143</v>
      </c>
      <c r="E82" s="78" t="n">
        <f aca="false">SUMIFS(DRE_por_UN!$J:$J,DRE_por_UN!$C:$C,$C82,DRE_por_UN!$E:$E,$D82)</f>
        <v>7826.9202</v>
      </c>
      <c r="F82" s="44" t="n">
        <f aca="false">VLOOKUP($D82,Premissas!$A$52:$P$56,16,0)</f>
        <v>30</v>
      </c>
      <c r="G82" s="33" t="n">
        <f aca="false">E82*F82/30</f>
        <v>7826.9202</v>
      </c>
      <c r="H82" s="33" t="n">
        <f aca="false">$G82*Premissas!$B$42</f>
        <v>5478.84414</v>
      </c>
      <c r="I82" s="33" t="n">
        <f aca="false">$G82*Premissas!$C$42</f>
        <v>1174.03803</v>
      </c>
      <c r="J82" s="33" t="n">
        <f aca="false">$G82*Premissas!$D$42</f>
        <v>626.153616</v>
      </c>
      <c r="K82" s="33" t="n">
        <f aca="false">$G82*Premissas!$E$42</f>
        <v>313.076808</v>
      </c>
      <c r="L82" s="33" t="n">
        <f aca="false">$G82*Premissas!$F$42</f>
        <v>234.807606</v>
      </c>
    </row>
    <row r="83" customFormat="false" ht="15" hidden="false" customHeight="true" outlineLevel="0" collapsed="false">
      <c r="A83" s="32" t="n">
        <v>2025</v>
      </c>
      <c r="B83" s="32" t="n">
        <v>10</v>
      </c>
      <c r="C83" s="32" t="s">
        <v>157</v>
      </c>
      <c r="D83" s="32" t="s">
        <v>143</v>
      </c>
      <c r="E83" s="78" t="n">
        <f aca="false">SUMIFS(DRE_por_UN!$J:$J,DRE_por_UN!$C:$C,$C83,DRE_por_UN!$E:$E,$D83)</f>
        <v>2339.8302</v>
      </c>
      <c r="F83" s="44" t="n">
        <f aca="false">VLOOKUP($D83,Premissas!$A$52:$P$56,16,0)</f>
        <v>30</v>
      </c>
      <c r="G83" s="33" t="n">
        <f aca="false">E83*F83/30</f>
        <v>2339.8302</v>
      </c>
      <c r="H83" s="33" t="n">
        <f aca="false">$G83*Premissas!$B$42</f>
        <v>1637.88114</v>
      </c>
      <c r="I83" s="33" t="n">
        <f aca="false">$G83*Premissas!$C$42</f>
        <v>350.97453</v>
      </c>
      <c r="J83" s="33" t="n">
        <f aca="false">$G83*Premissas!$D$42</f>
        <v>187.186416</v>
      </c>
      <c r="K83" s="33" t="n">
        <f aca="false">$G83*Premissas!$E$42</f>
        <v>93.593208</v>
      </c>
      <c r="L83" s="33" t="n">
        <f aca="false">$G83*Premissas!$F$42</f>
        <v>70.194906</v>
      </c>
    </row>
    <row r="84" customFormat="false" ht="15" hidden="false" customHeight="true" outlineLevel="0" collapsed="false">
      <c r="A84" s="32" t="n">
        <v>2025</v>
      </c>
      <c r="B84" s="32" t="n">
        <v>11</v>
      </c>
      <c r="C84" s="32" t="s">
        <v>158</v>
      </c>
      <c r="D84" s="32" t="s">
        <v>143</v>
      </c>
      <c r="E84" s="78" t="n">
        <f aca="false">SUMIFS(DRE_por_UN!$J:$J,DRE_por_UN!$C:$C,$C84,DRE_por_UN!$E:$E,$D84)</f>
        <v>1950.9692</v>
      </c>
      <c r="F84" s="44" t="n">
        <f aca="false">VLOOKUP($D84,Premissas!$A$52:$P$56,16,0)</f>
        <v>30</v>
      </c>
      <c r="G84" s="33" t="n">
        <f aca="false">E84*F84/30</f>
        <v>1950.9692</v>
      </c>
      <c r="H84" s="33" t="n">
        <f aca="false">$G84*Premissas!$B$42</f>
        <v>1365.67844</v>
      </c>
      <c r="I84" s="33" t="n">
        <f aca="false">$G84*Premissas!$C$42</f>
        <v>292.64538</v>
      </c>
      <c r="J84" s="33" t="n">
        <f aca="false">$G84*Premissas!$D$42</f>
        <v>156.077536</v>
      </c>
      <c r="K84" s="33" t="n">
        <f aca="false">$G84*Premissas!$E$42</f>
        <v>78.038768</v>
      </c>
      <c r="L84" s="33" t="n">
        <f aca="false">$G84*Premissas!$F$42</f>
        <v>58.529076</v>
      </c>
    </row>
    <row r="85" customFormat="false" ht="15" hidden="false" customHeight="true" outlineLevel="0" collapsed="false">
      <c r="A85" s="32" t="n">
        <v>2025</v>
      </c>
      <c r="B85" s="32" t="n">
        <v>12</v>
      </c>
      <c r="C85" s="32" t="s">
        <v>159</v>
      </c>
      <c r="D85" s="32" t="s">
        <v>143</v>
      </c>
      <c r="E85" s="78" t="n">
        <f aca="false">SUMIFS(DRE_por_UN!$J:$J,DRE_por_UN!$C:$C,$C85,DRE_por_UN!$E:$E,$D85)</f>
        <v>5535.1256</v>
      </c>
      <c r="F85" s="44" t="n">
        <f aca="false">VLOOKUP($D85,Premissas!$A$52:$P$56,16,0)</f>
        <v>30</v>
      </c>
      <c r="G85" s="33" t="n">
        <f aca="false">E85*F85/30</f>
        <v>5535.1256</v>
      </c>
      <c r="H85" s="33" t="n">
        <f aca="false">$G85*Premissas!$B$42</f>
        <v>3874.58792</v>
      </c>
      <c r="I85" s="33" t="n">
        <f aca="false">$G85*Premissas!$C$42</f>
        <v>830.26884</v>
      </c>
      <c r="J85" s="33" t="n">
        <f aca="false">$G85*Premissas!$D$42</f>
        <v>442.810048</v>
      </c>
      <c r="K85" s="33" t="n">
        <f aca="false">$G85*Premissas!$E$42</f>
        <v>221.405024</v>
      </c>
      <c r="L85" s="33" t="n">
        <f aca="false">$G85*Premissas!$F$42</f>
        <v>166.053768</v>
      </c>
    </row>
    <row r="86" customFormat="false" ht="15" hidden="false" customHeight="true" outlineLevel="0" collapsed="false">
      <c r="A86" s="32" t="n">
        <v>2026</v>
      </c>
      <c r="B86" s="32" t="n">
        <v>1</v>
      </c>
      <c r="C86" s="32" t="s">
        <v>160</v>
      </c>
      <c r="D86" s="32" t="s">
        <v>143</v>
      </c>
      <c r="E86" s="78" t="n">
        <f aca="false">SUMIFS(DRE_por_UN!$J:$J,DRE_por_UN!$C:$C,$C86,DRE_por_UN!$E:$E,$D86)</f>
        <v>8073.5362</v>
      </c>
      <c r="F86" s="44" t="n">
        <f aca="false">VLOOKUP($D86,Premissas!$A$52:$P$56,16,0)</f>
        <v>30</v>
      </c>
      <c r="G86" s="33" t="n">
        <f aca="false">E86*F86/30</f>
        <v>8073.5362</v>
      </c>
      <c r="H86" s="33" t="n">
        <f aca="false">$G86*Premissas!$B$42</f>
        <v>5651.47534</v>
      </c>
      <c r="I86" s="33" t="n">
        <f aca="false">$G86*Premissas!$C$42</f>
        <v>1211.03043</v>
      </c>
      <c r="J86" s="33" t="n">
        <f aca="false">$G86*Premissas!$D$42</f>
        <v>645.882896</v>
      </c>
      <c r="K86" s="33" t="n">
        <f aca="false">$G86*Premissas!$E$42</f>
        <v>322.941448</v>
      </c>
      <c r="L86" s="33" t="n">
        <f aca="false">$G86*Premissas!$F$42</f>
        <v>242.206086</v>
      </c>
    </row>
    <row r="87" customFormat="false" ht="15" hidden="false" customHeight="true" outlineLevel="0" collapsed="false">
      <c r="A87" s="32" t="n">
        <v>2026</v>
      </c>
      <c r="B87" s="32" t="n">
        <v>2</v>
      </c>
      <c r="C87" s="32" t="s">
        <v>161</v>
      </c>
      <c r="D87" s="32" t="s">
        <v>143</v>
      </c>
      <c r="E87" s="78" t="n">
        <f aca="false">SUMIFS(DRE_por_UN!$J:$J,DRE_por_UN!$C:$C,$C87,DRE_por_UN!$E:$E,$D87)</f>
        <v>1272.2068</v>
      </c>
      <c r="F87" s="44" t="n">
        <f aca="false">VLOOKUP($D87,Premissas!$A$52:$P$56,16,0)</f>
        <v>30</v>
      </c>
      <c r="G87" s="33" t="n">
        <f aca="false">E87*F87/30</f>
        <v>1272.2068</v>
      </c>
      <c r="H87" s="33" t="n">
        <f aca="false">$G87*Premissas!$B$42</f>
        <v>890.54476</v>
      </c>
      <c r="I87" s="33" t="n">
        <f aca="false">$G87*Premissas!$C$42</f>
        <v>190.83102</v>
      </c>
      <c r="J87" s="33" t="n">
        <f aca="false">$G87*Premissas!$D$42</f>
        <v>101.776544</v>
      </c>
      <c r="K87" s="33" t="n">
        <f aca="false">$G87*Premissas!$E$42</f>
        <v>50.888272</v>
      </c>
      <c r="L87" s="33" t="n">
        <f aca="false">$G87*Premissas!$F$42</f>
        <v>38.166204</v>
      </c>
    </row>
    <row r="88" customFormat="false" ht="15" hidden="false" customHeight="true" outlineLevel="0" collapsed="false">
      <c r="A88" s="32" t="n">
        <v>2026</v>
      </c>
      <c r="B88" s="32" t="n">
        <v>3</v>
      </c>
      <c r="C88" s="32" t="s">
        <v>162</v>
      </c>
      <c r="D88" s="32" t="s">
        <v>143</v>
      </c>
      <c r="E88" s="78" t="n">
        <f aca="false">SUMIFS(DRE_por_UN!$J:$J,DRE_por_UN!$C:$C,$C88,DRE_por_UN!$E:$E,$D88)</f>
        <v>2417.2892</v>
      </c>
      <c r="F88" s="44" t="n">
        <f aca="false">VLOOKUP($D88,Premissas!$A$52:$P$56,16,0)</f>
        <v>30</v>
      </c>
      <c r="G88" s="33" t="n">
        <f aca="false">E88*F88/30</f>
        <v>2417.2892</v>
      </c>
      <c r="H88" s="33" t="n">
        <f aca="false">$G88*Premissas!$B$42</f>
        <v>1692.10244</v>
      </c>
      <c r="I88" s="33" t="n">
        <f aca="false">$G88*Premissas!$C$42</f>
        <v>362.59338</v>
      </c>
      <c r="J88" s="33" t="n">
        <f aca="false">$G88*Premissas!$D$42</f>
        <v>193.383136</v>
      </c>
      <c r="K88" s="33" t="n">
        <f aca="false">$G88*Premissas!$E$42</f>
        <v>96.691568</v>
      </c>
      <c r="L88" s="33" t="n">
        <f aca="false">$G88*Premissas!$F$42</f>
        <v>72.518676</v>
      </c>
    </row>
    <row r="89" customFormat="false" ht="15" hidden="false" customHeight="true" outlineLevel="0" collapsed="false">
      <c r="A89" s="32" t="n">
        <v>2026</v>
      </c>
      <c r="B89" s="32" t="n">
        <v>4</v>
      </c>
      <c r="C89" s="32" t="s">
        <v>163</v>
      </c>
      <c r="D89" s="32" t="s">
        <v>143</v>
      </c>
      <c r="E89" s="78" t="n">
        <f aca="false">SUMIFS(DRE_por_UN!$J:$J,DRE_por_UN!$C:$C,$C89,DRE_por_UN!$E:$E,$D89)</f>
        <v>2257.592</v>
      </c>
      <c r="F89" s="44" t="n">
        <f aca="false">VLOOKUP($D89,Premissas!$A$52:$P$56,16,0)</f>
        <v>30</v>
      </c>
      <c r="G89" s="33" t="n">
        <f aca="false">E89*F89/30</f>
        <v>2257.592</v>
      </c>
      <c r="H89" s="33" t="n">
        <f aca="false">$G89*Premissas!$B$42</f>
        <v>1580.3144</v>
      </c>
      <c r="I89" s="33" t="n">
        <f aca="false">$G89*Premissas!$C$42</f>
        <v>338.6388</v>
      </c>
      <c r="J89" s="33" t="n">
        <f aca="false">$G89*Premissas!$D$42</f>
        <v>180.60736</v>
      </c>
      <c r="K89" s="33" t="n">
        <f aca="false">$G89*Premissas!$E$42</f>
        <v>90.30368</v>
      </c>
      <c r="L89" s="33" t="n">
        <f aca="false">$G89*Premissas!$F$42</f>
        <v>67.72776</v>
      </c>
    </row>
    <row r="90" customFormat="false" ht="15" hidden="false" customHeight="true" outlineLevel="0" collapsed="false">
      <c r="A90" s="32" t="n">
        <v>2026</v>
      </c>
      <c r="B90" s="32" t="n">
        <v>5</v>
      </c>
      <c r="C90" s="32" t="s">
        <v>164</v>
      </c>
      <c r="D90" s="32" t="s">
        <v>143</v>
      </c>
      <c r="E90" s="78" t="n">
        <f aca="false">SUMIFS(DRE_por_UN!$J:$J,DRE_por_UN!$C:$C,$C90,DRE_por_UN!$E:$E,$D90)</f>
        <v>13765.9114</v>
      </c>
      <c r="F90" s="44" t="n">
        <f aca="false">VLOOKUP($D90,Premissas!$A$52:$P$56,16,0)</f>
        <v>30</v>
      </c>
      <c r="G90" s="33" t="n">
        <f aca="false">E90*F90/30</f>
        <v>13765.9114</v>
      </c>
      <c r="H90" s="33" t="n">
        <f aca="false">$G90*Premissas!$B$42</f>
        <v>9636.13798</v>
      </c>
      <c r="I90" s="33" t="n">
        <f aca="false">$G90*Premissas!$C$42</f>
        <v>2064.88671</v>
      </c>
      <c r="J90" s="33" t="n">
        <f aca="false">$G90*Premissas!$D$42</f>
        <v>1101.272912</v>
      </c>
      <c r="K90" s="33" t="n">
        <f aca="false">$G90*Premissas!$E$42</f>
        <v>550.636456</v>
      </c>
      <c r="L90" s="33" t="n">
        <f aca="false">$G90*Premissas!$F$42</f>
        <v>412.977342</v>
      </c>
    </row>
    <row r="91" customFormat="false" ht="15" hidden="false" customHeight="true" outlineLevel="0" collapsed="false">
      <c r="A91" s="32" t="n">
        <v>2026</v>
      </c>
      <c r="B91" s="32" t="n">
        <v>6</v>
      </c>
      <c r="C91" s="32" t="s">
        <v>165</v>
      </c>
      <c r="D91" s="32" t="s">
        <v>143</v>
      </c>
      <c r="E91" s="78" t="n">
        <f aca="false">SUMIFS(DRE_por_UN!$J:$J,DRE_por_UN!$C:$C,$C91,DRE_por_UN!$E:$E,$D91)</f>
        <v>11433.4704</v>
      </c>
      <c r="F91" s="44" t="n">
        <f aca="false">VLOOKUP($D91,Premissas!$A$52:$P$56,16,0)</f>
        <v>30</v>
      </c>
      <c r="G91" s="33" t="n">
        <f aca="false">E91*F91/30</f>
        <v>11433.4704</v>
      </c>
      <c r="H91" s="33" t="n">
        <f aca="false">$G91*Premissas!$B$42</f>
        <v>8003.42928</v>
      </c>
      <c r="I91" s="33" t="n">
        <f aca="false">$G91*Premissas!$C$42</f>
        <v>1715.02056</v>
      </c>
      <c r="J91" s="33" t="n">
        <f aca="false">$G91*Premissas!$D$42</f>
        <v>914.677632</v>
      </c>
      <c r="K91" s="33" t="n">
        <f aca="false">$G91*Premissas!$E$42</f>
        <v>457.338816</v>
      </c>
      <c r="L91" s="33" t="n">
        <f aca="false">$G91*Premissas!$F$42</f>
        <v>343.004112</v>
      </c>
    </row>
    <row r="92" customFormat="false" ht="15" hidden="false" customHeight="true" outlineLevel="0" collapsed="false">
      <c r="A92" s="32" t="n">
        <v>2026</v>
      </c>
      <c r="B92" s="32" t="n">
        <v>7</v>
      </c>
      <c r="C92" s="32" t="s">
        <v>166</v>
      </c>
      <c r="D92" s="32" t="s">
        <v>143</v>
      </c>
      <c r="E92" s="78" t="n">
        <f aca="false">SUMIFS(DRE_por_UN!$J:$J,DRE_por_UN!$C:$C,$C92,DRE_por_UN!$E:$E,$D92)</f>
        <v>3892.9716</v>
      </c>
      <c r="F92" s="44" t="n">
        <f aca="false">VLOOKUP($D92,Premissas!$A$52:$P$56,16,0)</f>
        <v>30</v>
      </c>
      <c r="G92" s="33" t="n">
        <f aca="false">E92*F92/30</f>
        <v>3892.9716</v>
      </c>
      <c r="H92" s="33" t="n">
        <f aca="false">$G92*Premissas!$B$42</f>
        <v>2725.08012</v>
      </c>
      <c r="I92" s="33" t="n">
        <f aca="false">$G92*Premissas!$C$42</f>
        <v>583.94574</v>
      </c>
      <c r="J92" s="33" t="n">
        <f aca="false">$G92*Premissas!$D$42</f>
        <v>311.437728</v>
      </c>
      <c r="K92" s="33" t="n">
        <f aca="false">$G92*Premissas!$E$42</f>
        <v>155.718864</v>
      </c>
      <c r="L92" s="33" t="n">
        <f aca="false">$G92*Premissas!$F$42</f>
        <v>116.789148</v>
      </c>
    </row>
    <row r="93" customFormat="false" ht="15" hidden="false" customHeight="true" outlineLevel="0" collapsed="false">
      <c r="A93" s="32" t="n">
        <v>2026</v>
      </c>
      <c r="B93" s="32" t="n">
        <v>8</v>
      </c>
      <c r="C93" s="32" t="s">
        <v>167</v>
      </c>
      <c r="D93" s="32" t="s">
        <v>143</v>
      </c>
      <c r="E93" s="78" t="n">
        <f aca="false">SUMIFS(DRE_por_UN!$J:$J,DRE_por_UN!$C:$C,$C93,DRE_por_UN!$E:$E,$D93)</f>
        <v>5791.6654</v>
      </c>
      <c r="F93" s="44" t="n">
        <f aca="false">VLOOKUP($D93,Premissas!$A$52:$P$56,16,0)</f>
        <v>30</v>
      </c>
      <c r="G93" s="33" t="n">
        <f aca="false">E93*F93/30</f>
        <v>5791.6654</v>
      </c>
      <c r="H93" s="33" t="n">
        <f aca="false">$G93*Premissas!$B$42</f>
        <v>4054.16578</v>
      </c>
      <c r="I93" s="33" t="n">
        <f aca="false">$G93*Premissas!$C$42</f>
        <v>868.74981</v>
      </c>
      <c r="J93" s="33" t="n">
        <f aca="false">$G93*Premissas!$D$42</f>
        <v>463.333232</v>
      </c>
      <c r="K93" s="33" t="n">
        <f aca="false">$G93*Premissas!$E$42</f>
        <v>231.666616</v>
      </c>
      <c r="L93" s="33" t="n">
        <f aca="false">$G93*Premissas!$F$42</f>
        <v>173.749962</v>
      </c>
    </row>
    <row r="94" customFormat="false" ht="15" hidden="false" customHeight="true" outlineLevel="0" collapsed="false">
      <c r="A94" s="32" t="n">
        <v>2026</v>
      </c>
      <c r="B94" s="32" t="n">
        <v>9</v>
      </c>
      <c r="C94" s="32" t="s">
        <v>168</v>
      </c>
      <c r="D94" s="32" t="s">
        <v>143</v>
      </c>
      <c r="E94" s="78" t="n">
        <f aca="false">SUMIFS(DRE_por_UN!$J:$J,DRE_por_UN!$C:$C,$C94,DRE_por_UN!$E:$E,$D94)</f>
        <v>4759.7062</v>
      </c>
      <c r="F94" s="44" t="n">
        <f aca="false">VLOOKUP($D94,Premissas!$A$52:$P$56,16,0)</f>
        <v>30</v>
      </c>
      <c r="G94" s="33" t="n">
        <f aca="false">E94*F94/30</f>
        <v>4759.7062</v>
      </c>
      <c r="H94" s="33" t="n">
        <f aca="false">$G94*Premissas!$B$42</f>
        <v>3331.79434</v>
      </c>
      <c r="I94" s="33" t="n">
        <f aca="false">$G94*Premissas!$C$42</f>
        <v>713.95593</v>
      </c>
      <c r="J94" s="33" t="n">
        <f aca="false">$G94*Premissas!$D$42</f>
        <v>380.776496</v>
      </c>
      <c r="K94" s="33" t="n">
        <f aca="false">$G94*Premissas!$E$42</f>
        <v>190.388248</v>
      </c>
      <c r="L94" s="33" t="n">
        <f aca="false">$G94*Premissas!$F$42</f>
        <v>142.791186</v>
      </c>
    </row>
    <row r="95" customFormat="false" ht="15" hidden="false" customHeight="true" outlineLevel="0" collapsed="false">
      <c r="A95" s="32" t="n">
        <v>2026</v>
      </c>
      <c r="B95" s="32" t="n">
        <v>10</v>
      </c>
      <c r="C95" s="32" t="s">
        <v>169</v>
      </c>
      <c r="D95" s="32" t="s">
        <v>143</v>
      </c>
      <c r="E95" s="78" t="n">
        <f aca="false">SUMIFS(DRE_por_UN!$J:$J,DRE_por_UN!$C:$C,$C95,DRE_por_UN!$E:$E,$D95)</f>
        <v>7926.3148</v>
      </c>
      <c r="F95" s="44" t="n">
        <f aca="false">VLOOKUP($D95,Premissas!$A$52:$P$56,16,0)</f>
        <v>30</v>
      </c>
      <c r="G95" s="33" t="n">
        <f aca="false">E95*F95/30</f>
        <v>7926.3148</v>
      </c>
      <c r="H95" s="33" t="n">
        <f aca="false">$G95*Premissas!$B$42</f>
        <v>5548.42036</v>
      </c>
      <c r="I95" s="33" t="n">
        <f aca="false">$G95*Premissas!$C$42</f>
        <v>1188.94722</v>
      </c>
      <c r="J95" s="33" t="n">
        <f aca="false">$G95*Premissas!$D$42</f>
        <v>634.105184</v>
      </c>
      <c r="K95" s="33" t="n">
        <f aca="false">$G95*Premissas!$E$42</f>
        <v>317.052592</v>
      </c>
      <c r="L95" s="33" t="n">
        <f aca="false">$G95*Premissas!$F$42</f>
        <v>237.789444</v>
      </c>
    </row>
    <row r="96" customFormat="false" ht="15" hidden="false" customHeight="true" outlineLevel="0" collapsed="false">
      <c r="A96" s="32" t="n">
        <v>2026</v>
      </c>
      <c r="B96" s="32" t="n">
        <v>11</v>
      </c>
      <c r="C96" s="32" t="s">
        <v>170</v>
      </c>
      <c r="D96" s="32" t="s">
        <v>143</v>
      </c>
      <c r="E96" s="78" t="n">
        <f aca="false">SUMIFS(DRE_por_UN!$J:$J,DRE_por_UN!$C:$C,$C96,DRE_por_UN!$E:$E,$D96)</f>
        <v>7087.8552</v>
      </c>
      <c r="F96" s="44" t="n">
        <f aca="false">VLOOKUP($D96,Premissas!$A$52:$P$56,16,0)</f>
        <v>30</v>
      </c>
      <c r="G96" s="33" t="n">
        <f aca="false">E96*F96/30</f>
        <v>7087.8552</v>
      </c>
      <c r="H96" s="33" t="n">
        <f aca="false">$G96*Premissas!$B$42</f>
        <v>4961.49864</v>
      </c>
      <c r="I96" s="33" t="n">
        <f aca="false">$G96*Premissas!$C$42</f>
        <v>1063.17828</v>
      </c>
      <c r="J96" s="33" t="n">
        <f aca="false">$G96*Premissas!$D$42</f>
        <v>567.028416</v>
      </c>
      <c r="K96" s="33" t="n">
        <f aca="false">$G96*Premissas!$E$42</f>
        <v>283.514208</v>
      </c>
      <c r="L96" s="33" t="n">
        <f aca="false">$G96*Premissas!$F$42</f>
        <v>212.635656</v>
      </c>
    </row>
    <row r="97" customFormat="false" ht="15" hidden="false" customHeight="true" outlineLevel="0" collapsed="false">
      <c r="A97" s="32" t="n">
        <v>2026</v>
      </c>
      <c r="B97" s="32" t="n">
        <v>12</v>
      </c>
      <c r="C97" s="32" t="s">
        <v>171</v>
      </c>
      <c r="D97" s="32" t="s">
        <v>143</v>
      </c>
      <c r="E97" s="78" t="n">
        <f aca="false">SUMIFS(DRE_por_UN!$J:$J,DRE_por_UN!$C:$C,$C97,DRE_por_UN!$E:$E,$D97)</f>
        <v>3885.8956</v>
      </c>
      <c r="F97" s="44" t="n">
        <f aca="false">VLOOKUP($D97,Premissas!$A$52:$P$56,16,0)</f>
        <v>30</v>
      </c>
      <c r="G97" s="33" t="n">
        <f aca="false">E97*F97/30</f>
        <v>3885.8956</v>
      </c>
      <c r="H97" s="33" t="n">
        <f aca="false">$G97*Premissas!$B$42</f>
        <v>2720.12692</v>
      </c>
      <c r="I97" s="33" t="n">
        <f aca="false">$G97*Premissas!$C$42</f>
        <v>582.88434</v>
      </c>
      <c r="J97" s="33" t="n">
        <f aca="false">$G97*Premissas!$D$42</f>
        <v>310.871648</v>
      </c>
      <c r="K97" s="33" t="n">
        <f aca="false">$G97*Premissas!$E$42</f>
        <v>155.435824</v>
      </c>
      <c r="L97" s="33" t="n">
        <f aca="false">$G97*Premissas!$F$42</f>
        <v>116.576868</v>
      </c>
    </row>
    <row r="98" customFormat="false" ht="15" hidden="false" customHeight="true" outlineLevel="0" collapsed="false">
      <c r="A98" s="32" t="n">
        <v>2027</v>
      </c>
      <c r="B98" s="32" t="n">
        <v>1</v>
      </c>
      <c r="C98" s="32" t="s">
        <v>172</v>
      </c>
      <c r="D98" s="32" t="s">
        <v>143</v>
      </c>
      <c r="E98" s="78" t="n">
        <f aca="false">SUMIFS(DRE_por_UN!$J:$J,DRE_por_UN!$C:$C,$C98,DRE_por_UN!$E:$E,$D98)</f>
        <v>10211.901262178</v>
      </c>
      <c r="F98" s="44" t="n">
        <f aca="false">VLOOKUP($D98,Premissas!$A$52:$P$56,16,0)</f>
        <v>30</v>
      </c>
      <c r="G98" s="33" t="n">
        <f aca="false">E98*F98/30</f>
        <v>10211.901262178</v>
      </c>
      <c r="H98" s="33" t="n">
        <f aca="false">$G98*Premissas!$B$42</f>
        <v>7148.3308835246</v>
      </c>
      <c r="I98" s="33" t="n">
        <f aca="false">$G98*Premissas!$C$42</f>
        <v>1531.7851893267</v>
      </c>
      <c r="J98" s="33" t="n">
        <f aca="false">$G98*Premissas!$D$42</f>
        <v>816.95210097424</v>
      </c>
      <c r="K98" s="33" t="n">
        <f aca="false">$G98*Premissas!$E$42</f>
        <v>408.47605048712</v>
      </c>
      <c r="L98" s="33" t="n">
        <f aca="false">$G98*Premissas!$F$42</f>
        <v>306.35703786534</v>
      </c>
    </row>
    <row r="99" customFormat="false" ht="15" hidden="false" customHeight="true" outlineLevel="0" collapsed="false">
      <c r="A99" s="32" t="n">
        <v>2027</v>
      </c>
      <c r="B99" s="32" t="n">
        <v>2</v>
      </c>
      <c r="C99" s="32" t="s">
        <v>173</v>
      </c>
      <c r="D99" s="32" t="s">
        <v>143</v>
      </c>
      <c r="E99" s="78" t="n">
        <f aca="false">SUMIFS(DRE_por_UN!$J:$J,DRE_por_UN!$C:$C,$C99,DRE_por_UN!$E:$E,$D99)</f>
        <v>1470.14230902</v>
      </c>
      <c r="F99" s="44" t="n">
        <f aca="false">VLOOKUP($D99,Premissas!$A$52:$P$56,16,0)</f>
        <v>30</v>
      </c>
      <c r="G99" s="33" t="n">
        <f aca="false">E99*F99/30</f>
        <v>1470.14230902</v>
      </c>
      <c r="H99" s="33" t="n">
        <f aca="false">$G99*Premissas!$B$42</f>
        <v>1029.099616314</v>
      </c>
      <c r="I99" s="33" t="n">
        <f aca="false">$G99*Premissas!$C$42</f>
        <v>220.521346353</v>
      </c>
      <c r="J99" s="33" t="n">
        <f aca="false">$G99*Premissas!$D$42</f>
        <v>117.6113847216</v>
      </c>
      <c r="K99" s="33" t="n">
        <f aca="false">$G99*Premissas!$E$42</f>
        <v>58.8056923608</v>
      </c>
      <c r="L99" s="33" t="n">
        <f aca="false">$G99*Premissas!$F$42</f>
        <v>44.1042692706</v>
      </c>
    </row>
    <row r="100" customFormat="false" ht="15" hidden="false" customHeight="true" outlineLevel="0" collapsed="false">
      <c r="A100" s="32" t="n">
        <v>2027</v>
      </c>
      <c r="B100" s="32" t="n">
        <v>3</v>
      </c>
      <c r="C100" s="32" t="s">
        <v>174</v>
      </c>
      <c r="D100" s="32" t="s">
        <v>143</v>
      </c>
      <c r="E100" s="78" t="n">
        <f aca="false">SUMIFS(DRE_por_UN!$J:$J,DRE_por_UN!$C:$C,$C100,DRE_por_UN!$E:$E,$D100)</f>
        <v>2633.259867832</v>
      </c>
      <c r="F100" s="44" t="n">
        <f aca="false">VLOOKUP($D100,Premissas!$A$52:$P$56,16,0)</f>
        <v>30</v>
      </c>
      <c r="G100" s="33" t="n">
        <f aca="false">E100*F100/30</f>
        <v>2633.259867832</v>
      </c>
      <c r="H100" s="33" t="n">
        <f aca="false">$G100*Premissas!$B$42</f>
        <v>1843.2819074824</v>
      </c>
      <c r="I100" s="33" t="n">
        <f aca="false">$G100*Premissas!$C$42</f>
        <v>394.9889801748</v>
      </c>
      <c r="J100" s="33" t="n">
        <f aca="false">$G100*Premissas!$D$42</f>
        <v>210.66078942656</v>
      </c>
      <c r="K100" s="33" t="n">
        <f aca="false">$G100*Premissas!$E$42</f>
        <v>105.33039471328</v>
      </c>
      <c r="L100" s="33" t="n">
        <f aca="false">$G100*Premissas!$F$42</f>
        <v>78.99779603496</v>
      </c>
    </row>
    <row r="101" customFormat="false" ht="15" hidden="false" customHeight="true" outlineLevel="0" collapsed="false">
      <c r="A101" s="32" t="n">
        <v>2027</v>
      </c>
      <c r="B101" s="32" t="n">
        <v>4</v>
      </c>
      <c r="C101" s="32" t="s">
        <v>175</v>
      </c>
      <c r="D101" s="32" t="s">
        <v>143</v>
      </c>
      <c r="E101" s="78" t="n">
        <f aca="false">SUMIFS(DRE_por_UN!$J:$J,DRE_por_UN!$C:$C,$C101,DRE_por_UN!$E:$E,$D101)</f>
        <v>2539.077366144</v>
      </c>
      <c r="F101" s="44" t="n">
        <f aca="false">VLOOKUP($D101,Premissas!$A$52:$P$56,16,0)</f>
        <v>30</v>
      </c>
      <c r="G101" s="33" t="n">
        <f aca="false">E101*F101/30</f>
        <v>2539.077366144</v>
      </c>
      <c r="H101" s="33" t="n">
        <f aca="false">$G101*Premissas!$B$42</f>
        <v>1777.3541563008</v>
      </c>
      <c r="I101" s="33" t="n">
        <f aca="false">$G101*Premissas!$C$42</f>
        <v>380.8616049216</v>
      </c>
      <c r="J101" s="33" t="n">
        <f aca="false">$G101*Premissas!$D$42</f>
        <v>203.12618929152</v>
      </c>
      <c r="K101" s="33" t="n">
        <f aca="false">$G101*Premissas!$E$42</f>
        <v>101.56309464576</v>
      </c>
      <c r="L101" s="33" t="n">
        <f aca="false">$G101*Premissas!$F$42</f>
        <v>76.17232098432</v>
      </c>
    </row>
    <row r="102" customFormat="false" ht="15" hidden="false" customHeight="true" outlineLevel="0" collapsed="false">
      <c r="A102" s="32" t="n">
        <v>2027</v>
      </c>
      <c r="B102" s="32" t="n">
        <v>5</v>
      </c>
      <c r="C102" s="32" t="s">
        <v>176</v>
      </c>
      <c r="D102" s="32" t="s">
        <v>143</v>
      </c>
      <c r="E102" s="78" t="n">
        <f aca="false">SUMIFS(DRE_por_UN!$J:$J,DRE_por_UN!$C:$C,$C102,DRE_por_UN!$E:$E,$D102)</f>
        <v>14292.84405901</v>
      </c>
      <c r="F102" s="44" t="n">
        <f aca="false">VLOOKUP($D102,Premissas!$A$52:$P$56,16,0)</f>
        <v>30</v>
      </c>
      <c r="G102" s="33" t="n">
        <f aca="false">E102*F102/30</f>
        <v>14292.84405901</v>
      </c>
      <c r="H102" s="33" t="n">
        <f aca="false">$G102*Premissas!$B$42</f>
        <v>10004.990841307</v>
      </c>
      <c r="I102" s="33" t="n">
        <f aca="false">$G102*Premissas!$C$42</f>
        <v>2143.9266088515</v>
      </c>
      <c r="J102" s="33" t="n">
        <f aca="false">$G102*Premissas!$D$42</f>
        <v>1143.4275247208</v>
      </c>
      <c r="K102" s="33" t="n">
        <f aca="false">$G102*Premissas!$E$42</f>
        <v>571.7137623604</v>
      </c>
      <c r="L102" s="33" t="n">
        <f aca="false">$G102*Premissas!$F$42</f>
        <v>428.7853217703</v>
      </c>
    </row>
    <row r="103" customFormat="false" ht="15" hidden="false" customHeight="true" outlineLevel="0" collapsed="false">
      <c r="A103" s="32" t="n">
        <v>2027</v>
      </c>
      <c r="B103" s="32" t="n">
        <v>6</v>
      </c>
      <c r="C103" s="32" t="s">
        <v>177</v>
      </c>
      <c r="D103" s="32" t="s">
        <v>143</v>
      </c>
      <c r="E103" s="78" t="n">
        <f aca="false">SUMIFS(DRE_por_UN!$J:$J,DRE_por_UN!$C:$C,$C103,DRE_por_UN!$E:$E,$D103)</f>
        <v>10542.672651192</v>
      </c>
      <c r="F103" s="44" t="n">
        <f aca="false">VLOOKUP($D103,Premissas!$A$52:$P$56,16,0)</f>
        <v>30</v>
      </c>
      <c r="G103" s="33" t="n">
        <f aca="false">E103*F103/30</f>
        <v>10542.672651192</v>
      </c>
      <c r="H103" s="33" t="n">
        <f aca="false">$G103*Premissas!$B$42</f>
        <v>7379.8708558344</v>
      </c>
      <c r="I103" s="33" t="n">
        <f aca="false">$G103*Premissas!$C$42</f>
        <v>1581.4008976788</v>
      </c>
      <c r="J103" s="33" t="n">
        <f aca="false">$G103*Premissas!$D$42</f>
        <v>843.41381209536</v>
      </c>
      <c r="K103" s="33" t="n">
        <f aca="false">$G103*Premissas!$E$42</f>
        <v>421.70690604768</v>
      </c>
      <c r="L103" s="33" t="n">
        <f aca="false">$G103*Premissas!$F$42</f>
        <v>316.28017953576</v>
      </c>
    </row>
    <row r="104" customFormat="false" ht="15" hidden="false" customHeight="true" outlineLevel="0" collapsed="false">
      <c r="A104" s="32" t="n">
        <v>2027</v>
      </c>
      <c r="B104" s="32" t="n">
        <v>7</v>
      </c>
      <c r="C104" s="32" t="s">
        <v>178</v>
      </c>
      <c r="D104" s="32" t="s">
        <v>143</v>
      </c>
      <c r="E104" s="78" t="n">
        <f aca="false">SUMIFS(DRE_por_UN!$J:$J,DRE_por_UN!$C:$C,$C104,DRE_por_UN!$E:$E,$D104)</f>
        <v>4397.531145348</v>
      </c>
      <c r="F104" s="44" t="n">
        <f aca="false">VLOOKUP($D104,Premissas!$A$52:$P$56,16,0)</f>
        <v>30</v>
      </c>
      <c r="G104" s="33" t="n">
        <f aca="false">E104*F104/30</f>
        <v>4397.531145348</v>
      </c>
      <c r="H104" s="33" t="n">
        <f aca="false">$G104*Premissas!$B$42</f>
        <v>3078.2718017436</v>
      </c>
      <c r="I104" s="33" t="n">
        <f aca="false">$G104*Premissas!$C$42</f>
        <v>659.6296718022</v>
      </c>
      <c r="J104" s="33" t="n">
        <f aca="false">$G104*Premissas!$D$42</f>
        <v>351.80249162784</v>
      </c>
      <c r="K104" s="33" t="n">
        <f aca="false">$G104*Premissas!$E$42</f>
        <v>175.90124581392</v>
      </c>
      <c r="L104" s="33" t="n">
        <f aca="false">$G104*Premissas!$F$42</f>
        <v>131.92593436044</v>
      </c>
    </row>
    <row r="105" customFormat="false" ht="15" hidden="false" customHeight="true" outlineLevel="0" collapsed="false">
      <c r="A105" s="32" t="n">
        <v>2027</v>
      </c>
      <c r="B105" s="32" t="n">
        <v>8</v>
      </c>
      <c r="C105" s="32" t="s">
        <v>179</v>
      </c>
      <c r="D105" s="32" t="s">
        <v>143</v>
      </c>
      <c r="E105" s="78" t="n">
        <f aca="false">SUMIFS(DRE_por_UN!$J:$J,DRE_por_UN!$C:$C,$C105,DRE_por_UN!$E:$E,$D105)</f>
        <v>6976.126969658</v>
      </c>
      <c r="F105" s="44" t="n">
        <f aca="false">VLOOKUP($D105,Premissas!$A$52:$P$56,16,0)</f>
        <v>30</v>
      </c>
      <c r="G105" s="33" t="n">
        <f aca="false">E105*F105/30</f>
        <v>6976.126969658</v>
      </c>
      <c r="H105" s="33" t="n">
        <f aca="false">$G105*Premissas!$B$42</f>
        <v>4883.2888787606</v>
      </c>
      <c r="I105" s="33" t="n">
        <f aca="false">$G105*Premissas!$C$42</f>
        <v>1046.4190454487</v>
      </c>
      <c r="J105" s="33" t="n">
        <f aca="false">$G105*Premissas!$D$42</f>
        <v>558.09015757264</v>
      </c>
      <c r="K105" s="33" t="n">
        <f aca="false">$G105*Premissas!$E$42</f>
        <v>279.04507878632</v>
      </c>
      <c r="L105" s="33" t="n">
        <f aca="false">$G105*Premissas!$F$42</f>
        <v>209.28380908974</v>
      </c>
    </row>
    <row r="106" customFormat="false" ht="15" hidden="false" customHeight="true" outlineLevel="0" collapsed="false">
      <c r="A106" s="32" t="n">
        <v>2027</v>
      </c>
      <c r="B106" s="32" t="n">
        <v>9</v>
      </c>
      <c r="C106" s="32" t="s">
        <v>180</v>
      </c>
      <c r="D106" s="32" t="s">
        <v>143</v>
      </c>
      <c r="E106" s="78" t="n">
        <f aca="false">SUMIFS(DRE_por_UN!$J:$J,DRE_por_UN!$C:$C,$C106,DRE_por_UN!$E:$E,$D106)</f>
        <v>5834.730453244</v>
      </c>
      <c r="F106" s="44" t="n">
        <f aca="false">VLOOKUP($D106,Premissas!$A$52:$P$56,16,0)</f>
        <v>30</v>
      </c>
      <c r="G106" s="33" t="n">
        <f aca="false">E106*F106/30</f>
        <v>5834.730453244</v>
      </c>
      <c r="H106" s="33" t="n">
        <f aca="false">$G106*Premissas!$B$42</f>
        <v>4084.3113172708</v>
      </c>
      <c r="I106" s="33" t="n">
        <f aca="false">$G106*Premissas!$C$42</f>
        <v>875.2095679866</v>
      </c>
      <c r="J106" s="33" t="n">
        <f aca="false">$G106*Premissas!$D$42</f>
        <v>466.77843625952</v>
      </c>
      <c r="K106" s="33" t="n">
        <f aca="false">$G106*Premissas!$E$42</f>
        <v>233.38921812976</v>
      </c>
      <c r="L106" s="33" t="n">
        <f aca="false">$G106*Premissas!$F$42</f>
        <v>175.04191359732</v>
      </c>
    </row>
    <row r="107" customFormat="false" ht="15" hidden="false" customHeight="true" outlineLevel="0" collapsed="false">
      <c r="A107" s="32" t="n">
        <v>2027</v>
      </c>
      <c r="B107" s="32" t="n">
        <v>10</v>
      </c>
      <c r="C107" s="32" t="s">
        <v>181</v>
      </c>
      <c r="D107" s="32" t="s">
        <v>143</v>
      </c>
      <c r="E107" s="78" t="n">
        <f aca="false">SUMIFS(DRE_por_UN!$J:$J,DRE_por_UN!$C:$C,$C107,DRE_por_UN!$E:$E,$D107)</f>
        <v>7052.41928017</v>
      </c>
      <c r="F107" s="44" t="n">
        <f aca="false">VLOOKUP($D107,Premissas!$A$52:$P$56,16,0)</f>
        <v>30</v>
      </c>
      <c r="G107" s="33" t="n">
        <f aca="false">E107*F107/30</f>
        <v>7052.41928017</v>
      </c>
      <c r="H107" s="33" t="n">
        <f aca="false">$G107*Premissas!$B$42</f>
        <v>4936.693496119</v>
      </c>
      <c r="I107" s="33" t="n">
        <f aca="false">$G107*Premissas!$C$42</f>
        <v>1057.8628920255</v>
      </c>
      <c r="J107" s="33" t="n">
        <f aca="false">$G107*Premissas!$D$42</f>
        <v>564.1935424136</v>
      </c>
      <c r="K107" s="33" t="n">
        <f aca="false">$G107*Premissas!$E$42</f>
        <v>282.0967712068</v>
      </c>
      <c r="L107" s="33" t="n">
        <f aca="false">$G107*Premissas!$F$42</f>
        <v>211.5725784051</v>
      </c>
    </row>
    <row r="108" customFormat="false" ht="15" hidden="false" customHeight="true" outlineLevel="0" collapsed="false">
      <c r="A108" s="32" t="n">
        <v>2027</v>
      </c>
      <c r="B108" s="32" t="n">
        <v>11</v>
      </c>
      <c r="C108" s="32" t="s">
        <v>182</v>
      </c>
      <c r="D108" s="32" t="s">
        <v>143</v>
      </c>
      <c r="E108" s="78" t="n">
        <f aca="false">SUMIFS(DRE_por_UN!$J:$J,DRE_por_UN!$C:$C,$C108,DRE_por_UN!$E:$E,$D108)</f>
        <v>6156.378927138</v>
      </c>
      <c r="F108" s="44" t="n">
        <f aca="false">VLOOKUP($D108,Premissas!$A$52:$P$56,16,0)</f>
        <v>30</v>
      </c>
      <c r="G108" s="33" t="n">
        <f aca="false">E108*F108/30</f>
        <v>6156.378927138</v>
      </c>
      <c r="H108" s="33" t="n">
        <f aca="false">$G108*Premissas!$B$42</f>
        <v>4309.4652489966</v>
      </c>
      <c r="I108" s="33" t="n">
        <f aca="false">$G108*Premissas!$C$42</f>
        <v>923.4568390707</v>
      </c>
      <c r="J108" s="33" t="n">
        <f aca="false">$G108*Premissas!$D$42</f>
        <v>492.51031417104</v>
      </c>
      <c r="K108" s="33" t="n">
        <f aca="false">$G108*Premissas!$E$42</f>
        <v>246.25515708552</v>
      </c>
      <c r="L108" s="33" t="n">
        <f aca="false">$G108*Premissas!$F$42</f>
        <v>184.69136781414</v>
      </c>
    </row>
    <row r="109" customFormat="false" ht="15" hidden="false" customHeight="true" outlineLevel="0" collapsed="false">
      <c r="A109" s="32" t="n">
        <v>2027</v>
      </c>
      <c r="B109" s="32" t="n">
        <v>12</v>
      </c>
      <c r="C109" s="32" t="s">
        <v>183</v>
      </c>
      <c r="D109" s="32" t="s">
        <v>143</v>
      </c>
      <c r="E109" s="78" t="n">
        <f aca="false">SUMIFS(DRE_por_UN!$J:$J,DRE_por_UN!$C:$C,$C109,DRE_por_UN!$E:$E,$D109)</f>
        <v>4095.481476394</v>
      </c>
      <c r="F109" s="44" t="n">
        <f aca="false">VLOOKUP($D109,Premissas!$A$52:$P$56,16,0)</f>
        <v>30</v>
      </c>
      <c r="G109" s="33" t="n">
        <f aca="false">E109*F109/30</f>
        <v>4095.481476394</v>
      </c>
      <c r="H109" s="33" t="n">
        <f aca="false">$G109*Premissas!$B$42</f>
        <v>2866.8370334758</v>
      </c>
      <c r="I109" s="33" t="n">
        <f aca="false">$G109*Premissas!$C$42</f>
        <v>614.3222214591</v>
      </c>
      <c r="J109" s="33" t="n">
        <f aca="false">$G109*Premissas!$D$42</f>
        <v>327.63851811152</v>
      </c>
      <c r="K109" s="33" t="n">
        <f aca="false">$G109*Premissas!$E$42</f>
        <v>163.81925905576</v>
      </c>
      <c r="L109" s="33" t="n">
        <f aca="false">$G109*Premissas!$F$42</f>
        <v>122.86444429182</v>
      </c>
    </row>
    <row r="110" customFormat="false" ht="15" hidden="false" customHeight="true" outlineLevel="0" collapsed="false">
      <c r="A110" s="32" t="n">
        <v>2025</v>
      </c>
      <c r="B110" s="32" t="n">
        <v>1</v>
      </c>
      <c r="C110" s="32" t="s">
        <v>148</v>
      </c>
      <c r="D110" s="32" t="s">
        <v>144</v>
      </c>
      <c r="E110" s="78" t="n">
        <f aca="false">SUMIFS(DRE_por_UN!$J:$J,DRE_por_UN!$C:$C,$C110,DRE_por_UN!$E:$E,$D110)</f>
        <v>16797.2994</v>
      </c>
      <c r="F110" s="44" t="n">
        <f aca="false">VLOOKUP($D110,Premissas!$A$52:$P$56,16,0)</f>
        <v>35</v>
      </c>
      <c r="G110" s="33" t="n">
        <f aca="false">E110*F110/30</f>
        <v>19596.8493</v>
      </c>
      <c r="H110" s="33" t="n">
        <f aca="false">$G110*Premissas!$B$42</f>
        <v>13717.79451</v>
      </c>
      <c r="I110" s="33" t="n">
        <f aca="false">$G110*Premissas!$C$42</f>
        <v>2939.527395</v>
      </c>
      <c r="J110" s="33" t="n">
        <f aca="false">$G110*Premissas!$D$42</f>
        <v>1567.747944</v>
      </c>
      <c r="K110" s="33" t="n">
        <f aca="false">$G110*Premissas!$E$42</f>
        <v>783.873972</v>
      </c>
      <c r="L110" s="33" t="n">
        <f aca="false">$G110*Premissas!$F$42</f>
        <v>587.905479</v>
      </c>
    </row>
    <row r="111" customFormat="false" ht="15" hidden="false" customHeight="true" outlineLevel="0" collapsed="false">
      <c r="A111" s="32" t="n">
        <v>2025</v>
      </c>
      <c r="B111" s="32" t="n">
        <v>2</v>
      </c>
      <c r="C111" s="32" t="s">
        <v>149</v>
      </c>
      <c r="D111" s="32" t="s">
        <v>144</v>
      </c>
      <c r="E111" s="78" t="n">
        <f aca="false">SUMIFS(DRE_por_UN!$J:$J,DRE_por_UN!$C:$C,$C111,DRE_por_UN!$E:$E,$D111)</f>
        <v>18310.401</v>
      </c>
      <c r="F111" s="44" t="n">
        <f aca="false">VLOOKUP($D111,Premissas!$A$52:$P$56,16,0)</f>
        <v>35</v>
      </c>
      <c r="G111" s="33" t="n">
        <f aca="false">E111*F111/30</f>
        <v>21362.1345</v>
      </c>
      <c r="H111" s="33" t="n">
        <f aca="false">$G111*Premissas!$B$42</f>
        <v>14953.49415</v>
      </c>
      <c r="I111" s="33" t="n">
        <f aca="false">$G111*Premissas!$C$42</f>
        <v>3204.320175</v>
      </c>
      <c r="J111" s="33" t="n">
        <f aca="false">$G111*Premissas!$D$42</f>
        <v>1708.97076</v>
      </c>
      <c r="K111" s="33" t="n">
        <f aca="false">$G111*Premissas!$E$42</f>
        <v>854.48538</v>
      </c>
      <c r="L111" s="33" t="n">
        <f aca="false">$G111*Premissas!$F$42</f>
        <v>640.864035</v>
      </c>
    </row>
    <row r="112" customFormat="false" ht="15" hidden="false" customHeight="true" outlineLevel="0" collapsed="false">
      <c r="A112" s="32" t="n">
        <v>2025</v>
      </c>
      <c r="B112" s="32" t="n">
        <v>3</v>
      </c>
      <c r="C112" s="32" t="s">
        <v>150</v>
      </c>
      <c r="D112" s="32" t="s">
        <v>144</v>
      </c>
      <c r="E112" s="78" t="n">
        <f aca="false">SUMIFS(DRE_por_UN!$J:$J,DRE_por_UN!$C:$C,$C112,DRE_por_UN!$E:$E,$D112)</f>
        <v>19419.5286</v>
      </c>
      <c r="F112" s="44" t="n">
        <f aca="false">VLOOKUP($D112,Premissas!$A$52:$P$56,16,0)</f>
        <v>35</v>
      </c>
      <c r="G112" s="33" t="n">
        <f aca="false">E112*F112/30</f>
        <v>22656.1167</v>
      </c>
      <c r="H112" s="33" t="n">
        <f aca="false">$G112*Premissas!$B$42</f>
        <v>15859.28169</v>
      </c>
      <c r="I112" s="33" t="n">
        <f aca="false">$G112*Premissas!$C$42</f>
        <v>3398.417505</v>
      </c>
      <c r="J112" s="33" t="n">
        <f aca="false">$G112*Premissas!$D$42</f>
        <v>1812.489336</v>
      </c>
      <c r="K112" s="33" t="n">
        <f aca="false">$G112*Premissas!$E$42</f>
        <v>906.244668</v>
      </c>
      <c r="L112" s="33" t="n">
        <f aca="false">$G112*Premissas!$F$42</f>
        <v>679.683501</v>
      </c>
    </row>
    <row r="113" customFormat="false" ht="15" hidden="false" customHeight="true" outlineLevel="0" collapsed="false">
      <c r="A113" s="32" t="n">
        <v>2025</v>
      </c>
      <c r="B113" s="32" t="n">
        <v>4</v>
      </c>
      <c r="C113" s="32" t="s">
        <v>151</v>
      </c>
      <c r="D113" s="32" t="s">
        <v>144</v>
      </c>
      <c r="E113" s="78" t="n">
        <f aca="false">SUMIFS(DRE_por_UN!$J:$J,DRE_por_UN!$C:$C,$C113,DRE_por_UN!$E:$E,$D113)</f>
        <v>22669.5024</v>
      </c>
      <c r="F113" s="44" t="n">
        <f aca="false">VLOOKUP($D113,Premissas!$A$52:$P$56,16,0)</f>
        <v>35</v>
      </c>
      <c r="G113" s="33" t="n">
        <f aca="false">E113*F113/30</f>
        <v>26447.7528</v>
      </c>
      <c r="H113" s="33" t="n">
        <f aca="false">$G113*Premissas!$B$42</f>
        <v>18513.42696</v>
      </c>
      <c r="I113" s="33" t="n">
        <f aca="false">$G113*Premissas!$C$42</f>
        <v>3967.16292</v>
      </c>
      <c r="J113" s="33" t="n">
        <f aca="false">$G113*Premissas!$D$42</f>
        <v>2115.820224</v>
      </c>
      <c r="K113" s="33" t="n">
        <f aca="false">$G113*Premissas!$E$42</f>
        <v>1057.910112</v>
      </c>
      <c r="L113" s="33" t="n">
        <f aca="false">$G113*Premissas!$F$42</f>
        <v>793.432584</v>
      </c>
    </row>
    <row r="114" customFormat="false" ht="15" hidden="false" customHeight="true" outlineLevel="0" collapsed="false">
      <c r="A114" s="32" t="n">
        <v>2025</v>
      </c>
      <c r="B114" s="32" t="n">
        <v>5</v>
      </c>
      <c r="C114" s="32" t="s">
        <v>152</v>
      </c>
      <c r="D114" s="32" t="s">
        <v>144</v>
      </c>
      <c r="E114" s="78" t="n">
        <f aca="false">SUMIFS(DRE_por_UN!$J:$J,DRE_por_UN!$C:$C,$C114,DRE_por_UN!$E:$E,$D114)</f>
        <v>19779.8922</v>
      </c>
      <c r="F114" s="44" t="n">
        <f aca="false">VLOOKUP($D114,Premissas!$A$52:$P$56,16,0)</f>
        <v>35</v>
      </c>
      <c r="G114" s="33" t="n">
        <f aca="false">E114*F114/30</f>
        <v>23076.5409</v>
      </c>
      <c r="H114" s="33" t="n">
        <f aca="false">$G114*Premissas!$B$42</f>
        <v>16153.57863</v>
      </c>
      <c r="I114" s="33" t="n">
        <f aca="false">$G114*Premissas!$C$42</f>
        <v>3461.481135</v>
      </c>
      <c r="J114" s="33" t="n">
        <f aca="false">$G114*Premissas!$D$42</f>
        <v>1846.123272</v>
      </c>
      <c r="K114" s="33" t="n">
        <f aca="false">$G114*Premissas!$E$42</f>
        <v>923.061636</v>
      </c>
      <c r="L114" s="33" t="n">
        <f aca="false">$G114*Premissas!$F$42</f>
        <v>692.296227</v>
      </c>
    </row>
    <row r="115" customFormat="false" ht="15" hidden="false" customHeight="true" outlineLevel="0" collapsed="false">
      <c r="A115" s="32" t="n">
        <v>2025</v>
      </c>
      <c r="B115" s="32" t="n">
        <v>6</v>
      </c>
      <c r="C115" s="32" t="s">
        <v>153</v>
      </c>
      <c r="D115" s="32" t="s">
        <v>144</v>
      </c>
      <c r="E115" s="78" t="n">
        <f aca="false">SUMIFS(DRE_por_UN!$J:$J,DRE_por_UN!$C:$C,$C115,DRE_por_UN!$E:$E,$D115)</f>
        <v>18517.7502</v>
      </c>
      <c r="F115" s="44" t="n">
        <f aca="false">VLOOKUP($D115,Premissas!$A$52:$P$56,16,0)</f>
        <v>35</v>
      </c>
      <c r="G115" s="33" t="n">
        <f aca="false">E115*F115/30</f>
        <v>21604.0419</v>
      </c>
      <c r="H115" s="33" t="n">
        <f aca="false">$G115*Premissas!$B$42</f>
        <v>15122.82933</v>
      </c>
      <c r="I115" s="33" t="n">
        <f aca="false">$G115*Premissas!$C$42</f>
        <v>3240.606285</v>
      </c>
      <c r="J115" s="33" t="n">
        <f aca="false">$G115*Premissas!$D$42</f>
        <v>1728.323352</v>
      </c>
      <c r="K115" s="33" t="n">
        <f aca="false">$G115*Premissas!$E$42</f>
        <v>864.161676</v>
      </c>
      <c r="L115" s="33" t="n">
        <f aca="false">$G115*Premissas!$F$42</f>
        <v>648.121257</v>
      </c>
    </row>
    <row r="116" customFormat="false" ht="15" hidden="false" customHeight="true" outlineLevel="0" collapsed="false">
      <c r="A116" s="32" t="n">
        <v>2025</v>
      </c>
      <c r="B116" s="32" t="n">
        <v>7</v>
      </c>
      <c r="C116" s="32" t="s">
        <v>154</v>
      </c>
      <c r="D116" s="32" t="s">
        <v>144</v>
      </c>
      <c r="E116" s="78" t="n">
        <f aca="false">SUMIFS(DRE_por_UN!$J:$J,DRE_por_UN!$C:$C,$C116,DRE_por_UN!$E:$E,$D116)</f>
        <v>22354.3044</v>
      </c>
      <c r="F116" s="44" t="n">
        <f aca="false">VLOOKUP($D116,Premissas!$A$52:$P$56,16,0)</f>
        <v>35</v>
      </c>
      <c r="G116" s="33" t="n">
        <f aca="false">E116*F116/30</f>
        <v>26080.0218</v>
      </c>
      <c r="H116" s="33" t="n">
        <f aca="false">$G116*Premissas!$B$42</f>
        <v>18256.01526</v>
      </c>
      <c r="I116" s="33" t="n">
        <f aca="false">$G116*Premissas!$C$42</f>
        <v>3912.00327</v>
      </c>
      <c r="J116" s="33" t="n">
        <f aca="false">$G116*Premissas!$D$42</f>
        <v>2086.401744</v>
      </c>
      <c r="K116" s="33" t="n">
        <f aca="false">$G116*Premissas!$E$42</f>
        <v>1043.200872</v>
      </c>
      <c r="L116" s="33" t="n">
        <f aca="false">$G116*Premissas!$F$42</f>
        <v>782.400654</v>
      </c>
    </row>
    <row r="117" customFormat="false" ht="15" hidden="false" customHeight="true" outlineLevel="0" collapsed="false">
      <c r="A117" s="32" t="n">
        <v>2025</v>
      </c>
      <c r="B117" s="32" t="n">
        <v>8</v>
      </c>
      <c r="C117" s="32" t="s">
        <v>155</v>
      </c>
      <c r="D117" s="32" t="s">
        <v>144</v>
      </c>
      <c r="E117" s="78" t="n">
        <f aca="false">SUMIFS(DRE_por_UN!$J:$J,DRE_por_UN!$C:$C,$C117,DRE_por_UN!$E:$E,$D117)</f>
        <v>16750.827</v>
      </c>
      <c r="F117" s="44" t="n">
        <f aca="false">VLOOKUP($D117,Premissas!$A$52:$P$56,16,0)</f>
        <v>35</v>
      </c>
      <c r="G117" s="33" t="n">
        <f aca="false">E117*F117/30</f>
        <v>19542.6315</v>
      </c>
      <c r="H117" s="33" t="n">
        <f aca="false">$G117*Premissas!$B$42</f>
        <v>13679.84205</v>
      </c>
      <c r="I117" s="33" t="n">
        <f aca="false">$G117*Premissas!$C$42</f>
        <v>2931.394725</v>
      </c>
      <c r="J117" s="33" t="n">
        <f aca="false">$G117*Premissas!$D$42</f>
        <v>1563.41052</v>
      </c>
      <c r="K117" s="33" t="n">
        <f aca="false">$G117*Premissas!$E$42</f>
        <v>781.70526</v>
      </c>
      <c r="L117" s="33" t="n">
        <f aca="false">$G117*Premissas!$F$42</f>
        <v>586.278945</v>
      </c>
    </row>
    <row r="118" customFormat="false" ht="15" hidden="false" customHeight="true" outlineLevel="0" collapsed="false">
      <c r="A118" s="32" t="n">
        <v>2025</v>
      </c>
      <c r="B118" s="32" t="n">
        <v>9</v>
      </c>
      <c r="C118" s="32" t="s">
        <v>156</v>
      </c>
      <c r="D118" s="32" t="s">
        <v>144</v>
      </c>
      <c r="E118" s="78" t="n">
        <f aca="false">SUMIFS(DRE_por_UN!$J:$J,DRE_por_UN!$C:$C,$C118,DRE_por_UN!$E:$E,$D118)</f>
        <v>16565.715</v>
      </c>
      <c r="F118" s="44" t="n">
        <f aca="false">VLOOKUP($D118,Premissas!$A$52:$P$56,16,0)</f>
        <v>35</v>
      </c>
      <c r="G118" s="33" t="n">
        <f aca="false">E118*F118/30</f>
        <v>19326.6675</v>
      </c>
      <c r="H118" s="33" t="n">
        <f aca="false">$G118*Premissas!$B$42</f>
        <v>13528.66725</v>
      </c>
      <c r="I118" s="33" t="n">
        <f aca="false">$G118*Premissas!$C$42</f>
        <v>2899.000125</v>
      </c>
      <c r="J118" s="33" t="n">
        <f aca="false">$G118*Premissas!$D$42</f>
        <v>1546.1334</v>
      </c>
      <c r="K118" s="33" t="n">
        <f aca="false">$G118*Premissas!$E$42</f>
        <v>773.0667</v>
      </c>
      <c r="L118" s="33" t="n">
        <f aca="false">$G118*Premissas!$F$42</f>
        <v>579.800025</v>
      </c>
    </row>
    <row r="119" customFormat="false" ht="15" hidden="false" customHeight="true" outlineLevel="0" collapsed="false">
      <c r="A119" s="32" t="n">
        <v>2025</v>
      </c>
      <c r="B119" s="32" t="n">
        <v>10</v>
      </c>
      <c r="C119" s="32" t="s">
        <v>157</v>
      </c>
      <c r="D119" s="32" t="s">
        <v>144</v>
      </c>
      <c r="E119" s="78" t="n">
        <f aca="false">SUMIFS(DRE_por_UN!$J:$J,DRE_por_UN!$C:$C,$C119,DRE_por_UN!$E:$E,$D119)</f>
        <v>21782.7576</v>
      </c>
      <c r="F119" s="44" t="n">
        <f aca="false">VLOOKUP($D119,Premissas!$A$52:$P$56,16,0)</f>
        <v>35</v>
      </c>
      <c r="G119" s="33" t="n">
        <f aca="false">E119*F119/30</f>
        <v>25413.2172</v>
      </c>
      <c r="H119" s="33" t="n">
        <f aca="false">$G119*Premissas!$B$42</f>
        <v>17789.25204</v>
      </c>
      <c r="I119" s="33" t="n">
        <f aca="false">$G119*Premissas!$C$42</f>
        <v>3811.98258</v>
      </c>
      <c r="J119" s="33" t="n">
        <f aca="false">$G119*Premissas!$D$42</f>
        <v>2033.057376</v>
      </c>
      <c r="K119" s="33" t="n">
        <f aca="false">$G119*Premissas!$E$42</f>
        <v>1016.528688</v>
      </c>
      <c r="L119" s="33" t="n">
        <f aca="false">$G119*Premissas!$F$42</f>
        <v>762.396516</v>
      </c>
    </row>
    <row r="120" customFormat="false" ht="15" hidden="false" customHeight="true" outlineLevel="0" collapsed="false">
      <c r="A120" s="32" t="n">
        <v>2025</v>
      </c>
      <c r="B120" s="32" t="n">
        <v>11</v>
      </c>
      <c r="C120" s="32" t="s">
        <v>158</v>
      </c>
      <c r="D120" s="32" t="s">
        <v>144</v>
      </c>
      <c r="E120" s="78" t="n">
        <f aca="false">SUMIFS(DRE_por_UN!$J:$J,DRE_por_UN!$C:$C,$C120,DRE_por_UN!$E:$E,$D120)</f>
        <v>25548.1722</v>
      </c>
      <c r="F120" s="44" t="n">
        <f aca="false">VLOOKUP($D120,Premissas!$A$52:$P$56,16,0)</f>
        <v>35</v>
      </c>
      <c r="G120" s="33" t="n">
        <f aca="false">E120*F120/30</f>
        <v>29806.2009</v>
      </c>
      <c r="H120" s="33" t="n">
        <f aca="false">$G120*Premissas!$B$42</f>
        <v>20864.34063</v>
      </c>
      <c r="I120" s="33" t="n">
        <f aca="false">$G120*Premissas!$C$42</f>
        <v>4470.930135</v>
      </c>
      <c r="J120" s="33" t="n">
        <f aca="false">$G120*Premissas!$D$42</f>
        <v>2384.496072</v>
      </c>
      <c r="K120" s="33" t="n">
        <f aca="false">$G120*Premissas!$E$42</f>
        <v>1192.248036</v>
      </c>
      <c r="L120" s="33" t="n">
        <f aca="false">$G120*Premissas!$F$42</f>
        <v>894.186027</v>
      </c>
    </row>
    <row r="121" customFormat="false" ht="15" hidden="false" customHeight="true" outlineLevel="0" collapsed="false">
      <c r="A121" s="32" t="n">
        <v>2025</v>
      </c>
      <c r="B121" s="32" t="n">
        <v>12</v>
      </c>
      <c r="C121" s="32" t="s">
        <v>159</v>
      </c>
      <c r="D121" s="32" t="s">
        <v>144</v>
      </c>
      <c r="E121" s="78" t="n">
        <f aca="false">SUMIFS(DRE_por_UN!$J:$J,DRE_por_UN!$C:$C,$C121,DRE_por_UN!$E:$E,$D121)</f>
        <v>24934.5594</v>
      </c>
      <c r="F121" s="44" t="n">
        <f aca="false">VLOOKUP($D121,Premissas!$A$52:$P$56,16,0)</f>
        <v>35</v>
      </c>
      <c r="G121" s="33" t="n">
        <f aca="false">E121*F121/30</f>
        <v>29090.3193</v>
      </c>
      <c r="H121" s="33" t="n">
        <f aca="false">$G121*Premissas!$B$42</f>
        <v>20363.22351</v>
      </c>
      <c r="I121" s="33" t="n">
        <f aca="false">$G121*Premissas!$C$42</f>
        <v>4363.547895</v>
      </c>
      <c r="J121" s="33" t="n">
        <f aca="false">$G121*Premissas!$D$42</f>
        <v>2327.225544</v>
      </c>
      <c r="K121" s="33" t="n">
        <f aca="false">$G121*Premissas!$E$42</f>
        <v>1163.612772</v>
      </c>
      <c r="L121" s="33" t="n">
        <f aca="false">$G121*Premissas!$F$42</f>
        <v>872.709579</v>
      </c>
    </row>
    <row r="122" customFormat="false" ht="15" hidden="false" customHeight="true" outlineLevel="0" collapsed="false">
      <c r="A122" s="32" t="n">
        <v>2026</v>
      </c>
      <c r="B122" s="32" t="n">
        <v>1</v>
      </c>
      <c r="C122" s="32" t="s">
        <v>160</v>
      </c>
      <c r="D122" s="32" t="s">
        <v>144</v>
      </c>
      <c r="E122" s="78" t="n">
        <f aca="false">SUMIFS(DRE_por_UN!$J:$J,DRE_por_UN!$C:$C,$C122,DRE_por_UN!$E:$E,$D122)</f>
        <v>17481.1338</v>
      </c>
      <c r="F122" s="44" t="n">
        <f aca="false">VLOOKUP($D122,Premissas!$A$52:$P$56,16,0)</f>
        <v>35</v>
      </c>
      <c r="G122" s="33" t="n">
        <f aca="false">E122*F122/30</f>
        <v>20394.6561</v>
      </c>
      <c r="H122" s="33" t="n">
        <f aca="false">$G122*Premissas!$B$42</f>
        <v>14276.25927</v>
      </c>
      <c r="I122" s="33" t="n">
        <f aca="false">$G122*Premissas!$C$42</f>
        <v>3059.198415</v>
      </c>
      <c r="J122" s="33" t="n">
        <f aca="false">$G122*Premissas!$D$42</f>
        <v>1631.572488</v>
      </c>
      <c r="K122" s="33" t="n">
        <f aca="false">$G122*Premissas!$E$42</f>
        <v>815.786244</v>
      </c>
      <c r="L122" s="33" t="n">
        <f aca="false">$G122*Premissas!$F$42</f>
        <v>611.839683</v>
      </c>
    </row>
    <row r="123" customFormat="false" ht="15" hidden="false" customHeight="true" outlineLevel="0" collapsed="false">
      <c r="A123" s="32" t="n">
        <v>2026</v>
      </c>
      <c r="B123" s="32" t="n">
        <v>2</v>
      </c>
      <c r="C123" s="32" t="s">
        <v>161</v>
      </c>
      <c r="D123" s="32" t="s">
        <v>144</v>
      </c>
      <c r="E123" s="78" t="n">
        <f aca="false">SUMIFS(DRE_por_UN!$J:$J,DRE_por_UN!$C:$C,$C123,DRE_por_UN!$E:$E,$D123)</f>
        <v>13213.7298</v>
      </c>
      <c r="F123" s="44" t="n">
        <f aca="false">VLOOKUP($D123,Premissas!$A$52:$P$56,16,0)</f>
        <v>35</v>
      </c>
      <c r="G123" s="33" t="n">
        <f aca="false">E123*F123/30</f>
        <v>15416.0181</v>
      </c>
      <c r="H123" s="33" t="n">
        <f aca="false">$G123*Premissas!$B$42</f>
        <v>10791.21267</v>
      </c>
      <c r="I123" s="33" t="n">
        <f aca="false">$G123*Premissas!$C$42</f>
        <v>2312.402715</v>
      </c>
      <c r="J123" s="33" t="n">
        <f aca="false">$G123*Premissas!$D$42</f>
        <v>1233.281448</v>
      </c>
      <c r="K123" s="33" t="n">
        <f aca="false">$G123*Premissas!$E$42</f>
        <v>616.640724</v>
      </c>
      <c r="L123" s="33" t="n">
        <f aca="false">$G123*Premissas!$F$42</f>
        <v>462.480543</v>
      </c>
    </row>
    <row r="124" customFormat="false" ht="15" hidden="false" customHeight="true" outlineLevel="0" collapsed="false">
      <c r="A124" s="32" t="n">
        <v>2026</v>
      </c>
      <c r="B124" s="32" t="n">
        <v>3</v>
      </c>
      <c r="C124" s="32" t="s">
        <v>162</v>
      </c>
      <c r="D124" s="32" t="s">
        <v>144</v>
      </c>
      <c r="E124" s="78" t="n">
        <f aca="false">SUMIFS(DRE_por_UN!$J:$J,DRE_por_UN!$C:$C,$C124,DRE_por_UN!$E:$E,$D124)</f>
        <v>17327.1528</v>
      </c>
      <c r="F124" s="44" t="n">
        <f aca="false">VLOOKUP($D124,Premissas!$A$52:$P$56,16,0)</f>
        <v>35</v>
      </c>
      <c r="G124" s="33" t="n">
        <f aca="false">E124*F124/30</f>
        <v>20215.0116</v>
      </c>
      <c r="H124" s="33" t="n">
        <f aca="false">$G124*Premissas!$B$42</f>
        <v>14150.50812</v>
      </c>
      <c r="I124" s="33" t="n">
        <f aca="false">$G124*Premissas!$C$42</f>
        <v>3032.25174</v>
      </c>
      <c r="J124" s="33" t="n">
        <f aca="false">$G124*Premissas!$D$42</f>
        <v>1617.200928</v>
      </c>
      <c r="K124" s="33" t="n">
        <f aca="false">$G124*Premissas!$E$42</f>
        <v>808.600464</v>
      </c>
      <c r="L124" s="33" t="n">
        <f aca="false">$G124*Premissas!$F$42</f>
        <v>606.450348</v>
      </c>
    </row>
    <row r="125" customFormat="false" ht="15" hidden="false" customHeight="true" outlineLevel="0" collapsed="false">
      <c r="A125" s="32" t="n">
        <v>2026</v>
      </c>
      <c r="B125" s="32" t="n">
        <v>4</v>
      </c>
      <c r="C125" s="32" t="s">
        <v>163</v>
      </c>
      <c r="D125" s="32" t="s">
        <v>144</v>
      </c>
      <c r="E125" s="78" t="n">
        <f aca="false">SUMIFS(DRE_por_UN!$J:$J,DRE_por_UN!$C:$C,$C125,DRE_por_UN!$E:$E,$D125)</f>
        <v>22053.6378</v>
      </c>
      <c r="F125" s="44" t="n">
        <f aca="false">VLOOKUP($D125,Premissas!$A$52:$P$56,16,0)</f>
        <v>35</v>
      </c>
      <c r="G125" s="33" t="n">
        <f aca="false">E125*F125/30</f>
        <v>25729.2441</v>
      </c>
      <c r="H125" s="33" t="n">
        <f aca="false">$G125*Premissas!$B$42</f>
        <v>18010.47087</v>
      </c>
      <c r="I125" s="33" t="n">
        <f aca="false">$G125*Premissas!$C$42</f>
        <v>3859.386615</v>
      </c>
      <c r="J125" s="33" t="n">
        <f aca="false">$G125*Premissas!$D$42</f>
        <v>2058.339528</v>
      </c>
      <c r="K125" s="33" t="n">
        <f aca="false">$G125*Premissas!$E$42</f>
        <v>1029.169764</v>
      </c>
      <c r="L125" s="33" t="n">
        <f aca="false">$G125*Premissas!$F$42</f>
        <v>771.877323</v>
      </c>
    </row>
    <row r="126" customFormat="false" ht="15" hidden="false" customHeight="true" outlineLevel="0" collapsed="false">
      <c r="A126" s="32" t="n">
        <v>2026</v>
      </c>
      <c r="B126" s="32" t="n">
        <v>5</v>
      </c>
      <c r="C126" s="32" t="s">
        <v>164</v>
      </c>
      <c r="D126" s="32" t="s">
        <v>144</v>
      </c>
      <c r="E126" s="78" t="n">
        <f aca="false">SUMIFS(DRE_por_UN!$J:$J,DRE_por_UN!$C:$C,$C126,DRE_por_UN!$E:$E,$D126)</f>
        <v>22976.919</v>
      </c>
      <c r="F126" s="44" t="n">
        <f aca="false">VLOOKUP($D126,Premissas!$A$52:$P$56,16,0)</f>
        <v>35</v>
      </c>
      <c r="G126" s="33" t="n">
        <f aca="false">E126*F126/30</f>
        <v>26806.4055</v>
      </c>
      <c r="H126" s="33" t="n">
        <f aca="false">$G126*Premissas!$B$42</f>
        <v>18764.48385</v>
      </c>
      <c r="I126" s="33" t="n">
        <f aca="false">$G126*Premissas!$C$42</f>
        <v>4020.960825</v>
      </c>
      <c r="J126" s="33" t="n">
        <f aca="false">$G126*Premissas!$D$42</f>
        <v>2144.51244</v>
      </c>
      <c r="K126" s="33" t="n">
        <f aca="false">$G126*Premissas!$E$42</f>
        <v>1072.25622</v>
      </c>
      <c r="L126" s="33" t="n">
        <f aca="false">$G126*Premissas!$F$42</f>
        <v>804.192165</v>
      </c>
    </row>
    <row r="127" customFormat="false" ht="15" hidden="false" customHeight="true" outlineLevel="0" collapsed="false">
      <c r="A127" s="32" t="n">
        <v>2026</v>
      </c>
      <c r="B127" s="32" t="n">
        <v>6</v>
      </c>
      <c r="C127" s="32" t="s">
        <v>165</v>
      </c>
      <c r="D127" s="32" t="s">
        <v>144</v>
      </c>
      <c r="E127" s="78" t="n">
        <f aca="false">SUMIFS(DRE_por_UN!$J:$J,DRE_por_UN!$C:$C,$C127,DRE_por_UN!$E:$E,$D127)</f>
        <v>23322.7512</v>
      </c>
      <c r="F127" s="44" t="n">
        <f aca="false">VLOOKUP($D127,Premissas!$A$52:$P$56,16,0)</f>
        <v>35</v>
      </c>
      <c r="G127" s="33" t="n">
        <f aca="false">E127*F127/30</f>
        <v>27209.8764</v>
      </c>
      <c r="H127" s="33" t="n">
        <f aca="false">$G127*Premissas!$B$42</f>
        <v>19046.91348</v>
      </c>
      <c r="I127" s="33" t="n">
        <f aca="false">$G127*Premissas!$C$42</f>
        <v>4081.48146</v>
      </c>
      <c r="J127" s="33" t="n">
        <f aca="false">$G127*Premissas!$D$42</f>
        <v>2176.790112</v>
      </c>
      <c r="K127" s="33" t="n">
        <f aca="false">$G127*Premissas!$E$42</f>
        <v>1088.395056</v>
      </c>
      <c r="L127" s="33" t="n">
        <f aca="false">$G127*Premissas!$F$42</f>
        <v>816.296292</v>
      </c>
    </row>
    <row r="128" customFormat="false" ht="15" hidden="false" customHeight="true" outlineLevel="0" collapsed="false">
      <c r="A128" s="32" t="n">
        <v>2026</v>
      </c>
      <c r="B128" s="32" t="n">
        <v>7</v>
      </c>
      <c r="C128" s="32" t="s">
        <v>166</v>
      </c>
      <c r="D128" s="32" t="s">
        <v>144</v>
      </c>
      <c r="E128" s="78" t="n">
        <f aca="false">SUMIFS(DRE_por_UN!$J:$J,DRE_por_UN!$C:$C,$C128,DRE_por_UN!$E:$E,$D128)</f>
        <v>27647.595</v>
      </c>
      <c r="F128" s="44" t="n">
        <f aca="false">VLOOKUP($D128,Premissas!$A$52:$P$56,16,0)</f>
        <v>35</v>
      </c>
      <c r="G128" s="33" t="n">
        <f aca="false">E128*F128/30</f>
        <v>32255.5275</v>
      </c>
      <c r="H128" s="33" t="n">
        <f aca="false">$G128*Premissas!$B$42</f>
        <v>22578.86925</v>
      </c>
      <c r="I128" s="33" t="n">
        <f aca="false">$G128*Premissas!$C$42</f>
        <v>4838.329125</v>
      </c>
      <c r="J128" s="33" t="n">
        <f aca="false">$G128*Premissas!$D$42</f>
        <v>2580.4422</v>
      </c>
      <c r="K128" s="33" t="n">
        <f aca="false">$G128*Premissas!$E$42</f>
        <v>1290.2211</v>
      </c>
      <c r="L128" s="33" t="n">
        <f aca="false">$G128*Premissas!$F$42</f>
        <v>967.665825</v>
      </c>
    </row>
    <row r="129" customFormat="false" ht="15" hidden="false" customHeight="true" outlineLevel="0" collapsed="false">
      <c r="A129" s="32" t="n">
        <v>2026</v>
      </c>
      <c r="B129" s="32" t="n">
        <v>8</v>
      </c>
      <c r="C129" s="32" t="s">
        <v>167</v>
      </c>
      <c r="D129" s="32" t="s">
        <v>144</v>
      </c>
      <c r="E129" s="78" t="n">
        <f aca="false">SUMIFS(DRE_por_UN!$J:$J,DRE_por_UN!$C:$C,$C129,DRE_por_UN!$E:$E,$D129)</f>
        <v>25195.0338</v>
      </c>
      <c r="F129" s="44" t="n">
        <f aca="false">VLOOKUP($D129,Premissas!$A$52:$P$56,16,0)</f>
        <v>35</v>
      </c>
      <c r="G129" s="33" t="n">
        <f aca="false">E129*F129/30</f>
        <v>29394.2061</v>
      </c>
      <c r="H129" s="33" t="n">
        <f aca="false">$G129*Premissas!$B$42</f>
        <v>20575.94427</v>
      </c>
      <c r="I129" s="33" t="n">
        <f aca="false">$G129*Premissas!$C$42</f>
        <v>4409.130915</v>
      </c>
      <c r="J129" s="33" t="n">
        <f aca="false">$G129*Premissas!$D$42</f>
        <v>2351.536488</v>
      </c>
      <c r="K129" s="33" t="n">
        <f aca="false">$G129*Premissas!$E$42</f>
        <v>1175.768244</v>
      </c>
      <c r="L129" s="33" t="n">
        <f aca="false">$G129*Premissas!$F$42</f>
        <v>881.826183</v>
      </c>
    </row>
    <row r="130" customFormat="false" ht="15" hidden="false" customHeight="true" outlineLevel="0" collapsed="false">
      <c r="A130" s="32" t="n">
        <v>2026</v>
      </c>
      <c r="B130" s="32" t="n">
        <v>9</v>
      </c>
      <c r="C130" s="32" t="s">
        <v>168</v>
      </c>
      <c r="D130" s="32" t="s">
        <v>144</v>
      </c>
      <c r="E130" s="78" t="n">
        <f aca="false">SUMIFS(DRE_por_UN!$J:$J,DRE_por_UN!$C:$C,$C130,DRE_por_UN!$E:$E,$D130)</f>
        <v>22030.9308</v>
      </c>
      <c r="F130" s="44" t="n">
        <f aca="false">VLOOKUP($D130,Premissas!$A$52:$P$56,16,0)</f>
        <v>35</v>
      </c>
      <c r="G130" s="33" t="n">
        <f aca="false">E130*F130/30</f>
        <v>25702.7526</v>
      </c>
      <c r="H130" s="33" t="n">
        <f aca="false">$G130*Premissas!$B$42</f>
        <v>17991.92682</v>
      </c>
      <c r="I130" s="33" t="n">
        <f aca="false">$G130*Premissas!$C$42</f>
        <v>3855.41289</v>
      </c>
      <c r="J130" s="33" t="n">
        <f aca="false">$G130*Premissas!$D$42</f>
        <v>2056.220208</v>
      </c>
      <c r="K130" s="33" t="n">
        <f aca="false">$G130*Premissas!$E$42</f>
        <v>1028.110104</v>
      </c>
      <c r="L130" s="33" t="n">
        <f aca="false">$G130*Premissas!$F$42</f>
        <v>771.082578</v>
      </c>
    </row>
    <row r="131" customFormat="false" ht="15" hidden="false" customHeight="true" outlineLevel="0" collapsed="false">
      <c r="A131" s="32" t="n">
        <v>2026</v>
      </c>
      <c r="B131" s="32" t="n">
        <v>10</v>
      </c>
      <c r="C131" s="32" t="s">
        <v>169</v>
      </c>
      <c r="D131" s="32" t="s">
        <v>144</v>
      </c>
      <c r="E131" s="78" t="n">
        <f aca="false">SUMIFS(DRE_por_UN!$J:$J,DRE_por_UN!$C:$C,$C131,DRE_por_UN!$E:$E,$D131)</f>
        <v>18111.8484</v>
      </c>
      <c r="F131" s="44" t="n">
        <f aca="false">VLOOKUP($D131,Premissas!$A$52:$P$56,16,0)</f>
        <v>35</v>
      </c>
      <c r="G131" s="33" t="n">
        <f aca="false">E131*F131/30</f>
        <v>21130.4898</v>
      </c>
      <c r="H131" s="33" t="n">
        <f aca="false">$G131*Premissas!$B$42</f>
        <v>14791.34286</v>
      </c>
      <c r="I131" s="33" t="n">
        <f aca="false">$G131*Premissas!$C$42</f>
        <v>3169.57347</v>
      </c>
      <c r="J131" s="33" t="n">
        <f aca="false">$G131*Premissas!$D$42</f>
        <v>1690.439184</v>
      </c>
      <c r="K131" s="33" t="n">
        <f aca="false">$G131*Premissas!$E$42</f>
        <v>845.219592</v>
      </c>
      <c r="L131" s="33" t="n">
        <f aca="false">$G131*Premissas!$F$42</f>
        <v>633.914694</v>
      </c>
    </row>
    <row r="132" customFormat="false" ht="15" hidden="false" customHeight="true" outlineLevel="0" collapsed="false">
      <c r="A132" s="32" t="n">
        <v>2026</v>
      </c>
      <c r="B132" s="32" t="n">
        <v>11</v>
      </c>
      <c r="C132" s="32" t="s">
        <v>170</v>
      </c>
      <c r="D132" s="32" t="s">
        <v>144</v>
      </c>
      <c r="E132" s="78" t="n">
        <f aca="false">SUMIFS(DRE_por_UN!$J:$J,DRE_por_UN!$C:$C,$C132,DRE_por_UN!$E:$E,$D132)</f>
        <v>22681.134</v>
      </c>
      <c r="F132" s="44" t="n">
        <f aca="false">VLOOKUP($D132,Premissas!$A$52:$P$56,16,0)</f>
        <v>35</v>
      </c>
      <c r="G132" s="33" t="n">
        <f aca="false">E132*F132/30</f>
        <v>26461.323</v>
      </c>
      <c r="H132" s="33" t="n">
        <f aca="false">$G132*Premissas!$B$42</f>
        <v>18522.9261</v>
      </c>
      <c r="I132" s="33" t="n">
        <f aca="false">$G132*Premissas!$C$42</f>
        <v>3969.19845</v>
      </c>
      <c r="J132" s="33" t="n">
        <f aca="false">$G132*Premissas!$D$42</f>
        <v>2116.90584</v>
      </c>
      <c r="K132" s="33" t="n">
        <f aca="false">$G132*Premissas!$E$42</f>
        <v>1058.45292</v>
      </c>
      <c r="L132" s="33" t="n">
        <f aca="false">$G132*Premissas!$F$42</f>
        <v>793.83969</v>
      </c>
    </row>
    <row r="133" customFormat="false" ht="15" hidden="false" customHeight="true" outlineLevel="0" collapsed="false">
      <c r="A133" s="32" t="n">
        <v>2026</v>
      </c>
      <c r="B133" s="32" t="n">
        <v>12</v>
      </c>
      <c r="C133" s="32" t="s">
        <v>171</v>
      </c>
      <c r="D133" s="32" t="s">
        <v>144</v>
      </c>
      <c r="E133" s="78" t="n">
        <f aca="false">SUMIFS(DRE_por_UN!$J:$J,DRE_por_UN!$C:$C,$C133,DRE_por_UN!$E:$E,$D133)</f>
        <v>27788.2002</v>
      </c>
      <c r="F133" s="44" t="n">
        <f aca="false">VLOOKUP($D133,Premissas!$A$52:$P$56,16,0)</f>
        <v>35</v>
      </c>
      <c r="G133" s="33" t="n">
        <f aca="false">E133*F133/30</f>
        <v>32419.5669</v>
      </c>
      <c r="H133" s="33" t="n">
        <f aca="false">$G133*Premissas!$B$42</f>
        <v>22693.69683</v>
      </c>
      <c r="I133" s="33" t="n">
        <f aca="false">$G133*Premissas!$C$42</f>
        <v>4862.935035</v>
      </c>
      <c r="J133" s="33" t="n">
        <f aca="false">$G133*Premissas!$D$42</f>
        <v>2593.565352</v>
      </c>
      <c r="K133" s="33" t="n">
        <f aca="false">$G133*Premissas!$E$42</f>
        <v>1296.782676</v>
      </c>
      <c r="L133" s="33" t="n">
        <f aca="false">$G133*Premissas!$F$42</f>
        <v>972.587007</v>
      </c>
    </row>
    <row r="134" customFormat="false" ht="15" hidden="false" customHeight="true" outlineLevel="0" collapsed="false">
      <c r="A134" s="32" t="n">
        <v>2027</v>
      </c>
      <c r="B134" s="32" t="n">
        <v>1</v>
      </c>
      <c r="C134" s="32" t="s">
        <v>172</v>
      </c>
      <c r="D134" s="32" t="s">
        <v>144</v>
      </c>
      <c r="E134" s="78" t="n">
        <f aca="false">SUMIFS(DRE_por_UN!$J:$J,DRE_por_UN!$C:$C,$C134,DRE_por_UN!$E:$E,$D134)</f>
        <v>18851.2601519088</v>
      </c>
      <c r="F134" s="44" t="n">
        <f aca="false">VLOOKUP($D134,Premissas!$A$52:$P$56,16,0)</f>
        <v>35</v>
      </c>
      <c r="G134" s="33" t="n">
        <f aca="false">E134*F134/30</f>
        <v>21993.1368438936</v>
      </c>
      <c r="H134" s="33" t="n">
        <f aca="false">$G134*Premissas!$B$42</f>
        <v>15395.1957907255</v>
      </c>
      <c r="I134" s="33" t="n">
        <f aca="false">$G134*Premissas!$C$42</f>
        <v>3298.97052658404</v>
      </c>
      <c r="J134" s="33" t="n">
        <f aca="false">$G134*Premissas!$D$42</f>
        <v>1759.45094751149</v>
      </c>
      <c r="K134" s="33" t="n">
        <f aca="false">$G134*Premissas!$E$42</f>
        <v>879.725473755744</v>
      </c>
      <c r="L134" s="33" t="n">
        <f aca="false">$G134*Premissas!$F$42</f>
        <v>659.794105316808</v>
      </c>
    </row>
    <row r="135" customFormat="false" ht="15" hidden="false" customHeight="true" outlineLevel="0" collapsed="false">
      <c r="A135" s="32" t="n">
        <v>2027</v>
      </c>
      <c r="B135" s="32" t="n">
        <v>2</v>
      </c>
      <c r="C135" s="32" t="s">
        <v>173</v>
      </c>
      <c r="D135" s="32" t="s">
        <v>144</v>
      </c>
      <c r="E135" s="78" t="n">
        <f aca="false">SUMIFS(DRE_por_UN!$J:$J,DRE_por_UN!$C:$C,$C135,DRE_por_UN!$E:$E,$D135)</f>
        <v>13943.0359791712</v>
      </c>
      <c r="F135" s="44" t="n">
        <f aca="false">VLOOKUP($D135,Premissas!$A$52:$P$56,16,0)</f>
        <v>35</v>
      </c>
      <c r="G135" s="33" t="n">
        <f aca="false">E135*F135/30</f>
        <v>16266.8753090331</v>
      </c>
      <c r="H135" s="33" t="n">
        <f aca="false">$G135*Premissas!$B$42</f>
        <v>11386.8127163231</v>
      </c>
      <c r="I135" s="33" t="n">
        <f aca="false">$G135*Premissas!$C$42</f>
        <v>2440.03129635496</v>
      </c>
      <c r="J135" s="33" t="n">
        <f aca="false">$G135*Premissas!$D$42</f>
        <v>1301.35002472265</v>
      </c>
      <c r="K135" s="33" t="n">
        <f aca="false">$G135*Premissas!$E$42</f>
        <v>650.675012361323</v>
      </c>
      <c r="L135" s="33" t="n">
        <f aca="false">$G135*Premissas!$F$42</f>
        <v>488.006259270992</v>
      </c>
    </row>
    <row r="136" customFormat="false" ht="15" hidden="false" customHeight="true" outlineLevel="0" collapsed="false">
      <c r="A136" s="32" t="n">
        <v>2027</v>
      </c>
      <c r="B136" s="32" t="n">
        <v>3</v>
      </c>
      <c r="C136" s="32" t="s">
        <v>174</v>
      </c>
      <c r="D136" s="32" t="s">
        <v>144</v>
      </c>
      <c r="E136" s="78" t="n">
        <f aca="false">SUMIFS(DRE_por_UN!$J:$J,DRE_por_UN!$C:$C,$C136,DRE_por_UN!$E:$E,$D136)</f>
        <v>18590.1972815856</v>
      </c>
      <c r="F136" s="44" t="n">
        <f aca="false">VLOOKUP($D136,Premissas!$A$52:$P$56,16,0)</f>
        <v>35</v>
      </c>
      <c r="G136" s="33" t="n">
        <f aca="false">E136*F136/30</f>
        <v>21688.5634951832</v>
      </c>
      <c r="H136" s="33" t="n">
        <f aca="false">$G136*Premissas!$B$42</f>
        <v>15181.9944466282</v>
      </c>
      <c r="I136" s="33" t="n">
        <f aca="false">$G136*Premissas!$C$42</f>
        <v>3253.28452427748</v>
      </c>
      <c r="J136" s="33" t="n">
        <f aca="false">$G136*Premissas!$D$42</f>
        <v>1735.08507961466</v>
      </c>
      <c r="K136" s="33" t="n">
        <f aca="false">$G136*Premissas!$E$42</f>
        <v>867.542539807328</v>
      </c>
      <c r="L136" s="33" t="n">
        <f aca="false">$G136*Premissas!$F$42</f>
        <v>650.656904855496</v>
      </c>
    </row>
    <row r="137" customFormat="false" ht="15" hidden="false" customHeight="true" outlineLevel="0" collapsed="false">
      <c r="A137" s="32" t="n">
        <v>2027</v>
      </c>
      <c r="B137" s="32" t="n">
        <v>4</v>
      </c>
      <c r="C137" s="32" t="s">
        <v>175</v>
      </c>
      <c r="D137" s="32" t="s">
        <v>144</v>
      </c>
      <c r="E137" s="78" t="n">
        <f aca="false">SUMIFS(DRE_por_UN!$J:$J,DRE_por_UN!$C:$C,$C137,DRE_por_UN!$E:$E,$D137)</f>
        <v>23444.396235128</v>
      </c>
      <c r="F137" s="44" t="n">
        <f aca="false">VLOOKUP($D137,Premissas!$A$52:$P$56,16,0)</f>
        <v>35</v>
      </c>
      <c r="G137" s="33" t="n">
        <f aca="false">E137*F137/30</f>
        <v>27351.7956076493</v>
      </c>
      <c r="H137" s="33" t="n">
        <f aca="false">$G137*Premissas!$B$42</f>
        <v>19146.2569253545</v>
      </c>
      <c r="I137" s="33" t="n">
        <f aca="false">$G137*Premissas!$C$42</f>
        <v>4102.7693411474</v>
      </c>
      <c r="J137" s="33" t="n">
        <f aca="false">$G137*Premissas!$D$42</f>
        <v>2188.14364861195</v>
      </c>
      <c r="K137" s="33" t="n">
        <f aca="false">$G137*Premissas!$E$42</f>
        <v>1094.07182430597</v>
      </c>
      <c r="L137" s="33" t="n">
        <f aca="false">$G137*Premissas!$F$42</f>
        <v>820.55386822948</v>
      </c>
    </row>
    <row r="138" customFormat="false" ht="15" hidden="false" customHeight="true" outlineLevel="0" collapsed="false">
      <c r="A138" s="32" t="n">
        <v>2027</v>
      </c>
      <c r="B138" s="32" t="n">
        <v>5</v>
      </c>
      <c r="C138" s="32" t="s">
        <v>176</v>
      </c>
      <c r="D138" s="32" t="s">
        <v>144</v>
      </c>
      <c r="E138" s="78" t="n">
        <f aca="false">SUMIFS(DRE_por_UN!$J:$J,DRE_por_UN!$C:$C,$C138,DRE_por_UN!$E:$E,$D138)</f>
        <v>24552.947214576</v>
      </c>
      <c r="F138" s="44" t="n">
        <f aca="false">VLOOKUP($D138,Premissas!$A$52:$P$56,16,0)</f>
        <v>35</v>
      </c>
      <c r="G138" s="33" t="n">
        <f aca="false">E138*F138/30</f>
        <v>28645.105083672</v>
      </c>
      <c r="H138" s="33" t="n">
        <f aca="false">$G138*Premissas!$B$42</f>
        <v>20051.5735585704</v>
      </c>
      <c r="I138" s="33" t="n">
        <f aca="false">$G138*Premissas!$C$42</f>
        <v>4296.7657625508</v>
      </c>
      <c r="J138" s="33" t="n">
        <f aca="false">$G138*Premissas!$D$42</f>
        <v>2291.60840669376</v>
      </c>
      <c r="K138" s="33" t="n">
        <f aca="false">$G138*Premissas!$E$42</f>
        <v>1145.80420334688</v>
      </c>
      <c r="L138" s="33" t="n">
        <f aca="false">$G138*Premissas!$F$42</f>
        <v>859.35315251016</v>
      </c>
    </row>
    <row r="139" customFormat="false" ht="15" hidden="false" customHeight="true" outlineLevel="0" collapsed="false">
      <c r="A139" s="32" t="n">
        <v>2027</v>
      </c>
      <c r="B139" s="32" t="n">
        <v>6</v>
      </c>
      <c r="C139" s="32" t="s">
        <v>177</v>
      </c>
      <c r="D139" s="32" t="s">
        <v>144</v>
      </c>
      <c r="E139" s="78" t="n">
        <f aca="false">SUMIFS(DRE_por_UN!$J:$J,DRE_por_UN!$C:$C,$C139,DRE_por_UN!$E:$E,$D139)</f>
        <v>25269.2655716336</v>
      </c>
      <c r="F139" s="44" t="n">
        <f aca="false">VLOOKUP($D139,Premissas!$A$52:$P$56,16,0)</f>
        <v>35</v>
      </c>
      <c r="G139" s="33" t="n">
        <f aca="false">E139*F139/30</f>
        <v>29480.8098335725</v>
      </c>
      <c r="H139" s="33" t="n">
        <f aca="false">$G139*Premissas!$B$42</f>
        <v>20636.5668835008</v>
      </c>
      <c r="I139" s="33" t="n">
        <f aca="false">$G139*Premissas!$C$42</f>
        <v>4422.12147503588</v>
      </c>
      <c r="J139" s="33" t="n">
        <f aca="false">$G139*Premissas!$D$42</f>
        <v>2358.4647866858</v>
      </c>
      <c r="K139" s="33" t="n">
        <f aca="false">$G139*Premissas!$E$42</f>
        <v>1179.2323933429</v>
      </c>
      <c r="L139" s="33" t="n">
        <f aca="false">$G139*Premissas!$F$42</f>
        <v>884.424295007176</v>
      </c>
    </row>
    <row r="140" customFormat="false" ht="15" hidden="false" customHeight="true" outlineLevel="0" collapsed="false">
      <c r="A140" s="32" t="n">
        <v>2027</v>
      </c>
      <c r="B140" s="32" t="n">
        <v>7</v>
      </c>
      <c r="C140" s="32" t="s">
        <v>178</v>
      </c>
      <c r="D140" s="32" t="s">
        <v>144</v>
      </c>
      <c r="E140" s="78" t="n">
        <f aca="false">SUMIFS(DRE_por_UN!$J:$J,DRE_por_UN!$C:$C,$C140,DRE_por_UN!$E:$E,$D140)</f>
        <v>29690.2484598192</v>
      </c>
      <c r="F140" s="44" t="n">
        <f aca="false">VLOOKUP($D140,Premissas!$A$52:$P$56,16,0)</f>
        <v>35</v>
      </c>
      <c r="G140" s="33" t="n">
        <f aca="false">E140*F140/30</f>
        <v>34638.6232031224</v>
      </c>
      <c r="H140" s="33" t="n">
        <f aca="false">$G140*Premissas!$B$42</f>
        <v>24247.0362421857</v>
      </c>
      <c r="I140" s="33" t="n">
        <f aca="false">$G140*Premissas!$C$42</f>
        <v>5195.79348046836</v>
      </c>
      <c r="J140" s="33" t="n">
        <f aca="false">$G140*Premissas!$D$42</f>
        <v>2771.08985624979</v>
      </c>
      <c r="K140" s="33" t="n">
        <f aca="false">$G140*Premissas!$E$42</f>
        <v>1385.5449281249</v>
      </c>
      <c r="L140" s="33" t="n">
        <f aca="false">$G140*Premissas!$F$42</f>
        <v>1039.15869609367</v>
      </c>
    </row>
    <row r="141" customFormat="false" ht="15" hidden="false" customHeight="true" outlineLevel="0" collapsed="false">
      <c r="A141" s="32" t="n">
        <v>2027</v>
      </c>
      <c r="B141" s="32" t="n">
        <v>8</v>
      </c>
      <c r="C141" s="32" t="s">
        <v>179</v>
      </c>
      <c r="D141" s="32" t="s">
        <v>144</v>
      </c>
      <c r="E141" s="78" t="n">
        <f aca="false">SUMIFS(DRE_por_UN!$J:$J,DRE_por_UN!$C:$C,$C141,DRE_por_UN!$E:$E,$D141)</f>
        <v>26256.1996924304</v>
      </c>
      <c r="F141" s="44" t="n">
        <f aca="false">VLOOKUP($D141,Premissas!$A$52:$P$56,16,0)</f>
        <v>35</v>
      </c>
      <c r="G141" s="33" t="n">
        <f aca="false">E141*F141/30</f>
        <v>30632.2329745021</v>
      </c>
      <c r="H141" s="33" t="n">
        <f aca="false">$G141*Premissas!$B$42</f>
        <v>21442.5630821515</v>
      </c>
      <c r="I141" s="33" t="n">
        <f aca="false">$G141*Premissas!$C$42</f>
        <v>4594.83494617532</v>
      </c>
      <c r="J141" s="33" t="n">
        <f aca="false">$G141*Premissas!$D$42</f>
        <v>2450.57863796017</v>
      </c>
      <c r="K141" s="33" t="n">
        <f aca="false">$G141*Premissas!$E$42</f>
        <v>1225.28931898009</v>
      </c>
      <c r="L141" s="33" t="n">
        <f aca="false">$G141*Premissas!$F$42</f>
        <v>918.966989235064</v>
      </c>
    </row>
    <row r="142" customFormat="false" ht="15" hidden="false" customHeight="true" outlineLevel="0" collapsed="false">
      <c r="A142" s="32" t="n">
        <v>2027</v>
      </c>
      <c r="B142" s="32" t="n">
        <v>9</v>
      </c>
      <c r="C142" s="32" t="s">
        <v>180</v>
      </c>
      <c r="D142" s="32" t="s">
        <v>144</v>
      </c>
      <c r="E142" s="78" t="n">
        <f aca="false">SUMIFS(DRE_por_UN!$J:$J,DRE_por_UN!$C:$C,$C142,DRE_por_UN!$E:$E,$D142)</f>
        <v>23543.2391707568</v>
      </c>
      <c r="F142" s="44" t="n">
        <f aca="false">VLOOKUP($D142,Premissas!$A$52:$P$56,16,0)</f>
        <v>35</v>
      </c>
      <c r="G142" s="33" t="n">
        <f aca="false">E142*F142/30</f>
        <v>27467.1123658829</v>
      </c>
      <c r="H142" s="33" t="n">
        <f aca="false">$G142*Premissas!$B$42</f>
        <v>19226.9786561181</v>
      </c>
      <c r="I142" s="33" t="n">
        <f aca="false">$G142*Premissas!$C$42</f>
        <v>4120.06685488244</v>
      </c>
      <c r="J142" s="33" t="n">
        <f aca="false">$G142*Premissas!$D$42</f>
        <v>2197.36898927064</v>
      </c>
      <c r="K142" s="33" t="n">
        <f aca="false">$G142*Premissas!$E$42</f>
        <v>1098.68449463532</v>
      </c>
      <c r="L142" s="33" t="n">
        <f aca="false">$G142*Premissas!$F$42</f>
        <v>824.013370976488</v>
      </c>
    </row>
    <row r="143" customFormat="false" ht="15" hidden="false" customHeight="true" outlineLevel="0" collapsed="false">
      <c r="A143" s="32" t="n">
        <v>2027</v>
      </c>
      <c r="B143" s="32" t="n">
        <v>10</v>
      </c>
      <c r="C143" s="32" t="s">
        <v>181</v>
      </c>
      <c r="D143" s="32" t="s">
        <v>144</v>
      </c>
      <c r="E143" s="78" t="n">
        <f aca="false">SUMIFS(DRE_por_UN!$J:$J,DRE_por_UN!$C:$C,$C143,DRE_por_UN!$E:$E,$D143)</f>
        <v>19449.7434593792</v>
      </c>
      <c r="F143" s="44" t="n">
        <f aca="false">VLOOKUP($D143,Premissas!$A$52:$P$56,16,0)</f>
        <v>35</v>
      </c>
      <c r="G143" s="33" t="n">
        <f aca="false">E143*F143/30</f>
        <v>22691.3673692757</v>
      </c>
      <c r="H143" s="33" t="n">
        <f aca="false">$G143*Premissas!$B$42</f>
        <v>15883.957158493</v>
      </c>
      <c r="I143" s="33" t="n">
        <f aca="false">$G143*Premissas!$C$42</f>
        <v>3403.70510539136</v>
      </c>
      <c r="J143" s="33" t="n">
        <f aca="false">$G143*Premissas!$D$42</f>
        <v>1815.30938954206</v>
      </c>
      <c r="K143" s="33" t="n">
        <f aca="false">$G143*Premissas!$E$42</f>
        <v>907.65469477103</v>
      </c>
      <c r="L143" s="33" t="n">
        <f aca="false">$G143*Premissas!$F$42</f>
        <v>680.741021078272</v>
      </c>
    </row>
    <row r="144" customFormat="false" ht="15" hidden="false" customHeight="true" outlineLevel="0" collapsed="false">
      <c r="A144" s="32" t="n">
        <v>2027</v>
      </c>
      <c r="B144" s="32" t="n">
        <v>11</v>
      </c>
      <c r="C144" s="32" t="s">
        <v>182</v>
      </c>
      <c r="D144" s="32" t="s">
        <v>144</v>
      </c>
      <c r="E144" s="78" t="n">
        <f aca="false">SUMIFS(DRE_por_UN!$J:$J,DRE_por_UN!$C:$C,$C144,DRE_por_UN!$E:$E,$D144)</f>
        <v>24843.4557311952</v>
      </c>
      <c r="F144" s="44" t="n">
        <f aca="false">VLOOKUP($D144,Premissas!$A$52:$P$56,16,0)</f>
        <v>35</v>
      </c>
      <c r="G144" s="33" t="n">
        <f aca="false">E144*F144/30</f>
        <v>28984.0316863944</v>
      </c>
      <c r="H144" s="33" t="n">
        <f aca="false">$G144*Premissas!$B$42</f>
        <v>20288.8221804761</v>
      </c>
      <c r="I144" s="33" t="n">
        <f aca="false">$G144*Premissas!$C$42</f>
        <v>4347.60475295916</v>
      </c>
      <c r="J144" s="33" t="n">
        <f aca="false">$G144*Premissas!$D$42</f>
        <v>2318.72253491155</v>
      </c>
      <c r="K144" s="33" t="n">
        <f aca="false">$G144*Premissas!$E$42</f>
        <v>1159.36126745578</v>
      </c>
      <c r="L144" s="33" t="n">
        <f aca="false">$G144*Premissas!$F$42</f>
        <v>869.520950591832</v>
      </c>
    </row>
    <row r="145" customFormat="false" ht="15" hidden="false" customHeight="true" outlineLevel="0" collapsed="false">
      <c r="A145" s="32" t="n">
        <v>2027</v>
      </c>
      <c r="B145" s="32" t="n">
        <v>12</v>
      </c>
      <c r="C145" s="32" t="s">
        <v>183</v>
      </c>
      <c r="D145" s="32" t="s">
        <v>144</v>
      </c>
      <c r="E145" s="78" t="n">
        <f aca="false">SUMIFS(DRE_por_UN!$J:$J,DRE_por_UN!$C:$C,$C145,DRE_por_UN!$E:$E,$D145)</f>
        <v>29426.1164219088</v>
      </c>
      <c r="F145" s="44" t="n">
        <f aca="false">VLOOKUP($D145,Premissas!$A$52:$P$56,16,0)</f>
        <v>35</v>
      </c>
      <c r="G145" s="33" t="n">
        <f aca="false">E145*F145/30</f>
        <v>34330.4691588936</v>
      </c>
      <c r="H145" s="33" t="n">
        <f aca="false">$G145*Premissas!$B$42</f>
        <v>24031.3284112255</v>
      </c>
      <c r="I145" s="33" t="n">
        <f aca="false">$G145*Premissas!$C$42</f>
        <v>5149.57037383404</v>
      </c>
      <c r="J145" s="33" t="n">
        <f aca="false">$G145*Premissas!$D$42</f>
        <v>2746.43753271149</v>
      </c>
      <c r="K145" s="33" t="n">
        <f aca="false">$G145*Premissas!$E$42</f>
        <v>1373.21876635574</v>
      </c>
      <c r="L145" s="33" t="n">
        <f aca="false">$G145*Premissas!$F$42</f>
        <v>1029.91407476681</v>
      </c>
    </row>
    <row r="146" customFormat="false" ht="15" hidden="false" customHeight="true" outlineLevel="0" collapsed="false">
      <c r="A146" s="32" t="n">
        <v>2025</v>
      </c>
      <c r="B146" s="32" t="n">
        <v>1</v>
      </c>
      <c r="C146" s="32" t="s">
        <v>148</v>
      </c>
      <c r="D146" s="32" t="s">
        <v>145</v>
      </c>
      <c r="E146" s="78" t="n">
        <f aca="false">SUMIFS(DRE_por_UN!$J:$J,DRE_por_UN!$C:$C,$C146,DRE_por_UN!$E:$E,$D146)</f>
        <v>32877.7104</v>
      </c>
      <c r="F146" s="44" t="n">
        <f aca="false">VLOOKUP($D146,Premissas!$A$52:$P$56,16,0)</f>
        <v>50</v>
      </c>
      <c r="G146" s="33" t="n">
        <f aca="false">E146*F146/30</f>
        <v>54796.184</v>
      </c>
      <c r="H146" s="33" t="n">
        <f aca="false">$G146*Premissas!$B$42</f>
        <v>38357.3288</v>
      </c>
      <c r="I146" s="33" t="n">
        <f aca="false">$G146*Premissas!$C$42</f>
        <v>8219.4276</v>
      </c>
      <c r="J146" s="33" t="n">
        <f aca="false">$G146*Premissas!$D$42</f>
        <v>4383.69472</v>
      </c>
      <c r="K146" s="33" t="n">
        <f aca="false">$G146*Premissas!$E$42</f>
        <v>2191.84736</v>
      </c>
      <c r="L146" s="33" t="n">
        <f aca="false">$G146*Premissas!$F$42</f>
        <v>1643.88552</v>
      </c>
    </row>
    <row r="147" customFormat="false" ht="15" hidden="false" customHeight="true" outlineLevel="0" collapsed="false">
      <c r="A147" s="32" t="n">
        <v>2025</v>
      </c>
      <c r="B147" s="32" t="n">
        <v>2</v>
      </c>
      <c r="C147" s="32" t="s">
        <v>149</v>
      </c>
      <c r="D147" s="32" t="s">
        <v>145</v>
      </c>
      <c r="E147" s="78" t="n">
        <f aca="false">SUMIFS(DRE_por_UN!$J:$J,DRE_por_UN!$C:$C,$C147,DRE_por_UN!$E:$E,$D147)</f>
        <v>31936.608</v>
      </c>
      <c r="F147" s="44" t="n">
        <f aca="false">VLOOKUP($D147,Premissas!$A$52:$P$56,16,0)</f>
        <v>50</v>
      </c>
      <c r="G147" s="33" t="n">
        <f aca="false">E147*F147/30</f>
        <v>53227.68</v>
      </c>
      <c r="H147" s="33" t="n">
        <f aca="false">$G147*Premissas!$B$42</f>
        <v>37259.376</v>
      </c>
      <c r="I147" s="33" t="n">
        <f aca="false">$G147*Premissas!$C$42</f>
        <v>7984.152</v>
      </c>
      <c r="J147" s="33" t="n">
        <f aca="false">$G147*Premissas!$D$42</f>
        <v>4258.2144</v>
      </c>
      <c r="K147" s="33" t="n">
        <f aca="false">$G147*Premissas!$E$42</f>
        <v>2129.1072</v>
      </c>
      <c r="L147" s="33" t="n">
        <f aca="false">$G147*Premissas!$F$42</f>
        <v>1596.8304</v>
      </c>
    </row>
    <row r="148" customFormat="false" ht="15" hidden="false" customHeight="true" outlineLevel="0" collapsed="false">
      <c r="A148" s="32" t="n">
        <v>2025</v>
      </c>
      <c r="B148" s="32" t="n">
        <v>3</v>
      </c>
      <c r="C148" s="32" t="s">
        <v>150</v>
      </c>
      <c r="D148" s="32" t="s">
        <v>145</v>
      </c>
      <c r="E148" s="78" t="n">
        <f aca="false">SUMIFS(DRE_por_UN!$J:$J,DRE_por_UN!$C:$C,$C148,DRE_por_UN!$E:$E,$D148)</f>
        <v>38368.8624</v>
      </c>
      <c r="F148" s="44" t="n">
        <f aca="false">VLOOKUP($D148,Premissas!$A$52:$P$56,16,0)</f>
        <v>50</v>
      </c>
      <c r="G148" s="33" t="n">
        <f aca="false">E148*F148/30</f>
        <v>63948.104</v>
      </c>
      <c r="H148" s="33" t="n">
        <f aca="false">$G148*Premissas!$B$42</f>
        <v>44763.6728</v>
      </c>
      <c r="I148" s="33" t="n">
        <f aca="false">$G148*Premissas!$C$42</f>
        <v>9592.2156</v>
      </c>
      <c r="J148" s="33" t="n">
        <f aca="false">$G148*Premissas!$D$42</f>
        <v>5115.84832</v>
      </c>
      <c r="K148" s="33" t="n">
        <f aca="false">$G148*Premissas!$E$42</f>
        <v>2557.92416</v>
      </c>
      <c r="L148" s="33" t="n">
        <f aca="false">$G148*Premissas!$F$42</f>
        <v>1918.44312</v>
      </c>
    </row>
    <row r="149" customFormat="false" ht="15" hidden="false" customHeight="true" outlineLevel="0" collapsed="false">
      <c r="A149" s="32" t="n">
        <v>2025</v>
      </c>
      <c r="B149" s="32" t="n">
        <v>4</v>
      </c>
      <c r="C149" s="32" t="s">
        <v>151</v>
      </c>
      <c r="D149" s="32" t="s">
        <v>145</v>
      </c>
      <c r="E149" s="78" t="n">
        <f aca="false">SUMIFS(DRE_por_UN!$J:$J,DRE_por_UN!$C:$C,$C149,DRE_por_UN!$E:$E,$D149)</f>
        <v>36953.136</v>
      </c>
      <c r="F149" s="44" t="n">
        <f aca="false">VLOOKUP($D149,Premissas!$A$52:$P$56,16,0)</f>
        <v>50</v>
      </c>
      <c r="G149" s="33" t="n">
        <f aca="false">E149*F149/30</f>
        <v>61588.56</v>
      </c>
      <c r="H149" s="33" t="n">
        <f aca="false">$G149*Premissas!$B$42</f>
        <v>43111.992</v>
      </c>
      <c r="I149" s="33" t="n">
        <f aca="false">$G149*Premissas!$C$42</f>
        <v>9238.284</v>
      </c>
      <c r="J149" s="33" t="n">
        <f aca="false">$G149*Premissas!$D$42</f>
        <v>4927.0848</v>
      </c>
      <c r="K149" s="33" t="n">
        <f aca="false">$G149*Premissas!$E$42</f>
        <v>2463.5424</v>
      </c>
      <c r="L149" s="33" t="n">
        <f aca="false">$G149*Premissas!$F$42</f>
        <v>1847.6568</v>
      </c>
    </row>
    <row r="150" customFormat="false" ht="15" hidden="false" customHeight="true" outlineLevel="0" collapsed="false">
      <c r="A150" s="32" t="n">
        <v>2025</v>
      </c>
      <c r="B150" s="32" t="n">
        <v>5</v>
      </c>
      <c r="C150" s="32" t="s">
        <v>152</v>
      </c>
      <c r="D150" s="32" t="s">
        <v>145</v>
      </c>
      <c r="E150" s="78" t="n">
        <f aca="false">SUMIFS(DRE_por_UN!$J:$J,DRE_por_UN!$C:$C,$C150,DRE_por_UN!$E:$E,$D150)</f>
        <v>38107.392</v>
      </c>
      <c r="F150" s="44" t="n">
        <f aca="false">VLOOKUP($D150,Premissas!$A$52:$P$56,16,0)</f>
        <v>50</v>
      </c>
      <c r="G150" s="33" t="n">
        <f aca="false">E150*F150/30</f>
        <v>63512.32</v>
      </c>
      <c r="H150" s="33" t="n">
        <f aca="false">$G150*Premissas!$B$42</f>
        <v>44458.624</v>
      </c>
      <c r="I150" s="33" t="n">
        <f aca="false">$G150*Premissas!$C$42</f>
        <v>9526.848</v>
      </c>
      <c r="J150" s="33" t="n">
        <f aca="false">$G150*Premissas!$D$42</f>
        <v>5080.9856</v>
      </c>
      <c r="K150" s="33" t="n">
        <f aca="false">$G150*Premissas!$E$42</f>
        <v>2540.4928</v>
      </c>
      <c r="L150" s="33" t="n">
        <f aca="false">$G150*Premissas!$F$42</f>
        <v>1905.3696</v>
      </c>
    </row>
    <row r="151" customFormat="false" ht="15" hidden="false" customHeight="true" outlineLevel="0" collapsed="false">
      <c r="A151" s="32" t="n">
        <v>2025</v>
      </c>
      <c r="B151" s="32" t="n">
        <v>6</v>
      </c>
      <c r="C151" s="32" t="s">
        <v>153</v>
      </c>
      <c r="D151" s="32" t="s">
        <v>145</v>
      </c>
      <c r="E151" s="78" t="n">
        <f aca="false">SUMIFS(DRE_por_UN!$J:$J,DRE_por_UN!$C:$C,$C151,DRE_por_UN!$E:$E,$D151)</f>
        <v>40017.3888</v>
      </c>
      <c r="F151" s="44" t="n">
        <f aca="false">VLOOKUP($D151,Premissas!$A$52:$P$56,16,0)</f>
        <v>50</v>
      </c>
      <c r="G151" s="33" t="n">
        <f aca="false">E151*F151/30</f>
        <v>66695.648</v>
      </c>
      <c r="H151" s="33" t="n">
        <f aca="false">$G151*Premissas!$B$42</f>
        <v>46686.9536</v>
      </c>
      <c r="I151" s="33" t="n">
        <f aca="false">$G151*Premissas!$C$42</f>
        <v>10004.3472</v>
      </c>
      <c r="J151" s="33" t="n">
        <f aca="false">$G151*Premissas!$D$42</f>
        <v>5335.65184</v>
      </c>
      <c r="K151" s="33" t="n">
        <f aca="false">$G151*Premissas!$E$42</f>
        <v>2667.82592</v>
      </c>
      <c r="L151" s="33" t="n">
        <f aca="false">$G151*Premissas!$F$42</f>
        <v>2000.86944</v>
      </c>
    </row>
    <row r="152" customFormat="false" ht="15" hidden="false" customHeight="true" outlineLevel="0" collapsed="false">
      <c r="A152" s="32" t="n">
        <v>2025</v>
      </c>
      <c r="B152" s="32" t="n">
        <v>7</v>
      </c>
      <c r="C152" s="32" t="s">
        <v>154</v>
      </c>
      <c r="D152" s="32" t="s">
        <v>145</v>
      </c>
      <c r="E152" s="78" t="n">
        <f aca="false">SUMIFS(DRE_por_UN!$J:$J,DRE_por_UN!$C:$C,$C152,DRE_por_UN!$E:$E,$D152)</f>
        <v>40112.112</v>
      </c>
      <c r="F152" s="44" t="n">
        <f aca="false">VLOOKUP($D152,Premissas!$A$52:$P$56,16,0)</f>
        <v>50</v>
      </c>
      <c r="G152" s="33" t="n">
        <f aca="false">E152*F152/30</f>
        <v>66853.52</v>
      </c>
      <c r="H152" s="33" t="n">
        <f aca="false">$G152*Premissas!$B$42</f>
        <v>46797.464</v>
      </c>
      <c r="I152" s="33" t="n">
        <f aca="false">$G152*Premissas!$C$42</f>
        <v>10028.028</v>
      </c>
      <c r="J152" s="33" t="n">
        <f aca="false">$G152*Premissas!$D$42</f>
        <v>5348.2816</v>
      </c>
      <c r="K152" s="33" t="n">
        <f aca="false">$G152*Premissas!$E$42</f>
        <v>2674.1408</v>
      </c>
      <c r="L152" s="33" t="n">
        <f aca="false">$G152*Premissas!$F$42</f>
        <v>2005.6056</v>
      </c>
    </row>
    <row r="153" customFormat="false" ht="15" hidden="false" customHeight="true" outlineLevel="0" collapsed="false">
      <c r="A153" s="32" t="n">
        <v>2025</v>
      </c>
      <c r="B153" s="32" t="n">
        <v>8</v>
      </c>
      <c r="C153" s="32" t="s">
        <v>155</v>
      </c>
      <c r="D153" s="32" t="s">
        <v>145</v>
      </c>
      <c r="E153" s="78" t="n">
        <f aca="false">SUMIFS(DRE_por_UN!$J:$J,DRE_por_UN!$C:$C,$C153,DRE_por_UN!$E:$E,$D153)</f>
        <v>38426.1072</v>
      </c>
      <c r="F153" s="44" t="n">
        <f aca="false">VLOOKUP($D153,Premissas!$A$52:$P$56,16,0)</f>
        <v>50</v>
      </c>
      <c r="G153" s="33" t="n">
        <f aca="false">E153*F153/30</f>
        <v>64043.512</v>
      </c>
      <c r="H153" s="33" t="n">
        <f aca="false">$G153*Premissas!$B$42</f>
        <v>44830.4584</v>
      </c>
      <c r="I153" s="33" t="n">
        <f aca="false">$G153*Premissas!$C$42</f>
        <v>9606.5268</v>
      </c>
      <c r="J153" s="33" t="n">
        <f aca="false">$G153*Premissas!$D$42</f>
        <v>5123.48096</v>
      </c>
      <c r="K153" s="33" t="n">
        <f aca="false">$G153*Premissas!$E$42</f>
        <v>2561.74048</v>
      </c>
      <c r="L153" s="33" t="n">
        <f aca="false">$G153*Premissas!$F$42</f>
        <v>1921.30536</v>
      </c>
    </row>
    <row r="154" customFormat="false" ht="15" hidden="false" customHeight="true" outlineLevel="0" collapsed="false">
      <c r="A154" s="32" t="n">
        <v>2025</v>
      </c>
      <c r="B154" s="32" t="n">
        <v>9</v>
      </c>
      <c r="C154" s="32" t="s">
        <v>156</v>
      </c>
      <c r="D154" s="32" t="s">
        <v>145</v>
      </c>
      <c r="E154" s="78" t="n">
        <f aca="false">SUMIFS(DRE_por_UN!$J:$J,DRE_por_UN!$C:$C,$C154,DRE_por_UN!$E:$E,$D154)</f>
        <v>38794.1952</v>
      </c>
      <c r="F154" s="44" t="n">
        <f aca="false">VLOOKUP($D154,Premissas!$A$52:$P$56,16,0)</f>
        <v>50</v>
      </c>
      <c r="G154" s="33" t="n">
        <f aca="false">E154*F154/30</f>
        <v>64656.992</v>
      </c>
      <c r="H154" s="33" t="n">
        <f aca="false">$G154*Premissas!$B$42</f>
        <v>45259.8944</v>
      </c>
      <c r="I154" s="33" t="n">
        <f aca="false">$G154*Premissas!$C$42</f>
        <v>9698.5488</v>
      </c>
      <c r="J154" s="33" t="n">
        <f aca="false">$G154*Premissas!$D$42</f>
        <v>5172.55936</v>
      </c>
      <c r="K154" s="33" t="n">
        <f aca="false">$G154*Premissas!$E$42</f>
        <v>2586.27968</v>
      </c>
      <c r="L154" s="33" t="n">
        <f aca="false">$G154*Premissas!$F$42</f>
        <v>1939.70976</v>
      </c>
    </row>
    <row r="155" customFormat="false" ht="15" hidden="false" customHeight="true" outlineLevel="0" collapsed="false">
      <c r="A155" s="32" t="n">
        <v>2025</v>
      </c>
      <c r="B155" s="32" t="n">
        <v>10</v>
      </c>
      <c r="C155" s="32" t="s">
        <v>157</v>
      </c>
      <c r="D155" s="32" t="s">
        <v>145</v>
      </c>
      <c r="E155" s="78" t="n">
        <f aca="false">SUMIFS(DRE_por_UN!$J:$J,DRE_por_UN!$C:$C,$C155,DRE_por_UN!$E:$E,$D155)</f>
        <v>39090.7008</v>
      </c>
      <c r="F155" s="44" t="n">
        <f aca="false">VLOOKUP($D155,Premissas!$A$52:$P$56,16,0)</f>
        <v>50</v>
      </c>
      <c r="G155" s="33" t="n">
        <f aca="false">E155*F155/30</f>
        <v>65151.168</v>
      </c>
      <c r="H155" s="33" t="n">
        <f aca="false">$G155*Premissas!$B$42</f>
        <v>45605.8176</v>
      </c>
      <c r="I155" s="33" t="n">
        <f aca="false">$G155*Premissas!$C$42</f>
        <v>9772.6752</v>
      </c>
      <c r="J155" s="33" t="n">
        <f aca="false">$G155*Premissas!$D$42</f>
        <v>5212.09344</v>
      </c>
      <c r="K155" s="33" t="n">
        <f aca="false">$G155*Premissas!$E$42</f>
        <v>2606.04672</v>
      </c>
      <c r="L155" s="33" t="n">
        <f aca="false">$G155*Premissas!$F$42</f>
        <v>1954.53504</v>
      </c>
    </row>
    <row r="156" customFormat="false" ht="15" hidden="false" customHeight="true" outlineLevel="0" collapsed="false">
      <c r="A156" s="32" t="n">
        <v>2025</v>
      </c>
      <c r="B156" s="32" t="n">
        <v>11</v>
      </c>
      <c r="C156" s="32" t="s">
        <v>158</v>
      </c>
      <c r="D156" s="32" t="s">
        <v>145</v>
      </c>
      <c r="E156" s="78" t="n">
        <f aca="false">SUMIFS(DRE_por_UN!$J:$J,DRE_por_UN!$C:$C,$C156,DRE_por_UN!$E:$E,$D156)</f>
        <v>48554.0208</v>
      </c>
      <c r="F156" s="44" t="n">
        <f aca="false">VLOOKUP($D156,Premissas!$A$52:$P$56,16,0)</f>
        <v>50</v>
      </c>
      <c r="G156" s="33" t="n">
        <f aca="false">E156*F156/30</f>
        <v>80923.368</v>
      </c>
      <c r="H156" s="33" t="n">
        <f aca="false">$G156*Premissas!$B$42</f>
        <v>56646.3576</v>
      </c>
      <c r="I156" s="33" t="n">
        <f aca="false">$G156*Premissas!$C$42</f>
        <v>12138.5052</v>
      </c>
      <c r="J156" s="33" t="n">
        <f aca="false">$G156*Premissas!$D$42</f>
        <v>6473.86944</v>
      </c>
      <c r="K156" s="33" t="n">
        <f aca="false">$G156*Premissas!$E$42</f>
        <v>3236.93472</v>
      </c>
      <c r="L156" s="33" t="n">
        <f aca="false">$G156*Premissas!$F$42</f>
        <v>2427.70104</v>
      </c>
    </row>
    <row r="157" customFormat="false" ht="15" hidden="false" customHeight="true" outlineLevel="0" collapsed="false">
      <c r="A157" s="32" t="n">
        <v>2025</v>
      </c>
      <c r="B157" s="32" t="n">
        <v>12</v>
      </c>
      <c r="C157" s="32" t="s">
        <v>159</v>
      </c>
      <c r="D157" s="32" t="s">
        <v>145</v>
      </c>
      <c r="E157" s="78" t="n">
        <f aca="false">SUMIFS(DRE_por_UN!$J:$J,DRE_por_UN!$C:$C,$C157,DRE_por_UN!$E:$E,$D157)</f>
        <v>50069.2416</v>
      </c>
      <c r="F157" s="44" t="n">
        <f aca="false">VLOOKUP($D157,Premissas!$A$52:$P$56,16,0)</f>
        <v>50</v>
      </c>
      <c r="G157" s="33" t="n">
        <f aca="false">E157*F157/30</f>
        <v>83448.736</v>
      </c>
      <c r="H157" s="33" t="n">
        <f aca="false">$G157*Premissas!$B$42</f>
        <v>58414.1152</v>
      </c>
      <c r="I157" s="33" t="n">
        <f aca="false">$G157*Premissas!$C$42</f>
        <v>12517.3104</v>
      </c>
      <c r="J157" s="33" t="n">
        <f aca="false">$G157*Premissas!$D$42</f>
        <v>6675.89888</v>
      </c>
      <c r="K157" s="33" t="n">
        <f aca="false">$G157*Premissas!$E$42</f>
        <v>3337.94944</v>
      </c>
      <c r="L157" s="33" t="n">
        <f aca="false">$G157*Premissas!$F$42</f>
        <v>2503.46208</v>
      </c>
    </row>
    <row r="158" customFormat="false" ht="15" hidden="false" customHeight="true" outlineLevel="0" collapsed="false">
      <c r="A158" s="32" t="n">
        <v>2026</v>
      </c>
      <c r="B158" s="32" t="n">
        <v>1</v>
      </c>
      <c r="C158" s="32" t="s">
        <v>160</v>
      </c>
      <c r="D158" s="32" t="s">
        <v>145</v>
      </c>
      <c r="E158" s="78" t="n">
        <f aca="false">SUMIFS(DRE_por_UN!$J:$J,DRE_por_UN!$C:$C,$C158,DRE_por_UN!$E:$E,$D158)</f>
        <v>34881.4307</v>
      </c>
      <c r="F158" s="44" t="n">
        <f aca="false">VLOOKUP($D158,Premissas!$A$52:$P$56,16,0)</f>
        <v>50</v>
      </c>
      <c r="G158" s="33" t="n">
        <f aca="false">E158*F158/30</f>
        <v>58135.7178333333</v>
      </c>
      <c r="H158" s="33" t="n">
        <f aca="false">$G158*Premissas!$B$42</f>
        <v>40695.0024833333</v>
      </c>
      <c r="I158" s="33" t="n">
        <f aca="false">$G158*Premissas!$C$42</f>
        <v>8720.357675</v>
      </c>
      <c r="J158" s="33" t="n">
        <f aca="false">$G158*Premissas!$D$42</f>
        <v>4650.85742666667</v>
      </c>
      <c r="K158" s="33" t="n">
        <f aca="false">$G158*Premissas!$E$42</f>
        <v>2325.42871333333</v>
      </c>
      <c r="L158" s="33" t="n">
        <f aca="false">$G158*Premissas!$F$42</f>
        <v>1744.071535</v>
      </c>
    </row>
    <row r="159" customFormat="false" ht="15" hidden="false" customHeight="true" outlineLevel="0" collapsed="false">
      <c r="A159" s="32" t="n">
        <v>2026</v>
      </c>
      <c r="B159" s="32" t="n">
        <v>2</v>
      </c>
      <c r="C159" s="32" t="s">
        <v>161</v>
      </c>
      <c r="D159" s="32" t="s">
        <v>145</v>
      </c>
      <c r="E159" s="78" t="n">
        <f aca="false">SUMIFS(DRE_por_UN!$J:$J,DRE_por_UN!$C:$C,$C159,DRE_por_UN!$E:$E,$D159)</f>
        <v>32962.2468</v>
      </c>
      <c r="F159" s="44" t="n">
        <f aca="false">VLOOKUP($D159,Premissas!$A$52:$P$56,16,0)</f>
        <v>50</v>
      </c>
      <c r="G159" s="33" t="n">
        <f aca="false">E159*F159/30</f>
        <v>54937.078</v>
      </c>
      <c r="H159" s="33" t="n">
        <f aca="false">$G159*Premissas!$B$42</f>
        <v>38455.9546</v>
      </c>
      <c r="I159" s="33" t="n">
        <f aca="false">$G159*Premissas!$C$42</f>
        <v>8240.5617</v>
      </c>
      <c r="J159" s="33" t="n">
        <f aca="false">$G159*Premissas!$D$42</f>
        <v>4394.96624</v>
      </c>
      <c r="K159" s="33" t="n">
        <f aca="false">$G159*Premissas!$E$42</f>
        <v>2197.48312</v>
      </c>
      <c r="L159" s="33" t="n">
        <f aca="false">$G159*Premissas!$F$42</f>
        <v>1648.11234</v>
      </c>
    </row>
    <row r="160" customFormat="false" ht="15" hidden="false" customHeight="true" outlineLevel="0" collapsed="false">
      <c r="A160" s="32" t="n">
        <v>2026</v>
      </c>
      <c r="B160" s="32" t="n">
        <v>3</v>
      </c>
      <c r="C160" s="32" t="s">
        <v>162</v>
      </c>
      <c r="D160" s="32" t="s">
        <v>145</v>
      </c>
      <c r="E160" s="78" t="n">
        <f aca="false">SUMIFS(DRE_por_UN!$J:$J,DRE_por_UN!$C:$C,$C160,DRE_por_UN!$E:$E,$D160)</f>
        <v>38370.3676</v>
      </c>
      <c r="F160" s="44" t="n">
        <f aca="false">VLOOKUP($D160,Premissas!$A$52:$P$56,16,0)</f>
        <v>50</v>
      </c>
      <c r="G160" s="33" t="n">
        <f aca="false">E160*F160/30</f>
        <v>63950.6126666667</v>
      </c>
      <c r="H160" s="33" t="n">
        <f aca="false">$G160*Premissas!$B$42</f>
        <v>44765.4288666667</v>
      </c>
      <c r="I160" s="33" t="n">
        <f aca="false">$G160*Premissas!$C$42</f>
        <v>9592.5919</v>
      </c>
      <c r="J160" s="33" t="n">
        <f aca="false">$G160*Premissas!$D$42</f>
        <v>5116.04901333333</v>
      </c>
      <c r="K160" s="33" t="n">
        <f aca="false">$G160*Premissas!$E$42</f>
        <v>2558.02450666667</v>
      </c>
      <c r="L160" s="33" t="n">
        <f aca="false">$G160*Premissas!$F$42</f>
        <v>1918.51838</v>
      </c>
    </row>
    <row r="161" customFormat="false" ht="15" hidden="false" customHeight="true" outlineLevel="0" collapsed="false">
      <c r="A161" s="32" t="n">
        <v>2026</v>
      </c>
      <c r="B161" s="32" t="n">
        <v>4</v>
      </c>
      <c r="C161" s="32" t="s">
        <v>163</v>
      </c>
      <c r="D161" s="32" t="s">
        <v>145</v>
      </c>
      <c r="E161" s="78" t="n">
        <f aca="false">SUMIFS(DRE_por_UN!$J:$J,DRE_por_UN!$C:$C,$C161,DRE_por_UN!$E:$E,$D161)</f>
        <v>36757.7177</v>
      </c>
      <c r="F161" s="44" t="n">
        <f aca="false">VLOOKUP($D161,Premissas!$A$52:$P$56,16,0)</f>
        <v>50</v>
      </c>
      <c r="G161" s="33" t="n">
        <f aca="false">E161*F161/30</f>
        <v>61262.8628333333</v>
      </c>
      <c r="H161" s="33" t="n">
        <f aca="false">$G161*Premissas!$B$42</f>
        <v>42884.0039833333</v>
      </c>
      <c r="I161" s="33" t="n">
        <f aca="false">$G161*Premissas!$C$42</f>
        <v>9189.429425</v>
      </c>
      <c r="J161" s="33" t="n">
        <f aca="false">$G161*Premissas!$D$42</f>
        <v>4901.02902666667</v>
      </c>
      <c r="K161" s="33" t="n">
        <f aca="false">$G161*Premissas!$E$42</f>
        <v>2450.51451333333</v>
      </c>
      <c r="L161" s="33" t="n">
        <f aca="false">$G161*Premissas!$F$42</f>
        <v>1837.885885</v>
      </c>
    </row>
    <row r="162" customFormat="false" ht="15" hidden="false" customHeight="true" outlineLevel="0" collapsed="false">
      <c r="A162" s="32" t="n">
        <v>2026</v>
      </c>
      <c r="B162" s="32" t="n">
        <v>5</v>
      </c>
      <c r="C162" s="32" t="s">
        <v>164</v>
      </c>
      <c r="D162" s="32" t="s">
        <v>145</v>
      </c>
      <c r="E162" s="78" t="n">
        <f aca="false">SUMIFS(DRE_por_UN!$J:$J,DRE_por_UN!$C:$C,$C162,DRE_por_UN!$E:$E,$D162)</f>
        <v>40656.3395</v>
      </c>
      <c r="F162" s="44" t="n">
        <f aca="false">VLOOKUP($D162,Premissas!$A$52:$P$56,16,0)</f>
        <v>50</v>
      </c>
      <c r="G162" s="33" t="n">
        <f aca="false">E162*F162/30</f>
        <v>67760.5658333333</v>
      </c>
      <c r="H162" s="33" t="n">
        <f aca="false">$G162*Premissas!$B$42</f>
        <v>47432.3960833333</v>
      </c>
      <c r="I162" s="33" t="n">
        <f aca="false">$G162*Premissas!$C$42</f>
        <v>10164.084875</v>
      </c>
      <c r="J162" s="33" t="n">
        <f aca="false">$G162*Premissas!$D$42</f>
        <v>5420.84526666667</v>
      </c>
      <c r="K162" s="33" t="n">
        <f aca="false">$G162*Premissas!$E$42</f>
        <v>2710.42263333333</v>
      </c>
      <c r="L162" s="33" t="n">
        <f aca="false">$G162*Premissas!$F$42</f>
        <v>2032.816975</v>
      </c>
    </row>
    <row r="163" customFormat="false" ht="15" hidden="false" customHeight="true" outlineLevel="0" collapsed="false">
      <c r="A163" s="32" t="n">
        <v>2026</v>
      </c>
      <c r="B163" s="32" t="n">
        <v>6</v>
      </c>
      <c r="C163" s="32" t="s">
        <v>165</v>
      </c>
      <c r="D163" s="32" t="s">
        <v>145</v>
      </c>
      <c r="E163" s="78" t="n">
        <f aca="false">SUMIFS(DRE_por_UN!$J:$J,DRE_por_UN!$C:$C,$C163,DRE_por_UN!$E:$E,$D163)</f>
        <v>40996.4033</v>
      </c>
      <c r="F163" s="44" t="n">
        <f aca="false">VLOOKUP($D163,Premissas!$A$52:$P$56,16,0)</f>
        <v>50</v>
      </c>
      <c r="G163" s="33" t="n">
        <f aca="false">E163*F163/30</f>
        <v>68327.3388333333</v>
      </c>
      <c r="H163" s="33" t="n">
        <f aca="false">$G163*Premissas!$B$42</f>
        <v>47829.1371833333</v>
      </c>
      <c r="I163" s="33" t="n">
        <f aca="false">$G163*Premissas!$C$42</f>
        <v>10249.100825</v>
      </c>
      <c r="J163" s="33" t="n">
        <f aca="false">$G163*Premissas!$D$42</f>
        <v>5466.18710666667</v>
      </c>
      <c r="K163" s="33" t="n">
        <f aca="false">$G163*Premissas!$E$42</f>
        <v>2733.09355333333</v>
      </c>
      <c r="L163" s="33" t="n">
        <f aca="false">$G163*Premissas!$F$42</f>
        <v>2049.820165</v>
      </c>
    </row>
    <row r="164" customFormat="false" ht="15" hidden="false" customHeight="true" outlineLevel="0" collapsed="false">
      <c r="A164" s="32" t="n">
        <v>2026</v>
      </c>
      <c r="B164" s="32" t="n">
        <v>7</v>
      </c>
      <c r="C164" s="32" t="s">
        <v>166</v>
      </c>
      <c r="D164" s="32" t="s">
        <v>145</v>
      </c>
      <c r="E164" s="78" t="n">
        <f aca="false">SUMIFS(DRE_por_UN!$J:$J,DRE_por_UN!$C:$C,$C164,DRE_por_UN!$E:$E,$D164)</f>
        <v>42629.8272</v>
      </c>
      <c r="F164" s="44" t="n">
        <f aca="false">VLOOKUP($D164,Premissas!$A$52:$P$56,16,0)</f>
        <v>50</v>
      </c>
      <c r="G164" s="33" t="n">
        <f aca="false">E164*F164/30</f>
        <v>71049.712</v>
      </c>
      <c r="H164" s="33" t="n">
        <f aca="false">$G164*Premissas!$B$42</f>
        <v>49734.7984</v>
      </c>
      <c r="I164" s="33" t="n">
        <f aca="false">$G164*Premissas!$C$42</f>
        <v>10657.4568</v>
      </c>
      <c r="J164" s="33" t="n">
        <f aca="false">$G164*Premissas!$D$42</f>
        <v>5683.97696</v>
      </c>
      <c r="K164" s="33" t="n">
        <f aca="false">$G164*Premissas!$E$42</f>
        <v>2841.98848</v>
      </c>
      <c r="L164" s="33" t="n">
        <f aca="false">$G164*Premissas!$F$42</f>
        <v>2131.49136</v>
      </c>
    </row>
    <row r="165" customFormat="false" ht="15" hidden="false" customHeight="true" outlineLevel="0" collapsed="false">
      <c r="A165" s="32" t="n">
        <v>2026</v>
      </c>
      <c r="B165" s="32" t="n">
        <v>8</v>
      </c>
      <c r="C165" s="32" t="s">
        <v>167</v>
      </c>
      <c r="D165" s="32" t="s">
        <v>145</v>
      </c>
      <c r="E165" s="78" t="n">
        <f aca="false">SUMIFS(DRE_por_UN!$J:$J,DRE_por_UN!$C:$C,$C165,DRE_por_UN!$E:$E,$D165)</f>
        <v>39737.9078</v>
      </c>
      <c r="F165" s="44" t="n">
        <f aca="false">VLOOKUP($D165,Premissas!$A$52:$P$56,16,0)</f>
        <v>50</v>
      </c>
      <c r="G165" s="33" t="n">
        <f aca="false">E165*F165/30</f>
        <v>66229.8463333333</v>
      </c>
      <c r="H165" s="33" t="n">
        <f aca="false">$G165*Premissas!$B$42</f>
        <v>46360.8924333333</v>
      </c>
      <c r="I165" s="33" t="n">
        <f aca="false">$G165*Premissas!$C$42</f>
        <v>9934.47695</v>
      </c>
      <c r="J165" s="33" t="n">
        <f aca="false">$G165*Premissas!$D$42</f>
        <v>5298.38770666667</v>
      </c>
      <c r="K165" s="33" t="n">
        <f aca="false">$G165*Premissas!$E$42</f>
        <v>2649.19385333333</v>
      </c>
      <c r="L165" s="33" t="n">
        <f aca="false">$G165*Premissas!$F$42</f>
        <v>1986.89539</v>
      </c>
    </row>
    <row r="166" customFormat="false" ht="15" hidden="false" customHeight="true" outlineLevel="0" collapsed="false">
      <c r="A166" s="32" t="n">
        <v>2026</v>
      </c>
      <c r="B166" s="32" t="n">
        <v>9</v>
      </c>
      <c r="C166" s="32" t="s">
        <v>168</v>
      </c>
      <c r="D166" s="32" t="s">
        <v>145</v>
      </c>
      <c r="E166" s="78" t="n">
        <f aca="false">SUMIFS(DRE_por_UN!$J:$J,DRE_por_UN!$C:$C,$C166,DRE_por_UN!$E:$E,$D166)</f>
        <v>37682.4709</v>
      </c>
      <c r="F166" s="44" t="n">
        <f aca="false">VLOOKUP($D166,Premissas!$A$52:$P$56,16,0)</f>
        <v>50</v>
      </c>
      <c r="G166" s="33" t="n">
        <f aca="false">E166*F166/30</f>
        <v>62804.1181666667</v>
      </c>
      <c r="H166" s="33" t="n">
        <f aca="false">$G166*Premissas!$B$42</f>
        <v>43962.8827166667</v>
      </c>
      <c r="I166" s="33" t="n">
        <f aca="false">$G166*Premissas!$C$42</f>
        <v>9420.617725</v>
      </c>
      <c r="J166" s="33" t="n">
        <f aca="false">$G166*Premissas!$D$42</f>
        <v>5024.32945333333</v>
      </c>
      <c r="K166" s="33" t="n">
        <f aca="false">$G166*Premissas!$E$42</f>
        <v>2512.16472666667</v>
      </c>
      <c r="L166" s="33" t="n">
        <f aca="false">$G166*Premissas!$F$42</f>
        <v>1884.123545</v>
      </c>
    </row>
    <row r="167" customFormat="false" ht="15" hidden="false" customHeight="true" outlineLevel="0" collapsed="false">
      <c r="A167" s="32" t="n">
        <v>2026</v>
      </c>
      <c r="B167" s="32" t="n">
        <v>10</v>
      </c>
      <c r="C167" s="32" t="s">
        <v>169</v>
      </c>
      <c r="D167" s="32" t="s">
        <v>145</v>
      </c>
      <c r="E167" s="78" t="n">
        <f aca="false">SUMIFS(DRE_por_UN!$J:$J,DRE_por_UN!$C:$C,$C167,DRE_por_UN!$E:$E,$D167)</f>
        <v>39724.4376</v>
      </c>
      <c r="F167" s="44" t="n">
        <f aca="false">VLOOKUP($D167,Premissas!$A$52:$P$56,16,0)</f>
        <v>50</v>
      </c>
      <c r="G167" s="33" t="n">
        <f aca="false">E167*F167/30</f>
        <v>66207.396</v>
      </c>
      <c r="H167" s="33" t="n">
        <f aca="false">$G167*Premissas!$B$42</f>
        <v>46345.1772</v>
      </c>
      <c r="I167" s="33" t="n">
        <f aca="false">$G167*Premissas!$C$42</f>
        <v>9931.1094</v>
      </c>
      <c r="J167" s="33" t="n">
        <f aca="false">$G167*Premissas!$D$42</f>
        <v>5296.59168</v>
      </c>
      <c r="K167" s="33" t="n">
        <f aca="false">$G167*Premissas!$E$42</f>
        <v>2648.29584</v>
      </c>
      <c r="L167" s="33" t="n">
        <f aca="false">$G167*Premissas!$F$42</f>
        <v>1986.22188</v>
      </c>
    </row>
    <row r="168" customFormat="false" ht="15" hidden="false" customHeight="true" outlineLevel="0" collapsed="false">
      <c r="A168" s="32" t="n">
        <v>2026</v>
      </c>
      <c r="B168" s="32" t="n">
        <v>11</v>
      </c>
      <c r="C168" s="32" t="s">
        <v>170</v>
      </c>
      <c r="D168" s="32" t="s">
        <v>145</v>
      </c>
      <c r="E168" s="78" t="n">
        <f aca="false">SUMIFS(DRE_por_UN!$J:$J,DRE_por_UN!$C:$C,$C168,DRE_por_UN!$E:$E,$D168)</f>
        <v>48530.1649</v>
      </c>
      <c r="F168" s="44" t="n">
        <f aca="false">VLOOKUP($D168,Premissas!$A$52:$P$56,16,0)</f>
        <v>50</v>
      </c>
      <c r="G168" s="33" t="n">
        <f aca="false">E168*F168/30</f>
        <v>80883.6081666667</v>
      </c>
      <c r="H168" s="33" t="n">
        <f aca="false">$G168*Premissas!$B$42</f>
        <v>56618.5257166667</v>
      </c>
      <c r="I168" s="33" t="n">
        <f aca="false">$G168*Premissas!$C$42</f>
        <v>12132.541225</v>
      </c>
      <c r="J168" s="33" t="n">
        <f aca="false">$G168*Premissas!$D$42</f>
        <v>6470.68865333333</v>
      </c>
      <c r="K168" s="33" t="n">
        <f aca="false">$G168*Premissas!$E$42</f>
        <v>3235.34432666667</v>
      </c>
      <c r="L168" s="33" t="n">
        <f aca="false">$G168*Premissas!$F$42</f>
        <v>2426.508245</v>
      </c>
    </row>
    <row r="169" customFormat="false" ht="15" hidden="false" customHeight="true" outlineLevel="0" collapsed="false">
      <c r="A169" s="32" t="n">
        <v>2026</v>
      </c>
      <c r="B169" s="32" t="n">
        <v>12</v>
      </c>
      <c r="C169" s="32" t="s">
        <v>171</v>
      </c>
      <c r="D169" s="32" t="s">
        <v>145</v>
      </c>
      <c r="E169" s="78" t="n">
        <f aca="false">SUMIFS(DRE_por_UN!$J:$J,DRE_por_UN!$C:$C,$C169,DRE_por_UN!$E:$E,$D169)</f>
        <v>51530.1467</v>
      </c>
      <c r="F169" s="44" t="n">
        <f aca="false">VLOOKUP($D169,Premissas!$A$52:$P$56,16,0)</f>
        <v>50</v>
      </c>
      <c r="G169" s="33" t="n">
        <f aca="false">E169*F169/30</f>
        <v>85883.5778333333</v>
      </c>
      <c r="H169" s="33" t="n">
        <f aca="false">$G169*Premissas!$B$42</f>
        <v>60118.5044833333</v>
      </c>
      <c r="I169" s="33" t="n">
        <f aca="false">$G169*Premissas!$C$42</f>
        <v>12882.536675</v>
      </c>
      <c r="J169" s="33" t="n">
        <f aca="false">$G169*Premissas!$D$42</f>
        <v>6870.68622666667</v>
      </c>
      <c r="K169" s="33" t="n">
        <f aca="false">$G169*Premissas!$E$42</f>
        <v>3435.34311333333</v>
      </c>
      <c r="L169" s="33" t="n">
        <f aca="false">$G169*Premissas!$F$42</f>
        <v>2576.507335</v>
      </c>
    </row>
    <row r="170" customFormat="false" ht="15" hidden="false" customHeight="true" outlineLevel="0" collapsed="false">
      <c r="A170" s="32" t="n">
        <v>2027</v>
      </c>
      <c r="B170" s="32" t="n">
        <v>1</v>
      </c>
      <c r="C170" s="32" t="s">
        <v>172</v>
      </c>
      <c r="D170" s="32" t="s">
        <v>145</v>
      </c>
      <c r="E170" s="78" t="n">
        <f aca="false">SUMIFS(DRE_por_UN!$J:$J,DRE_por_UN!$C:$C,$C170,DRE_por_UN!$E:$E,$D170)</f>
        <v>37310.3314887984</v>
      </c>
      <c r="F170" s="44" t="n">
        <f aca="false">VLOOKUP($D170,Premissas!$A$52:$P$56,16,0)</f>
        <v>50</v>
      </c>
      <c r="G170" s="33" t="n">
        <f aca="false">E170*F170/30</f>
        <v>62183.885814664</v>
      </c>
      <c r="H170" s="33" t="n">
        <f aca="false">$G170*Premissas!$B$42</f>
        <v>43528.7200702648</v>
      </c>
      <c r="I170" s="33" t="n">
        <f aca="false">$G170*Premissas!$C$42</f>
        <v>9327.5828721996</v>
      </c>
      <c r="J170" s="33" t="n">
        <f aca="false">$G170*Premissas!$D$42</f>
        <v>4974.71086517312</v>
      </c>
      <c r="K170" s="33" t="n">
        <f aca="false">$G170*Premissas!$E$42</f>
        <v>2487.35543258656</v>
      </c>
      <c r="L170" s="33" t="n">
        <f aca="false">$G170*Premissas!$F$42</f>
        <v>1865.51657443992</v>
      </c>
    </row>
    <row r="171" customFormat="false" ht="15" hidden="false" customHeight="true" outlineLevel="0" collapsed="false">
      <c r="A171" s="32" t="n">
        <v>2027</v>
      </c>
      <c r="B171" s="32" t="n">
        <v>2</v>
      </c>
      <c r="C171" s="32" t="s">
        <v>173</v>
      </c>
      <c r="D171" s="32" t="s">
        <v>145</v>
      </c>
      <c r="E171" s="78" t="n">
        <f aca="false">SUMIFS(DRE_por_UN!$J:$J,DRE_por_UN!$C:$C,$C171,DRE_por_UN!$E:$E,$D171)</f>
        <v>35293.4770930416</v>
      </c>
      <c r="F171" s="44" t="n">
        <f aca="false">VLOOKUP($D171,Premissas!$A$52:$P$56,16,0)</f>
        <v>50</v>
      </c>
      <c r="G171" s="33" t="n">
        <f aca="false">E171*F171/30</f>
        <v>58822.461821736</v>
      </c>
      <c r="H171" s="33" t="n">
        <f aca="false">$G171*Premissas!$B$42</f>
        <v>41175.7232752152</v>
      </c>
      <c r="I171" s="33" t="n">
        <f aca="false">$G171*Premissas!$C$42</f>
        <v>8823.3692732604</v>
      </c>
      <c r="J171" s="33" t="n">
        <f aca="false">$G171*Premissas!$D$42</f>
        <v>4705.79694573888</v>
      </c>
      <c r="K171" s="33" t="n">
        <f aca="false">$G171*Premissas!$E$42</f>
        <v>2352.89847286944</v>
      </c>
      <c r="L171" s="33" t="n">
        <f aca="false">$G171*Premissas!$F$42</f>
        <v>1764.67385465208</v>
      </c>
    </row>
    <row r="172" customFormat="false" ht="15" hidden="false" customHeight="true" outlineLevel="0" collapsed="false">
      <c r="A172" s="32" t="n">
        <v>2027</v>
      </c>
      <c r="B172" s="32" t="n">
        <v>3</v>
      </c>
      <c r="C172" s="32" t="s">
        <v>174</v>
      </c>
      <c r="D172" s="32" t="s">
        <v>145</v>
      </c>
      <c r="E172" s="78" t="n">
        <f aca="false">SUMIFS(DRE_por_UN!$J:$J,DRE_por_UN!$C:$C,$C172,DRE_por_UN!$E:$E,$D172)</f>
        <v>41049.6698754804</v>
      </c>
      <c r="F172" s="44" t="n">
        <f aca="false">VLOOKUP($D172,Premissas!$A$52:$P$56,16,0)</f>
        <v>50</v>
      </c>
      <c r="G172" s="33" t="n">
        <f aca="false">E172*F172/30</f>
        <v>68416.116459134</v>
      </c>
      <c r="H172" s="33" t="n">
        <f aca="false">$G172*Premissas!$B$42</f>
        <v>47891.2815213938</v>
      </c>
      <c r="I172" s="33" t="n">
        <f aca="false">$G172*Premissas!$C$42</f>
        <v>10262.4174688701</v>
      </c>
      <c r="J172" s="33" t="n">
        <f aca="false">$G172*Premissas!$D$42</f>
        <v>5473.28931673072</v>
      </c>
      <c r="K172" s="33" t="n">
        <f aca="false">$G172*Premissas!$E$42</f>
        <v>2736.64465836536</v>
      </c>
      <c r="L172" s="33" t="n">
        <f aca="false">$G172*Premissas!$F$42</f>
        <v>2052.48349377402</v>
      </c>
    </row>
    <row r="173" customFormat="false" ht="15" hidden="false" customHeight="true" outlineLevel="0" collapsed="false">
      <c r="A173" s="32" t="n">
        <v>2027</v>
      </c>
      <c r="B173" s="32" t="n">
        <v>4</v>
      </c>
      <c r="C173" s="32" t="s">
        <v>175</v>
      </c>
      <c r="D173" s="32" t="s">
        <v>145</v>
      </c>
      <c r="E173" s="78" t="n">
        <f aca="false">SUMIFS(DRE_por_UN!$J:$J,DRE_por_UN!$C:$C,$C173,DRE_por_UN!$E:$E,$D173)</f>
        <v>39454.893302274</v>
      </c>
      <c r="F173" s="44" t="n">
        <f aca="false">VLOOKUP($D173,Premissas!$A$52:$P$56,16,0)</f>
        <v>50</v>
      </c>
      <c r="G173" s="33" t="n">
        <f aca="false">E173*F173/30</f>
        <v>65758.15550379</v>
      </c>
      <c r="H173" s="33" t="n">
        <f aca="false">$G173*Premissas!$B$42</f>
        <v>46030.708852653</v>
      </c>
      <c r="I173" s="33" t="n">
        <f aca="false">$G173*Premissas!$C$42</f>
        <v>9863.7233255685</v>
      </c>
      <c r="J173" s="33" t="n">
        <f aca="false">$G173*Premissas!$D$42</f>
        <v>5260.6524403032</v>
      </c>
      <c r="K173" s="33" t="n">
        <f aca="false">$G173*Premissas!$E$42</f>
        <v>2630.3262201516</v>
      </c>
      <c r="L173" s="33" t="n">
        <f aca="false">$G173*Premissas!$F$42</f>
        <v>1972.7446651137</v>
      </c>
    </row>
    <row r="174" customFormat="false" ht="15" hidden="false" customHeight="true" outlineLevel="0" collapsed="false">
      <c r="A174" s="32" t="n">
        <v>2027</v>
      </c>
      <c r="B174" s="32" t="n">
        <v>5</v>
      </c>
      <c r="C174" s="32" t="s">
        <v>176</v>
      </c>
      <c r="D174" s="32" t="s">
        <v>145</v>
      </c>
      <c r="E174" s="78" t="n">
        <f aca="false">SUMIFS(DRE_por_UN!$J:$J,DRE_por_UN!$C:$C,$C174,DRE_por_UN!$E:$E,$D174)</f>
        <v>43414.7605284144</v>
      </c>
      <c r="F174" s="44" t="n">
        <f aca="false">VLOOKUP($D174,Premissas!$A$52:$P$56,16,0)</f>
        <v>50</v>
      </c>
      <c r="G174" s="33" t="n">
        <f aca="false">E174*F174/30</f>
        <v>72357.934214024</v>
      </c>
      <c r="H174" s="33" t="n">
        <f aca="false">$G174*Premissas!$B$42</f>
        <v>50650.5539498168</v>
      </c>
      <c r="I174" s="33" t="n">
        <f aca="false">$G174*Premissas!$C$42</f>
        <v>10853.6901321036</v>
      </c>
      <c r="J174" s="33" t="n">
        <f aca="false">$G174*Premissas!$D$42</f>
        <v>5788.63473712192</v>
      </c>
      <c r="K174" s="33" t="n">
        <f aca="false">$G174*Premissas!$E$42</f>
        <v>2894.31736856096</v>
      </c>
      <c r="L174" s="33" t="n">
        <f aca="false">$G174*Premissas!$F$42</f>
        <v>2170.73802642072</v>
      </c>
    </row>
    <row r="175" customFormat="false" ht="15" hidden="false" customHeight="true" outlineLevel="0" collapsed="false">
      <c r="A175" s="32" t="n">
        <v>2027</v>
      </c>
      <c r="B175" s="32" t="n">
        <v>6</v>
      </c>
      <c r="C175" s="32" t="s">
        <v>177</v>
      </c>
      <c r="D175" s="32" t="s">
        <v>145</v>
      </c>
      <c r="E175" s="78" t="n">
        <f aca="false">SUMIFS(DRE_por_UN!$J:$J,DRE_por_UN!$C:$C,$C175,DRE_por_UN!$E:$E,$D175)</f>
        <v>43762.6866572196</v>
      </c>
      <c r="F175" s="44" t="n">
        <f aca="false">VLOOKUP($D175,Premissas!$A$52:$P$56,16,0)</f>
        <v>50</v>
      </c>
      <c r="G175" s="33" t="n">
        <f aca="false">E175*F175/30</f>
        <v>72937.811095366</v>
      </c>
      <c r="H175" s="33" t="n">
        <f aca="false">$G175*Premissas!$B$42</f>
        <v>51056.4677667562</v>
      </c>
      <c r="I175" s="33" t="n">
        <f aca="false">$G175*Premissas!$C$42</f>
        <v>10940.6716643049</v>
      </c>
      <c r="J175" s="33" t="n">
        <f aca="false">$G175*Premissas!$D$42</f>
        <v>5835.02488762928</v>
      </c>
      <c r="K175" s="33" t="n">
        <f aca="false">$G175*Premissas!$E$42</f>
        <v>2917.51244381464</v>
      </c>
      <c r="L175" s="33" t="n">
        <f aca="false">$G175*Premissas!$F$42</f>
        <v>2188.13433286098</v>
      </c>
    </row>
    <row r="176" customFormat="false" ht="15" hidden="false" customHeight="true" outlineLevel="0" collapsed="false">
      <c r="A176" s="32" t="n">
        <v>2027</v>
      </c>
      <c r="B176" s="32" t="n">
        <v>7</v>
      </c>
      <c r="C176" s="32" t="s">
        <v>178</v>
      </c>
      <c r="D176" s="32" t="s">
        <v>145</v>
      </c>
      <c r="E176" s="78" t="n">
        <f aca="false">SUMIFS(DRE_por_UN!$J:$J,DRE_por_UN!$C:$C,$C176,DRE_por_UN!$E:$E,$D176)</f>
        <v>45583.426208136</v>
      </c>
      <c r="F176" s="44" t="n">
        <f aca="false">VLOOKUP($D176,Premissas!$A$52:$P$56,16,0)</f>
        <v>50</v>
      </c>
      <c r="G176" s="33" t="n">
        <f aca="false">E176*F176/30</f>
        <v>75972.37701356</v>
      </c>
      <c r="H176" s="33" t="n">
        <f aca="false">$G176*Premissas!$B$42</f>
        <v>53180.663909492</v>
      </c>
      <c r="I176" s="33" t="n">
        <f aca="false">$G176*Premissas!$C$42</f>
        <v>11395.856552034</v>
      </c>
      <c r="J176" s="33" t="n">
        <f aca="false">$G176*Premissas!$D$42</f>
        <v>6077.7901610848</v>
      </c>
      <c r="K176" s="33" t="n">
        <f aca="false">$G176*Premissas!$E$42</f>
        <v>3038.8950805424</v>
      </c>
      <c r="L176" s="33" t="n">
        <f aca="false">$G176*Premissas!$F$42</f>
        <v>2279.1713104068</v>
      </c>
    </row>
    <row r="177" customFormat="false" ht="15" hidden="false" customHeight="true" outlineLevel="0" collapsed="false">
      <c r="A177" s="32" t="n">
        <v>2027</v>
      </c>
      <c r="B177" s="32" t="n">
        <v>8</v>
      </c>
      <c r="C177" s="32" t="s">
        <v>179</v>
      </c>
      <c r="D177" s="32" t="s">
        <v>145</v>
      </c>
      <c r="E177" s="78" t="n">
        <f aca="false">SUMIFS(DRE_por_UN!$J:$J,DRE_por_UN!$C:$C,$C177,DRE_por_UN!$E:$E,$D177)</f>
        <v>42742.9122067968</v>
      </c>
      <c r="F177" s="44" t="n">
        <f aca="false">VLOOKUP($D177,Premissas!$A$52:$P$56,16,0)</f>
        <v>50</v>
      </c>
      <c r="G177" s="33" t="n">
        <f aca="false">E177*F177/30</f>
        <v>71238.187011328</v>
      </c>
      <c r="H177" s="33" t="n">
        <f aca="false">$G177*Premissas!$B$42</f>
        <v>49866.7309079296</v>
      </c>
      <c r="I177" s="33" t="n">
        <f aca="false">$G177*Premissas!$C$42</f>
        <v>10685.7280516992</v>
      </c>
      <c r="J177" s="33" t="n">
        <f aca="false">$G177*Premissas!$D$42</f>
        <v>5699.05496090624</v>
      </c>
      <c r="K177" s="33" t="n">
        <f aca="false">$G177*Premissas!$E$42</f>
        <v>2849.52748045312</v>
      </c>
      <c r="L177" s="33" t="n">
        <f aca="false">$G177*Premissas!$F$42</f>
        <v>2137.14561033984</v>
      </c>
    </row>
    <row r="178" customFormat="false" ht="15" hidden="false" customHeight="true" outlineLevel="0" collapsed="false">
      <c r="A178" s="32" t="n">
        <v>2027</v>
      </c>
      <c r="B178" s="32" t="n">
        <v>9</v>
      </c>
      <c r="C178" s="32" t="s">
        <v>180</v>
      </c>
      <c r="D178" s="32" t="s">
        <v>145</v>
      </c>
      <c r="E178" s="78" t="n">
        <f aca="false">SUMIFS(DRE_por_UN!$J:$J,DRE_por_UN!$C:$C,$C178,DRE_por_UN!$E:$E,$D178)</f>
        <v>40350.1339819848</v>
      </c>
      <c r="F178" s="44" t="n">
        <f aca="false">VLOOKUP($D178,Premissas!$A$52:$P$56,16,0)</f>
        <v>50</v>
      </c>
      <c r="G178" s="33" t="n">
        <f aca="false">E178*F178/30</f>
        <v>67250.223303308</v>
      </c>
      <c r="H178" s="33" t="n">
        <f aca="false">$G178*Premissas!$B$42</f>
        <v>47075.1563123156</v>
      </c>
      <c r="I178" s="33" t="n">
        <f aca="false">$G178*Premissas!$C$42</f>
        <v>10087.5334954962</v>
      </c>
      <c r="J178" s="33" t="n">
        <f aca="false">$G178*Premissas!$D$42</f>
        <v>5380.01786426464</v>
      </c>
      <c r="K178" s="33" t="n">
        <f aca="false">$G178*Premissas!$E$42</f>
        <v>2690.00893213232</v>
      </c>
      <c r="L178" s="33" t="n">
        <f aca="false">$G178*Premissas!$F$42</f>
        <v>2017.50669909924</v>
      </c>
    </row>
    <row r="179" customFormat="false" ht="15" hidden="false" customHeight="true" outlineLevel="0" collapsed="false">
      <c r="A179" s="32" t="n">
        <v>2027</v>
      </c>
      <c r="B179" s="32" t="n">
        <v>10</v>
      </c>
      <c r="C179" s="32" t="s">
        <v>181</v>
      </c>
      <c r="D179" s="32" t="s">
        <v>145</v>
      </c>
      <c r="E179" s="78" t="n">
        <f aca="false">SUMIFS(DRE_por_UN!$J:$J,DRE_por_UN!$C:$C,$C179,DRE_por_UN!$E:$E,$D179)</f>
        <v>42407.3946587424</v>
      </c>
      <c r="F179" s="44" t="n">
        <f aca="false">VLOOKUP($D179,Premissas!$A$52:$P$56,16,0)</f>
        <v>50</v>
      </c>
      <c r="G179" s="33" t="n">
        <f aca="false">E179*F179/30</f>
        <v>70678.991097904</v>
      </c>
      <c r="H179" s="33" t="n">
        <f aca="false">$G179*Premissas!$B$42</f>
        <v>49475.2937685328</v>
      </c>
      <c r="I179" s="33" t="n">
        <f aca="false">$G179*Premissas!$C$42</f>
        <v>10601.8486646856</v>
      </c>
      <c r="J179" s="33" t="n">
        <f aca="false">$G179*Premissas!$D$42</f>
        <v>5654.31928783232</v>
      </c>
      <c r="K179" s="33" t="n">
        <f aca="false">$G179*Premissas!$E$42</f>
        <v>2827.15964391616</v>
      </c>
      <c r="L179" s="33" t="n">
        <f aca="false">$G179*Premissas!$F$42</f>
        <v>2120.36973293712</v>
      </c>
    </row>
    <row r="180" customFormat="false" ht="15" hidden="false" customHeight="true" outlineLevel="0" collapsed="false">
      <c r="A180" s="32" t="n">
        <v>2027</v>
      </c>
      <c r="B180" s="32" t="n">
        <v>11</v>
      </c>
      <c r="C180" s="32" t="s">
        <v>182</v>
      </c>
      <c r="D180" s="32" t="s">
        <v>145</v>
      </c>
      <c r="E180" s="78" t="n">
        <f aca="false">SUMIFS(DRE_por_UN!$J:$J,DRE_por_UN!$C:$C,$C180,DRE_por_UN!$E:$E,$D180)</f>
        <v>51982.9630689348</v>
      </c>
      <c r="F180" s="44" t="n">
        <f aca="false">VLOOKUP($D180,Premissas!$A$52:$P$56,16,0)</f>
        <v>50</v>
      </c>
      <c r="G180" s="33" t="n">
        <f aca="false">E180*F180/30</f>
        <v>86638.271781558</v>
      </c>
      <c r="H180" s="33" t="n">
        <f aca="false">$G180*Premissas!$B$42</f>
        <v>60646.7902470906</v>
      </c>
      <c r="I180" s="33" t="n">
        <f aca="false">$G180*Premissas!$C$42</f>
        <v>12995.7407672337</v>
      </c>
      <c r="J180" s="33" t="n">
        <f aca="false">$G180*Premissas!$D$42</f>
        <v>6931.06174252464</v>
      </c>
      <c r="K180" s="33" t="n">
        <f aca="false">$G180*Premissas!$E$42</f>
        <v>3465.53087126232</v>
      </c>
      <c r="L180" s="33" t="n">
        <f aca="false">$G180*Premissas!$F$42</f>
        <v>2599.14815344674</v>
      </c>
    </row>
    <row r="181" customFormat="false" ht="15" hidden="false" customHeight="true" outlineLevel="0" collapsed="false">
      <c r="A181" s="32" t="n">
        <v>2027</v>
      </c>
      <c r="B181" s="32" t="n">
        <v>12</v>
      </c>
      <c r="C181" s="32" t="s">
        <v>183</v>
      </c>
      <c r="D181" s="32" t="s">
        <v>145</v>
      </c>
      <c r="E181" s="78" t="n">
        <f aca="false">SUMIFS(DRE_por_UN!$J:$J,DRE_por_UN!$C:$C,$C181,DRE_por_UN!$E:$E,$D181)</f>
        <v>55112.4788083992</v>
      </c>
      <c r="F181" s="44" t="n">
        <f aca="false">VLOOKUP($D181,Premissas!$A$52:$P$56,16,0)</f>
        <v>50</v>
      </c>
      <c r="G181" s="33" t="n">
        <f aca="false">E181*F181/30</f>
        <v>91854.131347332</v>
      </c>
      <c r="H181" s="33" t="n">
        <f aca="false">$G181*Premissas!$B$42</f>
        <v>64297.8919431324</v>
      </c>
      <c r="I181" s="33" t="n">
        <f aca="false">$G181*Premissas!$C$42</f>
        <v>13778.1197020998</v>
      </c>
      <c r="J181" s="33" t="n">
        <f aca="false">$G181*Premissas!$D$42</f>
        <v>7348.33050778656</v>
      </c>
      <c r="K181" s="33" t="n">
        <f aca="false">$G181*Premissas!$E$42</f>
        <v>3674.16525389328</v>
      </c>
      <c r="L181" s="33" t="n">
        <f aca="false">$G181*Premissas!$F$42</f>
        <v>2755.62394041996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8" min="3" style="1" width="11"/>
    <col collapsed="false" customWidth="true" hidden="false" outlineLevel="0" max="42" min="40" style="1" width="13"/>
  </cols>
  <sheetData>
    <row r="1" customFormat="false" ht="15.75" hidden="false" customHeight="true" outlineLevel="0" collapsed="false">
      <c r="A1" s="28" t="s">
        <v>373</v>
      </c>
    </row>
    <row r="2" customFormat="false" ht="15" hidden="false" customHeight="true" outlineLevel="0" collapsed="false">
      <c r="A2" s="23" t="s">
        <v>147</v>
      </c>
      <c r="C2" s="29" t="s">
        <v>148</v>
      </c>
      <c r="D2" s="29" t="s">
        <v>149</v>
      </c>
      <c r="E2" s="29" t="s">
        <v>150</v>
      </c>
      <c r="F2" s="29" t="s">
        <v>151</v>
      </c>
      <c r="G2" s="29" t="s">
        <v>152</v>
      </c>
      <c r="H2" s="29" t="s">
        <v>153</v>
      </c>
      <c r="I2" s="29" t="s">
        <v>154</v>
      </c>
      <c r="J2" s="29" t="s">
        <v>155</v>
      </c>
      <c r="K2" s="29" t="s">
        <v>156</v>
      </c>
      <c r="L2" s="29" t="s">
        <v>157</v>
      </c>
      <c r="M2" s="29" t="s">
        <v>158</v>
      </c>
      <c r="N2" s="29" t="s">
        <v>159</v>
      </c>
      <c r="O2" s="29" t="s">
        <v>160</v>
      </c>
      <c r="P2" s="29" t="s">
        <v>161</v>
      </c>
      <c r="Q2" s="29" t="s">
        <v>162</v>
      </c>
      <c r="R2" s="29" t="s">
        <v>163</v>
      </c>
      <c r="S2" s="29" t="s">
        <v>164</v>
      </c>
      <c r="T2" s="29" t="s">
        <v>165</v>
      </c>
      <c r="U2" s="29" t="s">
        <v>166</v>
      </c>
      <c r="V2" s="29" t="s">
        <v>167</v>
      </c>
      <c r="W2" s="29" t="s">
        <v>168</v>
      </c>
      <c r="X2" s="29" t="s">
        <v>169</v>
      </c>
      <c r="Y2" s="29" t="s">
        <v>170</v>
      </c>
      <c r="Z2" s="29" t="s">
        <v>171</v>
      </c>
      <c r="AA2" s="29" t="s">
        <v>172</v>
      </c>
      <c r="AB2" s="29" t="s">
        <v>173</v>
      </c>
      <c r="AC2" s="29" t="s">
        <v>174</v>
      </c>
      <c r="AD2" s="29" t="s">
        <v>175</v>
      </c>
      <c r="AE2" s="29" t="s">
        <v>176</v>
      </c>
      <c r="AF2" s="29" t="s">
        <v>177</v>
      </c>
      <c r="AG2" s="29" t="s">
        <v>178</v>
      </c>
      <c r="AH2" s="29" t="s">
        <v>179</v>
      </c>
      <c r="AI2" s="29" t="s">
        <v>180</v>
      </c>
      <c r="AJ2" s="29" t="s">
        <v>181</v>
      </c>
      <c r="AK2" s="29" t="s">
        <v>182</v>
      </c>
      <c r="AL2" s="29" t="s">
        <v>183</v>
      </c>
      <c r="AN2" s="30" t="s">
        <v>184</v>
      </c>
      <c r="AO2" s="30" t="s">
        <v>185</v>
      </c>
      <c r="AP2" s="30" t="s">
        <v>186</v>
      </c>
    </row>
    <row r="3" customFormat="false" ht="15" hidden="false" customHeight="true" outlineLevel="0" collapsed="false">
      <c r="A3" s="23"/>
      <c r="C3" s="29" t="n">
        <v>2025</v>
      </c>
      <c r="D3" s="29" t="n">
        <v>2025</v>
      </c>
      <c r="E3" s="29" t="n">
        <v>2025</v>
      </c>
      <c r="F3" s="29" t="n">
        <v>2025</v>
      </c>
      <c r="G3" s="29" t="n">
        <v>2025</v>
      </c>
      <c r="H3" s="29" t="n">
        <v>2025</v>
      </c>
      <c r="I3" s="29" t="n">
        <v>2025</v>
      </c>
      <c r="J3" s="29" t="n">
        <v>2025</v>
      </c>
      <c r="K3" s="29" t="n">
        <v>2025</v>
      </c>
      <c r="L3" s="29" t="n">
        <v>2025</v>
      </c>
      <c r="M3" s="29" t="n">
        <v>2025</v>
      </c>
      <c r="N3" s="29" t="n">
        <v>2025</v>
      </c>
      <c r="O3" s="29" t="n">
        <v>2026</v>
      </c>
      <c r="P3" s="29" t="n">
        <v>2026</v>
      </c>
      <c r="Q3" s="29" t="n">
        <v>2026</v>
      </c>
      <c r="R3" s="29" t="n">
        <v>2026</v>
      </c>
      <c r="S3" s="29" t="n">
        <v>2026</v>
      </c>
      <c r="T3" s="29" t="n">
        <v>2026</v>
      </c>
      <c r="U3" s="29" t="n">
        <v>2026</v>
      </c>
      <c r="V3" s="29" t="n">
        <v>2026</v>
      </c>
      <c r="W3" s="29" t="n">
        <v>2026</v>
      </c>
      <c r="X3" s="29" t="n">
        <v>2026</v>
      </c>
      <c r="Y3" s="29" t="n">
        <v>2026</v>
      </c>
      <c r="Z3" s="29" t="n">
        <v>2026</v>
      </c>
      <c r="AA3" s="29" t="n">
        <v>2027</v>
      </c>
      <c r="AB3" s="29" t="n">
        <v>2027</v>
      </c>
      <c r="AC3" s="29" t="n">
        <v>2027</v>
      </c>
      <c r="AD3" s="29" t="n">
        <v>2027</v>
      </c>
      <c r="AE3" s="29" t="n">
        <v>2027</v>
      </c>
      <c r="AF3" s="29" t="n">
        <v>2027</v>
      </c>
      <c r="AG3" s="29" t="n">
        <v>2027</v>
      </c>
      <c r="AH3" s="29" t="n">
        <v>2027</v>
      </c>
      <c r="AI3" s="29" t="n">
        <v>2027</v>
      </c>
      <c r="AJ3" s="29" t="n">
        <v>2027</v>
      </c>
      <c r="AK3" s="29" t="n">
        <v>2027</v>
      </c>
      <c r="AL3" s="29" t="n">
        <v>2027</v>
      </c>
      <c r="AN3" s="23" t="s">
        <v>187</v>
      </c>
      <c r="AO3" s="23" t="s">
        <v>187</v>
      </c>
      <c r="AP3" s="23" t="s">
        <v>187</v>
      </c>
    </row>
    <row r="4" customFormat="false" ht="15" hidden="false" customHeight="true" outlineLevel="0" collapsed="false">
      <c r="A4" s="32" t="s">
        <v>374</v>
      </c>
      <c r="C4" s="33" t="n">
        <f aca="false">Premissas!$B$21</f>
        <v>500000</v>
      </c>
      <c r="D4" s="33" t="n">
        <f aca="false">C6</f>
        <v>502623.7346</v>
      </c>
      <c r="E4" s="33" t="n">
        <f aca="false">D6</f>
        <v>505180.61855</v>
      </c>
      <c r="F4" s="33" t="n">
        <f aca="false">E6</f>
        <v>507979.9946</v>
      </c>
      <c r="G4" s="33" t="n">
        <f aca="false">F6</f>
        <v>510851.0612</v>
      </c>
      <c r="H4" s="33" t="n">
        <f aca="false">G6</f>
        <v>513757.97855</v>
      </c>
      <c r="I4" s="33" t="n">
        <f aca="false">H6</f>
        <v>546916.3562</v>
      </c>
      <c r="J4" s="33" t="n">
        <f aca="false">I6</f>
        <v>580114.18325</v>
      </c>
      <c r="K4" s="33" t="n">
        <f aca="false">J6</f>
        <v>612932.24075</v>
      </c>
      <c r="L4" s="33" t="n">
        <f aca="false">K6</f>
        <v>615786.95165</v>
      </c>
      <c r="M4" s="33" t="n">
        <f aca="false">L6</f>
        <v>618877.31315</v>
      </c>
      <c r="N4" s="33" t="n">
        <f aca="false">M6</f>
        <v>622475.65475</v>
      </c>
      <c r="O4" s="33" t="n">
        <f aca="false">N6</f>
        <v>626275.6703</v>
      </c>
      <c r="P4" s="33" t="n">
        <f aca="false">O6</f>
        <v>629006.11025</v>
      </c>
      <c r="Q4" s="33" t="n">
        <f aca="false">P6</f>
        <v>631203.6002</v>
      </c>
      <c r="R4" s="33" t="n">
        <f aca="false">Q6</f>
        <v>634173.60155</v>
      </c>
      <c r="S4" s="33" t="n">
        <f aca="false">R6</f>
        <v>636856.86605</v>
      </c>
      <c r="T4" s="33" t="n">
        <f aca="false">S6</f>
        <v>640342.3133</v>
      </c>
      <c r="U4" s="33" t="n">
        <f aca="false">T6</f>
        <v>643690.95515</v>
      </c>
      <c r="V4" s="33" t="n">
        <f aca="false">U6</f>
        <v>647240.7218</v>
      </c>
      <c r="W4" s="33" t="n">
        <f aca="false">V6</f>
        <v>650520.74315</v>
      </c>
      <c r="X4" s="33" t="n">
        <f aca="false">W6</f>
        <v>653782.70285</v>
      </c>
      <c r="Y4" s="33" t="n">
        <f aca="false">X6</f>
        <v>656768.83025</v>
      </c>
      <c r="Z4" s="33" t="n">
        <f aca="false">Y6</f>
        <v>660562.09055</v>
      </c>
      <c r="AA4" s="33" t="n">
        <f aca="false">Z6</f>
        <v>664623.8828</v>
      </c>
      <c r="AB4" s="33" t="n">
        <f aca="false">AA6</f>
        <v>667589.949447334</v>
      </c>
      <c r="AC4" s="33" t="n">
        <f aca="false">AB6</f>
        <v>669936.155502282</v>
      </c>
      <c r="AD4" s="33" t="n">
        <f aca="false">AC6</f>
        <v>673099.255191078</v>
      </c>
      <c r="AE4" s="33" t="n">
        <f aca="false">AD6</f>
        <v>675966.453486394</v>
      </c>
      <c r="AF4" s="33" t="n">
        <f aca="false">AE6</f>
        <v>679642.709901866</v>
      </c>
      <c r="AG4" s="33" t="n">
        <f aca="false">AF6</f>
        <v>683154.409783143</v>
      </c>
      <c r="AH4" s="33" t="n">
        <f aca="false">AG6</f>
        <v>686955.235359667</v>
      </c>
      <c r="AI4" s="33" t="n">
        <f aca="false">AH6</f>
        <v>690471.904019272</v>
      </c>
      <c r="AJ4" s="33" t="n">
        <f aca="false">AI6</f>
        <v>693959.629959416</v>
      </c>
      <c r="AK4" s="33" t="n">
        <f aca="false">AJ6</f>
        <v>697109.459150846</v>
      </c>
      <c r="AL4" s="33" t="n">
        <f aca="false">AK6</f>
        <v>701119.4707015</v>
      </c>
    </row>
    <row r="5" customFormat="false" ht="15" hidden="false" customHeight="true" outlineLevel="0" collapsed="false">
      <c r="A5" s="32" t="s">
        <v>375</v>
      </c>
      <c r="C5" s="33" t="n">
        <f aca="false">SUMIFS(DRE_por_UN!$H:$H,DRE_por_UN!$C:$C,C$2)*Premissas!$B$10</f>
        <v>2623.7346</v>
      </c>
      <c r="D5" s="33" t="n">
        <f aca="false">SUMIFS(DRE_por_UN!$H:$H,DRE_por_UN!$C:$C,D$2)*Premissas!$B$10</f>
        <v>2556.88395</v>
      </c>
      <c r="E5" s="33" t="n">
        <f aca="false">SUMIFS(DRE_por_UN!$H:$H,DRE_por_UN!$C:$C,E$2)*Premissas!$B$10</f>
        <v>2799.37605</v>
      </c>
      <c r="F5" s="33" t="n">
        <f aca="false">SUMIFS(DRE_por_UN!$H:$H,DRE_por_UN!$C:$C,F$2)*Premissas!$B$10</f>
        <v>2871.0666</v>
      </c>
      <c r="G5" s="33" t="n">
        <f aca="false">SUMIFS(DRE_por_UN!$H:$H,DRE_por_UN!$C:$C,G$2)*Premissas!$B$10</f>
        <v>2906.91735</v>
      </c>
      <c r="H5" s="33" t="n">
        <f aca="false">SUMIFS(DRE_por_UN!$H:$H,DRE_por_UN!$C:$C,H$2)*Premissas!$B$10+Premissas!$B$38</f>
        <v>33158.37765</v>
      </c>
      <c r="I5" s="33" t="n">
        <f aca="false">SUMIFS(DRE_por_UN!$H:$H,DRE_por_UN!$C:$C,I$2)*Premissas!$B$10+Premissas!$B$38</f>
        <v>33197.82705</v>
      </c>
      <c r="J5" s="33" t="n">
        <f aca="false">SUMIFS(DRE_por_UN!$H:$H,DRE_por_UN!$C:$C,J$2)*Premissas!$B$10+Premissas!$B$38</f>
        <v>32818.0575</v>
      </c>
      <c r="K5" s="33" t="n">
        <f aca="false">SUMIFS(DRE_por_UN!$H:$H,DRE_por_UN!$C:$C,K$2)*Premissas!$B$10</f>
        <v>2854.7109</v>
      </c>
      <c r="L5" s="33" t="n">
        <f aca="false">SUMIFS(DRE_por_UN!$H:$H,DRE_por_UN!$C:$C,L$2)*Premissas!$B$10</f>
        <v>3090.3615</v>
      </c>
      <c r="M5" s="33" t="n">
        <f aca="false">SUMIFS(DRE_por_UN!$H:$H,DRE_por_UN!$C:$C,M$2)*Premissas!$B$10</f>
        <v>3598.3416</v>
      </c>
      <c r="N5" s="33" t="n">
        <f aca="false">SUMIFS(DRE_por_UN!$H:$H,DRE_por_UN!$C:$C,N$2)*Premissas!$B$10</f>
        <v>3800.01555</v>
      </c>
      <c r="O5" s="33" t="n">
        <f aca="false">SUMIFS(DRE_por_UN!$H:$H,DRE_por_UN!$C:$C,O$2)*Premissas!$B$10</f>
        <v>2730.43995</v>
      </c>
      <c r="P5" s="33" t="n">
        <f aca="false">SUMIFS(DRE_por_UN!$H:$H,DRE_por_UN!$C:$C,P$2)*Premissas!$B$10</f>
        <v>2197.48995</v>
      </c>
      <c r="Q5" s="33" t="n">
        <f aca="false">SUMIFS(DRE_por_UN!$H:$H,DRE_por_UN!$C:$C,Q$2)*Premissas!$B$10</f>
        <v>2970.00135</v>
      </c>
      <c r="R5" s="33" t="n">
        <f aca="false">SUMIFS(DRE_por_UN!$H:$H,DRE_por_UN!$C:$C,R$2)*Premissas!$B$10</f>
        <v>2683.2645</v>
      </c>
      <c r="S5" s="33" t="n">
        <f aca="false">SUMIFS(DRE_por_UN!$H:$H,DRE_por_UN!$C:$C,S$2)*Premissas!$B$10</f>
        <v>3485.44725</v>
      </c>
      <c r="T5" s="33" t="n">
        <f aca="false">SUMIFS(DRE_por_UN!$H:$H,DRE_por_UN!$C:$C,T$2)*Premissas!$B$10</f>
        <v>3348.64185</v>
      </c>
      <c r="U5" s="33" t="n">
        <f aca="false">SUMIFS(DRE_por_UN!$H:$H,DRE_por_UN!$C:$C,U$2)*Premissas!$B$10</f>
        <v>3549.76665</v>
      </c>
      <c r="V5" s="33" t="n">
        <f aca="false">SUMIFS(DRE_por_UN!$H:$H,DRE_por_UN!$C:$C,V$2)*Premissas!$B$10</f>
        <v>3280.02135</v>
      </c>
      <c r="W5" s="33" t="n">
        <f aca="false">SUMIFS(DRE_por_UN!$H:$H,DRE_por_UN!$C:$C,W$2)*Premissas!$B$10</f>
        <v>3261.9597</v>
      </c>
      <c r="X5" s="33" t="n">
        <f aca="false">SUMIFS(DRE_por_UN!$H:$H,DRE_por_UN!$C:$C,X$2)*Premissas!$B$10</f>
        <v>2986.1274</v>
      </c>
      <c r="Y5" s="33" t="n">
        <f aca="false">SUMIFS(DRE_por_UN!$H:$H,DRE_por_UN!$C:$C,Y$2)*Premissas!$B$10</f>
        <v>3793.2603</v>
      </c>
      <c r="Z5" s="33" t="n">
        <f aca="false">SUMIFS(DRE_por_UN!$H:$H,DRE_por_UN!$C:$C,Z$2)*Premissas!$B$10</f>
        <v>4061.79225</v>
      </c>
      <c r="AA5" s="33" t="n">
        <f aca="false">SUMIFS(DRE_por_UN!$H:$H,DRE_por_UN!$C:$C,AA$2)*Premissas!$B$10</f>
        <v>2966.0666473335</v>
      </c>
      <c r="AB5" s="33" t="n">
        <f aca="false">SUMIFS(DRE_por_UN!$H:$H,DRE_por_UN!$C:$C,AB$2)*Premissas!$B$10</f>
        <v>2346.20605494885</v>
      </c>
      <c r="AC5" s="33" t="n">
        <f aca="false">SUMIFS(DRE_por_UN!$H:$H,DRE_por_UN!$C:$C,AC$2)*Premissas!$B$10</f>
        <v>3163.0996887954</v>
      </c>
      <c r="AD5" s="33" t="n">
        <f aca="false">SUMIFS(DRE_por_UN!$H:$H,DRE_por_UN!$C:$C,AD$2)*Premissas!$B$10</f>
        <v>2867.1982953162</v>
      </c>
      <c r="AE5" s="33" t="n">
        <f aca="false">SUMIFS(DRE_por_UN!$H:$H,DRE_por_UN!$C:$C,AE$2)*Premissas!$B$10</f>
        <v>3676.2564154722</v>
      </c>
      <c r="AF5" s="33" t="n">
        <f aca="false">SUMIFS(DRE_por_UN!$H:$H,DRE_por_UN!$C:$C,AF$2)*Premissas!$B$10</f>
        <v>3511.6998812763</v>
      </c>
      <c r="AG5" s="33" t="n">
        <f aca="false">SUMIFS(DRE_por_UN!$H:$H,DRE_por_UN!$C:$C,AG$2)*Premissas!$B$10</f>
        <v>3800.82557652435</v>
      </c>
      <c r="AH5" s="33" t="n">
        <f aca="false">SUMIFS(DRE_por_UN!$H:$H,DRE_por_UN!$C:$C,AH$2)*Premissas!$B$10</f>
        <v>3516.6686596047</v>
      </c>
      <c r="AI5" s="33" t="n">
        <f aca="false">SUMIFS(DRE_por_UN!$H:$H,DRE_por_UN!$C:$C,AI$2)*Premissas!$B$10</f>
        <v>3487.72594014435</v>
      </c>
      <c r="AJ5" s="33" t="n">
        <f aca="false">SUMIFS(DRE_por_UN!$H:$H,DRE_por_UN!$C:$C,AJ$2)*Premissas!$B$10</f>
        <v>3149.8291914294</v>
      </c>
      <c r="AK5" s="33" t="n">
        <f aca="false">SUMIFS(DRE_por_UN!$H:$H,DRE_por_UN!$C:$C,AK$2)*Premissas!$B$10</f>
        <v>4010.01155065395</v>
      </c>
      <c r="AL5" s="33" t="n">
        <f aca="false">SUMIFS(DRE_por_UN!$H:$H,DRE_por_UN!$C:$C,AL$2)*Premissas!$B$10</f>
        <v>4323.01652040525</v>
      </c>
    </row>
    <row r="6" customFormat="false" ht="15" hidden="false" customHeight="true" outlineLevel="0" collapsed="false">
      <c r="A6" s="16" t="s">
        <v>376</v>
      </c>
      <c r="B6" s="17"/>
      <c r="C6" s="81" t="n">
        <f aca="false">C4+C5</f>
        <v>502623.7346</v>
      </c>
      <c r="D6" s="81" t="n">
        <f aca="false">D4+D5</f>
        <v>505180.61855</v>
      </c>
      <c r="E6" s="81" t="n">
        <f aca="false">E4+E5</f>
        <v>507979.9946</v>
      </c>
      <c r="F6" s="81" t="n">
        <f aca="false">F4+F5</f>
        <v>510851.0612</v>
      </c>
      <c r="G6" s="81" t="n">
        <f aca="false">G4+G5</f>
        <v>513757.97855</v>
      </c>
      <c r="H6" s="81" t="n">
        <f aca="false">H4+H5</f>
        <v>546916.3562</v>
      </c>
      <c r="I6" s="81" t="n">
        <f aca="false">I4+I5</f>
        <v>580114.18325</v>
      </c>
      <c r="J6" s="81" t="n">
        <f aca="false">J4+J5</f>
        <v>612932.24075</v>
      </c>
      <c r="K6" s="81" t="n">
        <f aca="false">K4+K5</f>
        <v>615786.95165</v>
      </c>
      <c r="L6" s="81" t="n">
        <f aca="false">L4+L5</f>
        <v>618877.31315</v>
      </c>
      <c r="M6" s="81" t="n">
        <f aca="false">M4+M5</f>
        <v>622475.65475</v>
      </c>
      <c r="N6" s="81" t="n">
        <f aca="false">N4+N5</f>
        <v>626275.6703</v>
      </c>
      <c r="O6" s="81" t="n">
        <f aca="false">O4+O5</f>
        <v>629006.11025</v>
      </c>
      <c r="P6" s="81" t="n">
        <f aca="false">P4+P5</f>
        <v>631203.6002</v>
      </c>
      <c r="Q6" s="81" t="n">
        <f aca="false">Q4+Q5</f>
        <v>634173.60155</v>
      </c>
      <c r="R6" s="81" t="n">
        <f aca="false">R4+R5</f>
        <v>636856.86605</v>
      </c>
      <c r="S6" s="81" t="n">
        <f aca="false">S4+S5</f>
        <v>640342.3133</v>
      </c>
      <c r="T6" s="81" t="n">
        <f aca="false">T4+T5</f>
        <v>643690.95515</v>
      </c>
      <c r="U6" s="81" t="n">
        <f aca="false">U4+U5</f>
        <v>647240.7218</v>
      </c>
      <c r="V6" s="81" t="n">
        <f aca="false">V4+V5</f>
        <v>650520.74315</v>
      </c>
      <c r="W6" s="81" t="n">
        <f aca="false">W4+W5</f>
        <v>653782.70285</v>
      </c>
      <c r="X6" s="81" t="n">
        <f aca="false">X4+X5</f>
        <v>656768.83025</v>
      </c>
      <c r="Y6" s="81" t="n">
        <f aca="false">Y4+Y5</f>
        <v>660562.09055</v>
      </c>
      <c r="Z6" s="81" t="n">
        <f aca="false">Z4+Z5</f>
        <v>664623.8828</v>
      </c>
      <c r="AA6" s="81" t="n">
        <f aca="false">AA4+AA5</f>
        <v>667589.949447334</v>
      </c>
      <c r="AB6" s="81" t="n">
        <f aca="false">AB4+AB5</f>
        <v>669936.155502282</v>
      </c>
      <c r="AC6" s="81" t="n">
        <f aca="false">AC4+AC5</f>
        <v>673099.255191078</v>
      </c>
      <c r="AD6" s="81" t="n">
        <f aca="false">AD4+AD5</f>
        <v>675966.453486394</v>
      </c>
      <c r="AE6" s="81" t="n">
        <f aca="false">AE4+AE5</f>
        <v>679642.709901866</v>
      </c>
      <c r="AF6" s="81" t="n">
        <f aca="false">AF4+AF5</f>
        <v>683154.409783143</v>
      </c>
      <c r="AG6" s="81" t="n">
        <f aca="false">AG4+AG5</f>
        <v>686955.235359667</v>
      </c>
      <c r="AH6" s="81" t="n">
        <f aca="false">AH4+AH5</f>
        <v>690471.904019272</v>
      </c>
      <c r="AI6" s="81" t="n">
        <f aca="false">AI4+AI5</f>
        <v>693959.629959416</v>
      </c>
      <c r="AJ6" s="81" t="n">
        <f aca="false">AJ4+AJ5</f>
        <v>697109.459150846</v>
      </c>
      <c r="AK6" s="81" t="n">
        <f aca="false">AK4+AK5</f>
        <v>701119.4707015</v>
      </c>
      <c r="AL6" s="81" t="n">
        <f aca="false">AL4+AL5</f>
        <v>705442.487221905</v>
      </c>
      <c r="AM6" s="17"/>
      <c r="AN6" s="17"/>
      <c r="AO6" s="17"/>
    </row>
    <row r="7" customFormat="false" ht="15" hidden="false" customHeight="true" outlineLevel="0" collapsed="false">
      <c r="A7" s="32" t="s">
        <v>377</v>
      </c>
      <c r="C7" s="33" t="n">
        <f aca="false">C6/Premissas!$B$11</f>
        <v>4188.53112166667</v>
      </c>
      <c r="D7" s="33" t="n">
        <f aca="false">D6/Premissas!$B$11</f>
        <v>4209.83848791667</v>
      </c>
      <c r="E7" s="33" t="n">
        <f aca="false">E6/Premissas!$B$11</f>
        <v>4233.16662166667</v>
      </c>
      <c r="F7" s="33" t="n">
        <f aca="false">F6/Premissas!$B$11</f>
        <v>4257.09217666667</v>
      </c>
      <c r="G7" s="33" t="n">
        <f aca="false">G6/Premissas!$B$11</f>
        <v>4281.31648791667</v>
      </c>
      <c r="H7" s="33" t="n">
        <f aca="false">H6/Premissas!$B$11</f>
        <v>4557.63630166667</v>
      </c>
      <c r="I7" s="33" t="n">
        <f aca="false">I6/Premissas!$B$11</f>
        <v>4834.28486041667</v>
      </c>
      <c r="J7" s="33" t="n">
        <f aca="false">J6/Premissas!$B$11</f>
        <v>5107.76867291667</v>
      </c>
      <c r="K7" s="33" t="n">
        <f aca="false">K6/Premissas!$B$11</f>
        <v>5131.55793041667</v>
      </c>
      <c r="L7" s="33" t="n">
        <f aca="false">L6/Premissas!$B$11</f>
        <v>5157.31094291667</v>
      </c>
      <c r="M7" s="33" t="n">
        <f aca="false">M6/Premissas!$B$11</f>
        <v>5187.29712291667</v>
      </c>
      <c r="N7" s="33" t="n">
        <f aca="false">N6/Premissas!$B$11</f>
        <v>5218.96391916667</v>
      </c>
      <c r="O7" s="33" t="n">
        <f aca="false">O6/Premissas!$B$11</f>
        <v>5241.71758541667</v>
      </c>
      <c r="P7" s="33" t="n">
        <f aca="false">P6/Premissas!$B$11</f>
        <v>5260.03000166667</v>
      </c>
      <c r="Q7" s="33" t="n">
        <f aca="false">Q6/Premissas!$B$11</f>
        <v>5284.78001291667</v>
      </c>
      <c r="R7" s="33" t="n">
        <f aca="false">R6/Premissas!$B$11</f>
        <v>5307.14055041667</v>
      </c>
      <c r="S7" s="33" t="n">
        <f aca="false">S6/Premissas!$B$11</f>
        <v>5336.18594416667</v>
      </c>
      <c r="T7" s="33" t="n">
        <f aca="false">T6/Premissas!$B$11</f>
        <v>5364.09129291667</v>
      </c>
      <c r="U7" s="33" t="n">
        <f aca="false">U6/Premissas!$B$11</f>
        <v>5393.67268166667</v>
      </c>
      <c r="V7" s="33" t="n">
        <f aca="false">V6/Premissas!$B$11</f>
        <v>5421.00619291667</v>
      </c>
      <c r="W7" s="33" t="n">
        <f aca="false">W6/Premissas!$B$11</f>
        <v>5448.18919041667</v>
      </c>
      <c r="X7" s="33" t="n">
        <f aca="false">X6/Premissas!$B$11</f>
        <v>5473.07358541667</v>
      </c>
      <c r="Y7" s="33" t="n">
        <f aca="false">Y6/Premissas!$B$11</f>
        <v>5504.68408791667</v>
      </c>
      <c r="Z7" s="33" t="n">
        <f aca="false">Z6/Premissas!$B$11</f>
        <v>5538.53235666667</v>
      </c>
      <c r="AA7" s="33" t="n">
        <f aca="false">AA6/Premissas!$B$11</f>
        <v>5563.24957872778</v>
      </c>
      <c r="AB7" s="33" t="n">
        <f aca="false">AB6/Premissas!$B$11</f>
        <v>5582.80129585235</v>
      </c>
      <c r="AC7" s="33" t="n">
        <f aca="false">AC6/Premissas!$B$11</f>
        <v>5609.16045992565</v>
      </c>
      <c r="AD7" s="33" t="n">
        <f aca="false">AD6/Premissas!$B$11</f>
        <v>5633.05377905328</v>
      </c>
      <c r="AE7" s="33" t="n">
        <f aca="false">AE6/Premissas!$B$11</f>
        <v>5663.68924918222</v>
      </c>
      <c r="AF7" s="33" t="n">
        <f aca="false">AF6/Premissas!$B$11</f>
        <v>5692.95341485952</v>
      </c>
      <c r="AG7" s="33" t="n">
        <f aca="false">AG6/Premissas!$B$11</f>
        <v>5724.62696133056</v>
      </c>
      <c r="AH7" s="33" t="n">
        <f aca="false">AH6/Premissas!$B$11</f>
        <v>5753.93253349393</v>
      </c>
      <c r="AI7" s="33" t="n">
        <f aca="false">AI6/Premissas!$B$11</f>
        <v>5782.99691632847</v>
      </c>
      <c r="AJ7" s="33" t="n">
        <f aca="false">AJ6/Premissas!$B$11</f>
        <v>5809.24549292371</v>
      </c>
      <c r="AK7" s="33" t="n">
        <f aca="false">AK6/Premissas!$B$11</f>
        <v>5842.66225584583</v>
      </c>
      <c r="AL7" s="33" t="n">
        <f aca="false">AL6/Premissas!$B$11</f>
        <v>5878.68739351587</v>
      </c>
    </row>
    <row r="8" customFormat="false" ht="15" hidden="false" customHeight="true" outlineLevel="0" collapsed="false">
      <c r="A8" s="32" t="s">
        <v>378</v>
      </c>
      <c r="C8" s="33" t="n">
        <f aca="false">Premissas!$B$22+C7</f>
        <v>124188.531121667</v>
      </c>
      <c r="D8" s="33" t="n">
        <f aca="false">C8+D7</f>
        <v>128398.369609583</v>
      </c>
      <c r="E8" s="33" t="n">
        <f aca="false">D8+E7</f>
        <v>132631.53623125</v>
      </c>
      <c r="F8" s="33" t="n">
        <f aca="false">E8+F7</f>
        <v>136888.628407917</v>
      </c>
      <c r="G8" s="33" t="n">
        <f aca="false">F8+G7</f>
        <v>141169.944895833</v>
      </c>
      <c r="H8" s="33" t="n">
        <f aca="false">G8+H7</f>
        <v>145727.5811975</v>
      </c>
      <c r="I8" s="33" t="n">
        <f aca="false">H8+I7</f>
        <v>150561.866057917</v>
      </c>
      <c r="J8" s="33" t="n">
        <f aca="false">I8+J7</f>
        <v>155669.634730833</v>
      </c>
      <c r="K8" s="33" t="n">
        <f aca="false">J8+K7</f>
        <v>160801.19266125</v>
      </c>
      <c r="L8" s="33" t="n">
        <f aca="false">K8+L7</f>
        <v>165958.503604167</v>
      </c>
      <c r="M8" s="33" t="n">
        <f aca="false">L8+M7</f>
        <v>171145.800727083</v>
      </c>
      <c r="N8" s="33" t="n">
        <f aca="false">M8+N7</f>
        <v>176364.76464625</v>
      </c>
      <c r="O8" s="33" t="n">
        <f aca="false">N8+O7</f>
        <v>181606.482231667</v>
      </c>
      <c r="P8" s="33" t="n">
        <f aca="false">O8+P7</f>
        <v>186866.512233333</v>
      </c>
      <c r="Q8" s="33" t="n">
        <f aca="false">P8+Q7</f>
        <v>192151.29224625</v>
      </c>
      <c r="R8" s="33" t="n">
        <f aca="false">Q8+R7</f>
        <v>197458.432796667</v>
      </c>
      <c r="S8" s="33" t="n">
        <f aca="false">R8+S7</f>
        <v>202794.618740833</v>
      </c>
      <c r="T8" s="33" t="n">
        <f aca="false">S8+T7</f>
        <v>208158.71003375</v>
      </c>
      <c r="U8" s="33" t="n">
        <f aca="false">T8+U7</f>
        <v>213552.382715417</v>
      </c>
      <c r="V8" s="33" t="n">
        <f aca="false">U8+V7</f>
        <v>218973.388908333</v>
      </c>
      <c r="W8" s="33" t="n">
        <f aca="false">V8+W7</f>
        <v>224421.57809875</v>
      </c>
      <c r="X8" s="33" t="n">
        <f aca="false">W8+X7</f>
        <v>229894.651684167</v>
      </c>
      <c r="Y8" s="33" t="n">
        <f aca="false">X8+Y7</f>
        <v>235399.335772083</v>
      </c>
      <c r="Z8" s="33" t="n">
        <f aca="false">Y8+Z7</f>
        <v>240937.86812875</v>
      </c>
      <c r="AA8" s="33" t="n">
        <f aca="false">Z8+AA7</f>
        <v>246501.117707478</v>
      </c>
      <c r="AB8" s="33" t="n">
        <f aca="false">AA8+AB7</f>
        <v>252083.91900333</v>
      </c>
      <c r="AC8" s="33" t="n">
        <f aca="false">AB8+AC7</f>
        <v>257693.079463256</v>
      </c>
      <c r="AD8" s="33" t="n">
        <f aca="false">AC8+AD7</f>
        <v>263326.133242309</v>
      </c>
      <c r="AE8" s="33" t="n">
        <f aca="false">AD8+AE7</f>
        <v>268989.822491491</v>
      </c>
      <c r="AF8" s="33" t="n">
        <f aca="false">AE8+AF7</f>
        <v>274682.775906351</v>
      </c>
      <c r="AG8" s="33" t="n">
        <f aca="false">AF8+AG7</f>
        <v>280407.402867681</v>
      </c>
      <c r="AH8" s="33" t="n">
        <f aca="false">AG8+AH7</f>
        <v>286161.335401175</v>
      </c>
      <c r="AI8" s="33" t="n">
        <f aca="false">AH8+AI7</f>
        <v>291944.332317504</v>
      </c>
      <c r="AJ8" s="33" t="n">
        <f aca="false">AI8+AJ7</f>
        <v>297753.577810427</v>
      </c>
      <c r="AK8" s="33" t="n">
        <f aca="false">AJ8+AK7</f>
        <v>303596.240066273</v>
      </c>
      <c r="AL8" s="33" t="n">
        <f aca="false">AK8+AL7</f>
        <v>309474.927459789</v>
      </c>
    </row>
    <row r="9" customFormat="false" ht="15" hidden="false" customHeight="true" outlineLevel="0" collapsed="false">
      <c r="A9" s="16" t="s">
        <v>217</v>
      </c>
      <c r="B9" s="17"/>
      <c r="C9" s="81" t="n">
        <f aca="false">C6-C8</f>
        <v>378435.203478333</v>
      </c>
      <c r="D9" s="81" t="n">
        <f aca="false">D6-D8</f>
        <v>376782.248940417</v>
      </c>
      <c r="E9" s="81" t="n">
        <f aca="false">E6-E8</f>
        <v>375348.45836875</v>
      </c>
      <c r="F9" s="81" t="n">
        <f aca="false">F6-F8</f>
        <v>373962.432792083</v>
      </c>
      <c r="G9" s="81" t="n">
        <f aca="false">G6-G8</f>
        <v>372588.033654167</v>
      </c>
      <c r="H9" s="81" t="n">
        <f aca="false">H6-H8</f>
        <v>401188.7750025</v>
      </c>
      <c r="I9" s="81" t="n">
        <f aca="false">I6-I8</f>
        <v>429552.317192083</v>
      </c>
      <c r="J9" s="81" t="n">
        <f aca="false">J6-J8</f>
        <v>457262.606019167</v>
      </c>
      <c r="K9" s="81" t="n">
        <f aca="false">K6-K8</f>
        <v>454985.75898875</v>
      </c>
      <c r="L9" s="81" t="n">
        <f aca="false">L6-L8</f>
        <v>452918.809545833</v>
      </c>
      <c r="M9" s="81" t="n">
        <f aca="false">M6-M8</f>
        <v>451329.854022917</v>
      </c>
      <c r="N9" s="81" t="n">
        <f aca="false">N6-N8</f>
        <v>449910.90565375</v>
      </c>
      <c r="O9" s="81" t="n">
        <f aca="false">O6-O8</f>
        <v>447399.628018333</v>
      </c>
      <c r="P9" s="81" t="n">
        <f aca="false">P6-P8</f>
        <v>444337.087966667</v>
      </c>
      <c r="Q9" s="81" t="n">
        <f aca="false">Q6-Q8</f>
        <v>442022.30930375</v>
      </c>
      <c r="R9" s="81" t="n">
        <f aca="false">R6-R8</f>
        <v>439398.433253333</v>
      </c>
      <c r="S9" s="81" t="n">
        <f aca="false">S6-S8</f>
        <v>437547.694559167</v>
      </c>
      <c r="T9" s="81" t="n">
        <f aca="false">T6-T8</f>
        <v>435532.24511625</v>
      </c>
      <c r="U9" s="81" t="n">
        <f aca="false">U6-U8</f>
        <v>433688.339084583</v>
      </c>
      <c r="V9" s="81" t="n">
        <f aca="false">V6-V8</f>
        <v>431547.354241667</v>
      </c>
      <c r="W9" s="81" t="n">
        <f aca="false">W6-W8</f>
        <v>429361.12475125</v>
      </c>
      <c r="X9" s="81" t="n">
        <f aca="false">X6-X8</f>
        <v>426874.178565834</v>
      </c>
      <c r="Y9" s="81" t="n">
        <f aca="false">Y6-Y8</f>
        <v>425162.754777917</v>
      </c>
      <c r="Z9" s="81" t="n">
        <f aca="false">Z6-Z8</f>
        <v>423686.01467125</v>
      </c>
      <c r="AA9" s="81" t="n">
        <f aca="false">AA6-AA8</f>
        <v>421088.831739856</v>
      </c>
      <c r="AB9" s="81" t="n">
        <f aca="false">AB6-AB8</f>
        <v>417852.236498952</v>
      </c>
      <c r="AC9" s="81" t="n">
        <f aca="false">AC6-AC8</f>
        <v>415406.175727822</v>
      </c>
      <c r="AD9" s="81" t="n">
        <f aca="false">AD6-AD8</f>
        <v>412640.320244085</v>
      </c>
      <c r="AE9" s="81" t="n">
        <f aca="false">AE6-AE8</f>
        <v>410652.887410375</v>
      </c>
      <c r="AF9" s="81" t="n">
        <f aca="false">AF6-AF8</f>
        <v>408471.633876792</v>
      </c>
      <c r="AG9" s="81" t="n">
        <f aca="false">AG6-AG8</f>
        <v>406547.832491986</v>
      </c>
      <c r="AH9" s="81" t="n">
        <f aca="false">AH6-AH8</f>
        <v>404310.568618096</v>
      </c>
      <c r="AI9" s="81" t="n">
        <f aca="false">AI6-AI8</f>
        <v>402015.297641912</v>
      </c>
      <c r="AJ9" s="81" t="n">
        <f aca="false">AJ6-AJ8</f>
        <v>399355.881340418</v>
      </c>
      <c r="AK9" s="81" t="n">
        <f aca="false">AK6-AK8</f>
        <v>397523.230635226</v>
      </c>
      <c r="AL9" s="81" t="n">
        <f aca="false">AL6-AL8</f>
        <v>395967.559762116</v>
      </c>
      <c r="AM9" s="17"/>
      <c r="AN9" s="17"/>
      <c r="AO9" s="17"/>
    </row>
    <row r="11" customFormat="false" ht="15" hidden="false" customHeight="true" outlineLevel="0" collapsed="false">
      <c r="A11" s="32" t="s">
        <v>379</v>
      </c>
      <c r="C11" s="33" t="n">
        <f aca="false">MIN(Premissas!$B$23/60,Premissas!$B$23)</f>
        <v>666.666666666667</v>
      </c>
      <c r="D11" s="33" t="n">
        <f aca="false">MIN(Premissas!$B$23/60,C12)</f>
        <v>666.666666666667</v>
      </c>
      <c r="E11" s="33" t="n">
        <f aca="false">MIN(Premissas!$B$23/60,D12)</f>
        <v>666.666666666667</v>
      </c>
      <c r="F11" s="33" t="n">
        <f aca="false">MIN(Premissas!$B$23/60,E12)</f>
        <v>666.666666666667</v>
      </c>
      <c r="G11" s="33" t="n">
        <f aca="false">MIN(Premissas!$B$23/60,F12)</f>
        <v>666.666666666667</v>
      </c>
      <c r="H11" s="33" t="n">
        <f aca="false">MIN(Premissas!$B$23/60,G12)</f>
        <v>666.666666666667</v>
      </c>
      <c r="I11" s="33" t="n">
        <f aca="false">MIN(Premissas!$B$23/60,H12)</f>
        <v>666.666666666667</v>
      </c>
      <c r="J11" s="33" t="n">
        <f aca="false">MIN(Premissas!$B$23/60,I12)</f>
        <v>666.666666666667</v>
      </c>
      <c r="K11" s="33" t="n">
        <f aca="false">MIN(Premissas!$B$23/60,J12)</f>
        <v>666.666666666667</v>
      </c>
      <c r="L11" s="33" t="n">
        <f aca="false">MIN(Premissas!$B$23/60,K12)</f>
        <v>666.666666666667</v>
      </c>
      <c r="M11" s="33" t="n">
        <f aca="false">MIN(Premissas!$B$23/60,L12)</f>
        <v>666.666666666667</v>
      </c>
      <c r="N11" s="33" t="n">
        <f aca="false">MIN(Premissas!$B$23/60,M12)</f>
        <v>666.666666666667</v>
      </c>
      <c r="O11" s="33" t="n">
        <f aca="false">MIN(Premissas!$B$23/60,N12)</f>
        <v>666.666666666667</v>
      </c>
      <c r="P11" s="33" t="n">
        <f aca="false">MIN(Premissas!$B$23/60,O12)</f>
        <v>666.666666666667</v>
      </c>
      <c r="Q11" s="33" t="n">
        <f aca="false">MIN(Premissas!$B$23/60,P12)</f>
        <v>666.666666666667</v>
      </c>
      <c r="R11" s="33" t="n">
        <f aca="false">MIN(Premissas!$B$23/60,Q12)</f>
        <v>666.666666666667</v>
      </c>
      <c r="S11" s="33" t="n">
        <f aca="false">MIN(Premissas!$B$23/60,R12)</f>
        <v>666.666666666667</v>
      </c>
      <c r="T11" s="33" t="n">
        <f aca="false">MIN(Premissas!$B$23/60,S12)</f>
        <v>666.666666666667</v>
      </c>
      <c r="U11" s="33" t="n">
        <f aca="false">MIN(Premissas!$B$23/60,T12)</f>
        <v>666.666666666667</v>
      </c>
      <c r="V11" s="33" t="n">
        <f aca="false">MIN(Premissas!$B$23/60,U12)</f>
        <v>666.666666666667</v>
      </c>
      <c r="W11" s="33" t="n">
        <f aca="false">MIN(Premissas!$B$23/60,V12)</f>
        <v>666.666666666667</v>
      </c>
      <c r="X11" s="33" t="n">
        <f aca="false">MIN(Premissas!$B$23/60,W12)</f>
        <v>666.666666666667</v>
      </c>
      <c r="Y11" s="33" t="n">
        <f aca="false">MIN(Premissas!$B$23/60,X12)</f>
        <v>666.666666666667</v>
      </c>
      <c r="Z11" s="33" t="n">
        <f aca="false">MIN(Premissas!$B$23/60,Y12)</f>
        <v>666.666666666667</v>
      </c>
      <c r="AA11" s="33" t="n">
        <f aca="false">MIN(Premissas!$B$23/60,Z12)</f>
        <v>666.666666666667</v>
      </c>
      <c r="AB11" s="33" t="n">
        <f aca="false">MIN(Premissas!$B$23/60,AA12)</f>
        <v>666.666666666667</v>
      </c>
      <c r="AC11" s="33" t="n">
        <f aca="false">MIN(Premissas!$B$23/60,AB12)</f>
        <v>666.666666666667</v>
      </c>
      <c r="AD11" s="33" t="n">
        <f aca="false">MIN(Premissas!$B$23/60,AC12)</f>
        <v>666.666666666667</v>
      </c>
      <c r="AE11" s="33" t="n">
        <f aca="false">MIN(Premissas!$B$23/60,AD12)</f>
        <v>666.666666666667</v>
      </c>
      <c r="AF11" s="33" t="n">
        <f aca="false">MIN(Premissas!$B$23/60,AE12)</f>
        <v>666.666666666667</v>
      </c>
      <c r="AG11" s="33" t="n">
        <f aca="false">MIN(Premissas!$B$23/60,AF12)</f>
        <v>666.666666666667</v>
      </c>
      <c r="AH11" s="33" t="n">
        <f aca="false">MIN(Premissas!$B$23/60,AG12)</f>
        <v>666.666666666667</v>
      </c>
      <c r="AI11" s="33" t="n">
        <f aca="false">MIN(Premissas!$B$23/60,AH12)</f>
        <v>666.666666666667</v>
      </c>
      <c r="AJ11" s="33" t="n">
        <f aca="false">MIN(Premissas!$B$23/60,AI12)</f>
        <v>666.666666666667</v>
      </c>
      <c r="AK11" s="33" t="n">
        <f aca="false">MIN(Premissas!$B$23/60,AJ12)</f>
        <v>666.666666666667</v>
      </c>
      <c r="AL11" s="33" t="n">
        <f aca="false">MIN(Premissas!$B$23/60,AK12)</f>
        <v>666.666666666667</v>
      </c>
    </row>
    <row r="12" customFormat="false" ht="15" hidden="false" customHeight="true" outlineLevel="0" collapsed="false">
      <c r="A12" s="16" t="s">
        <v>218</v>
      </c>
      <c r="B12" s="17"/>
      <c r="C12" s="81" t="n">
        <f aca="false">MAX(0,Premissas!$B$23-C11)</f>
        <v>39333.3333333333</v>
      </c>
      <c r="D12" s="81" t="n">
        <f aca="false">MAX(0,C12-D11)</f>
        <v>38666.6666666667</v>
      </c>
      <c r="E12" s="81" t="n">
        <f aca="false">MAX(0,D12-E11)</f>
        <v>38000</v>
      </c>
      <c r="F12" s="81" t="n">
        <f aca="false">MAX(0,E12-F11)</f>
        <v>37333.3333333333</v>
      </c>
      <c r="G12" s="81" t="n">
        <f aca="false">MAX(0,F12-G11)</f>
        <v>36666.6666666667</v>
      </c>
      <c r="H12" s="81" t="n">
        <f aca="false">MAX(0,G12-H11)</f>
        <v>36000</v>
      </c>
      <c r="I12" s="81" t="n">
        <f aca="false">MAX(0,H12-I11)</f>
        <v>35333.3333333334</v>
      </c>
      <c r="J12" s="81" t="n">
        <f aca="false">MAX(0,I12-J11)</f>
        <v>34666.6666666667</v>
      </c>
      <c r="K12" s="81" t="n">
        <f aca="false">MAX(0,J12-K11)</f>
        <v>34000</v>
      </c>
      <c r="L12" s="81" t="n">
        <f aca="false">MAX(0,K12-L11)</f>
        <v>33333.3333333334</v>
      </c>
      <c r="M12" s="81" t="n">
        <f aca="false">MAX(0,L12-M11)</f>
        <v>32666.6666666667</v>
      </c>
      <c r="N12" s="81" t="n">
        <f aca="false">MAX(0,M12-N11)</f>
        <v>32000</v>
      </c>
      <c r="O12" s="81" t="n">
        <f aca="false">MAX(0,N12-O11)</f>
        <v>31333.3333333334</v>
      </c>
      <c r="P12" s="81" t="n">
        <f aca="false">MAX(0,O12-P11)</f>
        <v>30666.6666666667</v>
      </c>
      <c r="Q12" s="81" t="n">
        <f aca="false">MAX(0,P12-Q11)</f>
        <v>30000</v>
      </c>
      <c r="R12" s="81" t="n">
        <f aca="false">MAX(0,Q12-R11)</f>
        <v>29333.3333333334</v>
      </c>
      <c r="S12" s="81" t="n">
        <f aca="false">MAX(0,R12-S11)</f>
        <v>28666.6666666667</v>
      </c>
      <c r="T12" s="81" t="n">
        <f aca="false">MAX(0,S12-T11)</f>
        <v>28000</v>
      </c>
      <c r="U12" s="81" t="n">
        <f aca="false">MAX(0,T12-U11)</f>
        <v>27333.3333333333</v>
      </c>
      <c r="V12" s="81" t="n">
        <f aca="false">MAX(0,U12-V11)</f>
        <v>26666.6666666667</v>
      </c>
      <c r="W12" s="81" t="n">
        <f aca="false">MAX(0,V12-W11)</f>
        <v>26000</v>
      </c>
      <c r="X12" s="81" t="n">
        <f aca="false">MAX(0,W12-X11)</f>
        <v>25333.3333333333</v>
      </c>
      <c r="Y12" s="81" t="n">
        <f aca="false">MAX(0,X12-Y11)</f>
        <v>24666.6666666667</v>
      </c>
      <c r="Z12" s="81" t="n">
        <f aca="false">MAX(0,Y12-Z11)</f>
        <v>24000</v>
      </c>
      <c r="AA12" s="81" t="n">
        <f aca="false">MAX(0,Z12-AA11)</f>
        <v>23333.3333333333</v>
      </c>
      <c r="AB12" s="81" t="n">
        <f aca="false">MAX(0,AA12-AB11)</f>
        <v>22666.6666666667</v>
      </c>
      <c r="AC12" s="81" t="n">
        <f aca="false">MAX(0,AB12-AC11)</f>
        <v>22000</v>
      </c>
      <c r="AD12" s="81" t="n">
        <f aca="false">MAX(0,AC12-AD11)</f>
        <v>21333.3333333333</v>
      </c>
      <c r="AE12" s="81" t="n">
        <f aca="false">MAX(0,AD12-AE11)</f>
        <v>20666.6666666667</v>
      </c>
      <c r="AF12" s="81" t="n">
        <f aca="false">MAX(0,AE12-AF11)</f>
        <v>20000</v>
      </c>
      <c r="AG12" s="81" t="n">
        <f aca="false">MAX(0,AF12-AG11)</f>
        <v>19333.3333333333</v>
      </c>
      <c r="AH12" s="81" t="n">
        <f aca="false">MAX(0,AG12-AH11)</f>
        <v>18666.6666666667</v>
      </c>
      <c r="AI12" s="81" t="n">
        <f aca="false">MAX(0,AH12-AI11)</f>
        <v>18000</v>
      </c>
      <c r="AJ12" s="81" t="n">
        <f aca="false">MAX(0,AI12-AJ11)</f>
        <v>17333.3333333333</v>
      </c>
      <c r="AK12" s="81" t="n">
        <f aca="false">MAX(0,AJ12-AK11)</f>
        <v>16666.6666666667</v>
      </c>
      <c r="AL12" s="81" t="n">
        <f aca="false">MAX(0,AK12-AL11)</f>
        <v>16000</v>
      </c>
      <c r="AM12" s="17"/>
      <c r="AN12" s="17"/>
      <c r="AO12" s="17"/>
    </row>
    <row r="14" customFormat="false" ht="15" hidden="false" customHeight="true" outlineLevel="0" collapsed="false">
      <c r="A14" s="32" t="s">
        <v>380</v>
      </c>
      <c r="C14" s="33" t="n">
        <f aca="false">Premissas!$B$28</f>
        <v>250000</v>
      </c>
      <c r="D14" s="33" t="n">
        <f aca="false">C16</f>
        <v>245000</v>
      </c>
      <c r="E14" s="33" t="n">
        <f aca="false">D16</f>
        <v>240000</v>
      </c>
      <c r="F14" s="33" t="n">
        <f aca="false">E16</f>
        <v>235000</v>
      </c>
      <c r="G14" s="33" t="n">
        <f aca="false">F16</f>
        <v>230000</v>
      </c>
      <c r="H14" s="33" t="n">
        <f aca="false">G16</f>
        <v>225000</v>
      </c>
      <c r="I14" s="33" t="n">
        <f aca="false">H16</f>
        <v>220000</v>
      </c>
      <c r="J14" s="33" t="n">
        <f aca="false">I16</f>
        <v>215000</v>
      </c>
      <c r="K14" s="33" t="n">
        <f aca="false">J16</f>
        <v>210000</v>
      </c>
      <c r="L14" s="33" t="n">
        <f aca="false">K16</f>
        <v>205000</v>
      </c>
      <c r="M14" s="33" t="n">
        <f aca="false">L16</f>
        <v>200000</v>
      </c>
      <c r="N14" s="33" t="n">
        <f aca="false">M16</f>
        <v>195000</v>
      </c>
      <c r="O14" s="33" t="n">
        <f aca="false">N16</f>
        <v>190000</v>
      </c>
      <c r="P14" s="33" t="n">
        <f aca="false">O16</f>
        <v>185000</v>
      </c>
      <c r="Q14" s="33" t="n">
        <f aca="false">P16</f>
        <v>180000</v>
      </c>
      <c r="R14" s="33" t="n">
        <f aca="false">Q16</f>
        <v>175000</v>
      </c>
      <c r="S14" s="33" t="n">
        <f aca="false">R16</f>
        <v>170000</v>
      </c>
      <c r="T14" s="33" t="n">
        <f aca="false">S16</f>
        <v>165000</v>
      </c>
      <c r="U14" s="33" t="n">
        <f aca="false">T16</f>
        <v>160000</v>
      </c>
      <c r="V14" s="33" t="n">
        <f aca="false">U16</f>
        <v>155000</v>
      </c>
      <c r="W14" s="33" t="n">
        <f aca="false">V16</f>
        <v>150000</v>
      </c>
      <c r="X14" s="33" t="n">
        <f aca="false">W16</f>
        <v>145000</v>
      </c>
      <c r="Y14" s="33" t="n">
        <f aca="false">X16</f>
        <v>140000</v>
      </c>
      <c r="Z14" s="33" t="n">
        <f aca="false">Y16</f>
        <v>135000</v>
      </c>
      <c r="AA14" s="33" t="n">
        <f aca="false">Z16</f>
        <v>130000</v>
      </c>
      <c r="AB14" s="33" t="n">
        <f aca="false">AA16</f>
        <v>125000</v>
      </c>
      <c r="AC14" s="33" t="n">
        <f aca="false">AB16</f>
        <v>120000</v>
      </c>
      <c r="AD14" s="33" t="n">
        <f aca="false">AC16</f>
        <v>115000</v>
      </c>
      <c r="AE14" s="33" t="n">
        <f aca="false">AD16</f>
        <v>110000</v>
      </c>
      <c r="AF14" s="33" t="n">
        <f aca="false">AE16</f>
        <v>105000</v>
      </c>
      <c r="AG14" s="33" t="n">
        <f aca="false">AF16</f>
        <v>100000</v>
      </c>
      <c r="AH14" s="33" t="n">
        <f aca="false">AG16</f>
        <v>95000</v>
      </c>
      <c r="AI14" s="33" t="n">
        <f aca="false">AH16</f>
        <v>90000</v>
      </c>
      <c r="AJ14" s="33" t="n">
        <f aca="false">AI16</f>
        <v>85000</v>
      </c>
      <c r="AK14" s="33" t="n">
        <f aca="false">AJ16</f>
        <v>80000</v>
      </c>
      <c r="AL14" s="33" t="n">
        <f aca="false">AK16</f>
        <v>75000</v>
      </c>
    </row>
    <row r="15" customFormat="false" ht="15" hidden="false" customHeight="true" outlineLevel="0" collapsed="false">
      <c r="A15" s="32" t="s">
        <v>381</v>
      </c>
      <c r="C15" s="33" t="n">
        <f aca="false">MIN(C14,Premissas!$B$34)</f>
        <v>5000</v>
      </c>
      <c r="D15" s="33" t="n">
        <f aca="false">MIN(D14,Premissas!$B$34)</f>
        <v>5000</v>
      </c>
      <c r="E15" s="33" t="n">
        <f aca="false">MIN(E14,Premissas!$B$34)</f>
        <v>5000</v>
      </c>
      <c r="F15" s="33" t="n">
        <f aca="false">MIN(F14,Premissas!$B$34)</f>
        <v>5000</v>
      </c>
      <c r="G15" s="33" t="n">
        <f aca="false">MIN(G14,Premissas!$B$34)</f>
        <v>5000</v>
      </c>
      <c r="H15" s="33" t="n">
        <f aca="false">MIN(H14,Premissas!$B$34)</f>
        <v>5000</v>
      </c>
      <c r="I15" s="33" t="n">
        <f aca="false">MIN(I14,Premissas!$B$34)</f>
        <v>5000</v>
      </c>
      <c r="J15" s="33" t="n">
        <f aca="false">MIN(J14,Premissas!$B$34)</f>
        <v>5000</v>
      </c>
      <c r="K15" s="33" t="n">
        <f aca="false">MIN(K14,Premissas!$B$34)</f>
        <v>5000</v>
      </c>
      <c r="L15" s="33" t="n">
        <f aca="false">MIN(L14,Premissas!$B$34)</f>
        <v>5000</v>
      </c>
      <c r="M15" s="33" t="n">
        <f aca="false">MIN(M14,Premissas!$B$34)</f>
        <v>5000</v>
      </c>
      <c r="N15" s="33" t="n">
        <f aca="false">MIN(N14,Premissas!$B$34)</f>
        <v>5000</v>
      </c>
      <c r="O15" s="33" t="n">
        <f aca="false">MIN(O14,Premissas!$B$34)</f>
        <v>5000</v>
      </c>
      <c r="P15" s="33" t="n">
        <f aca="false">MIN(P14,Premissas!$B$34)</f>
        <v>5000</v>
      </c>
      <c r="Q15" s="33" t="n">
        <f aca="false">MIN(Q14,Premissas!$B$34)</f>
        <v>5000</v>
      </c>
      <c r="R15" s="33" t="n">
        <f aca="false">MIN(R14,Premissas!$B$34)</f>
        <v>5000</v>
      </c>
      <c r="S15" s="33" t="n">
        <f aca="false">MIN(S14,Premissas!$B$34)</f>
        <v>5000</v>
      </c>
      <c r="T15" s="33" t="n">
        <f aca="false">MIN(T14,Premissas!$B$34)</f>
        <v>5000</v>
      </c>
      <c r="U15" s="33" t="n">
        <f aca="false">MIN(U14,Premissas!$B$34)</f>
        <v>5000</v>
      </c>
      <c r="V15" s="33" t="n">
        <f aca="false">MIN(V14,Premissas!$B$34)</f>
        <v>5000</v>
      </c>
      <c r="W15" s="33" t="n">
        <f aca="false">MIN(W14,Premissas!$B$34)</f>
        <v>5000</v>
      </c>
      <c r="X15" s="33" t="n">
        <f aca="false">MIN(X14,Premissas!$B$34)</f>
        <v>5000</v>
      </c>
      <c r="Y15" s="33" t="n">
        <f aca="false">MIN(Y14,Premissas!$B$34)</f>
        <v>5000</v>
      </c>
      <c r="Z15" s="33" t="n">
        <f aca="false">MIN(Z14,Premissas!$B$34)</f>
        <v>5000</v>
      </c>
      <c r="AA15" s="33" t="n">
        <f aca="false">MIN(AA14,Premissas!$B$34)</f>
        <v>5000</v>
      </c>
      <c r="AB15" s="33" t="n">
        <f aca="false">MIN(AB14,Premissas!$B$34)</f>
        <v>5000</v>
      </c>
      <c r="AC15" s="33" t="n">
        <f aca="false">MIN(AC14,Premissas!$B$34)</f>
        <v>5000</v>
      </c>
      <c r="AD15" s="33" t="n">
        <f aca="false">MIN(AD14,Premissas!$B$34)</f>
        <v>5000</v>
      </c>
      <c r="AE15" s="33" t="n">
        <f aca="false">MIN(AE14,Premissas!$B$34)</f>
        <v>5000</v>
      </c>
      <c r="AF15" s="33" t="n">
        <f aca="false">MIN(AF14,Premissas!$B$34)</f>
        <v>5000</v>
      </c>
      <c r="AG15" s="33" t="n">
        <f aca="false">MIN(AG14,Premissas!$B$34)</f>
        <v>5000</v>
      </c>
      <c r="AH15" s="33" t="n">
        <f aca="false">MIN(AH14,Premissas!$B$34)</f>
        <v>5000</v>
      </c>
      <c r="AI15" s="33" t="n">
        <f aca="false">MIN(AI14,Premissas!$B$34)</f>
        <v>5000</v>
      </c>
      <c r="AJ15" s="33" t="n">
        <f aca="false">MIN(AJ14,Premissas!$B$34)</f>
        <v>5000</v>
      </c>
      <c r="AK15" s="33" t="n">
        <f aca="false">MIN(AK14,Premissas!$B$34)</f>
        <v>5000</v>
      </c>
      <c r="AL15" s="33" t="n">
        <f aca="false">MIN(AL14,Premissas!$B$34)</f>
        <v>5000</v>
      </c>
    </row>
    <row r="16" customFormat="false" ht="15" hidden="false" customHeight="true" outlineLevel="0" collapsed="false">
      <c r="A16" s="16" t="s">
        <v>382</v>
      </c>
      <c r="B16" s="17"/>
      <c r="C16" s="81" t="n">
        <f aca="false">C14-C15</f>
        <v>245000</v>
      </c>
      <c r="D16" s="81" t="n">
        <f aca="false">D14-D15</f>
        <v>240000</v>
      </c>
      <c r="E16" s="81" t="n">
        <f aca="false">E14-E15</f>
        <v>235000</v>
      </c>
      <c r="F16" s="81" t="n">
        <f aca="false">F14-F15</f>
        <v>230000</v>
      </c>
      <c r="G16" s="81" t="n">
        <f aca="false">G14-G15</f>
        <v>225000</v>
      </c>
      <c r="H16" s="81" t="n">
        <f aca="false">H14-H15</f>
        <v>220000</v>
      </c>
      <c r="I16" s="81" t="n">
        <f aca="false">I14-I15</f>
        <v>215000</v>
      </c>
      <c r="J16" s="81" t="n">
        <f aca="false">J14-J15</f>
        <v>210000</v>
      </c>
      <c r="K16" s="81" t="n">
        <f aca="false">K14-K15</f>
        <v>205000</v>
      </c>
      <c r="L16" s="81" t="n">
        <f aca="false">L14-L15</f>
        <v>200000</v>
      </c>
      <c r="M16" s="81" t="n">
        <f aca="false">M14-M15</f>
        <v>195000</v>
      </c>
      <c r="N16" s="81" t="n">
        <f aca="false">N14-N15</f>
        <v>190000</v>
      </c>
      <c r="O16" s="81" t="n">
        <f aca="false">O14-O15</f>
        <v>185000</v>
      </c>
      <c r="P16" s="81" t="n">
        <f aca="false">P14-P15</f>
        <v>180000</v>
      </c>
      <c r="Q16" s="81" t="n">
        <f aca="false">Q14-Q15</f>
        <v>175000</v>
      </c>
      <c r="R16" s="81" t="n">
        <f aca="false">R14-R15</f>
        <v>170000</v>
      </c>
      <c r="S16" s="81" t="n">
        <f aca="false">S14-S15</f>
        <v>165000</v>
      </c>
      <c r="T16" s="81" t="n">
        <f aca="false">T14-T15</f>
        <v>160000</v>
      </c>
      <c r="U16" s="81" t="n">
        <f aca="false">U14-U15</f>
        <v>155000</v>
      </c>
      <c r="V16" s="81" t="n">
        <f aca="false">V14-V15</f>
        <v>150000</v>
      </c>
      <c r="W16" s="81" t="n">
        <f aca="false">W14-W15</f>
        <v>145000</v>
      </c>
      <c r="X16" s="81" t="n">
        <f aca="false">X14-X15</f>
        <v>140000</v>
      </c>
      <c r="Y16" s="81" t="n">
        <f aca="false">Y14-Y15</f>
        <v>135000</v>
      </c>
      <c r="Z16" s="81" t="n">
        <f aca="false">Z14-Z15</f>
        <v>130000</v>
      </c>
      <c r="AA16" s="81" t="n">
        <f aca="false">AA14-AA15</f>
        <v>125000</v>
      </c>
      <c r="AB16" s="81" t="n">
        <f aca="false">AB14-AB15</f>
        <v>120000</v>
      </c>
      <c r="AC16" s="81" t="n">
        <f aca="false">AC14-AC15</f>
        <v>115000</v>
      </c>
      <c r="AD16" s="81" t="n">
        <f aca="false">AD14-AD15</f>
        <v>110000</v>
      </c>
      <c r="AE16" s="81" t="n">
        <f aca="false">AE14-AE15</f>
        <v>105000</v>
      </c>
      <c r="AF16" s="81" t="n">
        <f aca="false">AF14-AF15</f>
        <v>100000</v>
      </c>
      <c r="AG16" s="81" t="n">
        <f aca="false">AG14-AG15</f>
        <v>95000</v>
      </c>
      <c r="AH16" s="81" t="n">
        <f aca="false">AH14-AH15</f>
        <v>90000</v>
      </c>
      <c r="AI16" s="81" t="n">
        <f aca="false">AI14-AI15</f>
        <v>85000</v>
      </c>
      <c r="AJ16" s="81" t="n">
        <f aca="false">AJ14-AJ15</f>
        <v>80000</v>
      </c>
      <c r="AK16" s="81" t="n">
        <f aca="false">AK14-AK15</f>
        <v>75000</v>
      </c>
      <c r="AL16" s="81" t="n">
        <f aca="false">AL14-AL15</f>
        <v>70000</v>
      </c>
      <c r="AM16" s="17"/>
      <c r="AN16" s="17"/>
      <c r="AO16" s="17"/>
    </row>
    <row r="17" customFormat="false" ht="15" hidden="false" customHeight="true" outlineLevel="0" collapsed="false">
      <c r="A17" s="32" t="s">
        <v>383</v>
      </c>
      <c r="C17" s="20" t="n">
        <v>80000</v>
      </c>
      <c r="D17" s="20" t="n">
        <v>80000</v>
      </c>
      <c r="E17" s="20" t="n">
        <v>80000</v>
      </c>
      <c r="F17" s="20" t="n">
        <v>80000</v>
      </c>
      <c r="G17" s="20" t="n">
        <v>80000</v>
      </c>
      <c r="H17" s="20" t="n">
        <v>80000</v>
      </c>
      <c r="I17" s="20" t="n">
        <v>80000</v>
      </c>
      <c r="J17" s="20" t="n">
        <v>80000</v>
      </c>
      <c r="K17" s="20" t="n">
        <v>80000</v>
      </c>
      <c r="L17" s="20" t="n">
        <v>80000</v>
      </c>
      <c r="M17" s="20" t="n">
        <v>80000</v>
      </c>
      <c r="N17" s="20" t="n">
        <v>80000</v>
      </c>
      <c r="O17" s="20" t="n">
        <v>120000</v>
      </c>
      <c r="P17" s="20" t="n">
        <v>120000</v>
      </c>
      <c r="Q17" s="20" t="n">
        <v>120000</v>
      </c>
      <c r="R17" s="20" t="n">
        <v>120000</v>
      </c>
      <c r="S17" s="20" t="n">
        <v>120000</v>
      </c>
      <c r="T17" s="20" t="n">
        <v>120000</v>
      </c>
      <c r="U17" s="20" t="n">
        <v>200000</v>
      </c>
      <c r="V17" s="20" t="n">
        <v>200000</v>
      </c>
      <c r="W17" s="20" t="n">
        <v>200000</v>
      </c>
      <c r="X17" s="20" t="n">
        <v>200000</v>
      </c>
      <c r="Y17" s="20" t="n">
        <v>200000</v>
      </c>
      <c r="Z17" s="20" t="n">
        <v>200000</v>
      </c>
      <c r="AA17" s="20" t="n">
        <v>200000</v>
      </c>
      <c r="AB17" s="20" t="n">
        <v>190000</v>
      </c>
      <c r="AC17" s="20" t="n">
        <v>180000</v>
      </c>
      <c r="AD17" s="20" t="n">
        <v>170000</v>
      </c>
      <c r="AE17" s="20" t="n">
        <v>160000</v>
      </c>
      <c r="AF17" s="20" t="n">
        <v>150000</v>
      </c>
      <c r="AG17" s="20" t="n">
        <v>140000</v>
      </c>
      <c r="AH17" s="20" t="n">
        <v>140000</v>
      </c>
      <c r="AI17" s="20" t="n">
        <v>135000</v>
      </c>
      <c r="AJ17" s="20" t="n">
        <v>130000</v>
      </c>
      <c r="AK17" s="20" t="n">
        <v>125000</v>
      </c>
      <c r="AL17" s="20" t="n">
        <v>120000</v>
      </c>
    </row>
    <row r="18" customFormat="false" ht="15" hidden="false" customHeight="true" outlineLevel="0" collapsed="false">
      <c r="A18" s="16" t="s">
        <v>384</v>
      </c>
      <c r="B18" s="17"/>
      <c r="C18" s="81" t="n">
        <f aca="false">C16+C17</f>
        <v>325000</v>
      </c>
      <c r="D18" s="81" t="n">
        <f aca="false">D16+D17</f>
        <v>320000</v>
      </c>
      <c r="E18" s="81" t="n">
        <f aca="false">E16+E17</f>
        <v>315000</v>
      </c>
      <c r="F18" s="81" t="n">
        <f aca="false">F16+F17</f>
        <v>310000</v>
      </c>
      <c r="G18" s="81" t="n">
        <f aca="false">G16+G17</f>
        <v>305000</v>
      </c>
      <c r="H18" s="81" t="n">
        <f aca="false">H16+H17</f>
        <v>300000</v>
      </c>
      <c r="I18" s="81" t="n">
        <f aca="false">I16+I17</f>
        <v>295000</v>
      </c>
      <c r="J18" s="81" t="n">
        <f aca="false">J16+J17</f>
        <v>290000</v>
      </c>
      <c r="K18" s="81" t="n">
        <f aca="false">K16+K17</f>
        <v>285000</v>
      </c>
      <c r="L18" s="81" t="n">
        <f aca="false">L16+L17</f>
        <v>280000</v>
      </c>
      <c r="M18" s="81" t="n">
        <f aca="false">M16+M17</f>
        <v>275000</v>
      </c>
      <c r="N18" s="81" t="n">
        <f aca="false">N16+N17</f>
        <v>270000</v>
      </c>
      <c r="O18" s="81" t="n">
        <f aca="false">O16+O17</f>
        <v>305000</v>
      </c>
      <c r="P18" s="81" t="n">
        <f aca="false">P16+P17</f>
        <v>300000</v>
      </c>
      <c r="Q18" s="81" t="n">
        <f aca="false">Q16+Q17</f>
        <v>295000</v>
      </c>
      <c r="R18" s="81" t="n">
        <f aca="false">R16+R17</f>
        <v>290000</v>
      </c>
      <c r="S18" s="81" t="n">
        <f aca="false">S16+S17</f>
        <v>285000</v>
      </c>
      <c r="T18" s="81" t="n">
        <f aca="false">T16+T17</f>
        <v>280000</v>
      </c>
      <c r="U18" s="81" t="n">
        <f aca="false">U16+U17</f>
        <v>355000</v>
      </c>
      <c r="V18" s="81" t="n">
        <f aca="false">V16+V17</f>
        <v>350000</v>
      </c>
      <c r="W18" s="81" t="n">
        <f aca="false">W16+W17</f>
        <v>345000</v>
      </c>
      <c r="X18" s="81" t="n">
        <f aca="false">X16+X17</f>
        <v>340000</v>
      </c>
      <c r="Y18" s="81" t="n">
        <f aca="false">Y16+Y17</f>
        <v>335000</v>
      </c>
      <c r="Z18" s="81" t="n">
        <f aca="false">Z16+Z17</f>
        <v>330000</v>
      </c>
      <c r="AA18" s="81" t="n">
        <f aca="false">AA16+AA17</f>
        <v>325000</v>
      </c>
      <c r="AB18" s="81" t="n">
        <f aca="false">AB16+AB17</f>
        <v>310000</v>
      </c>
      <c r="AC18" s="81" t="n">
        <f aca="false">AC16+AC17</f>
        <v>295000</v>
      </c>
      <c r="AD18" s="81" t="n">
        <f aca="false">AD16+AD17</f>
        <v>280000</v>
      </c>
      <c r="AE18" s="81" t="n">
        <f aca="false">AE16+AE17</f>
        <v>265000</v>
      </c>
      <c r="AF18" s="81" t="n">
        <f aca="false">AF16+AF17</f>
        <v>250000</v>
      </c>
      <c r="AG18" s="81" t="n">
        <f aca="false">AG16+AG17</f>
        <v>235000</v>
      </c>
      <c r="AH18" s="81" t="n">
        <f aca="false">AH16+AH17</f>
        <v>230000</v>
      </c>
      <c r="AI18" s="81" t="n">
        <f aca="false">AI16+AI17</f>
        <v>220000</v>
      </c>
      <c r="AJ18" s="81" t="n">
        <f aca="false">AJ16+AJ17</f>
        <v>210000</v>
      </c>
      <c r="AK18" s="81" t="n">
        <f aca="false">AK16+AK17</f>
        <v>200000</v>
      </c>
      <c r="AL18" s="81" t="n">
        <f aca="false">AL16+AL17</f>
        <v>190000</v>
      </c>
      <c r="AM18" s="17"/>
      <c r="AN18" s="17"/>
      <c r="AO18" s="17"/>
    </row>
    <row r="19" customFormat="false" ht="15" hidden="false" customHeight="true" outlineLevel="0" collapsed="false">
      <c r="A19" s="32" t="s">
        <v>385</v>
      </c>
      <c r="C19" s="33" t="n">
        <f aca="false">MIN(C16,Premissas!$B$34*12)+C17</f>
        <v>140000</v>
      </c>
      <c r="D19" s="33" t="n">
        <f aca="false">MIN(D16,Premissas!$B$34*12)+D17</f>
        <v>140000</v>
      </c>
      <c r="E19" s="33" t="n">
        <f aca="false">MIN(E16,Premissas!$B$34*12)+E17</f>
        <v>140000</v>
      </c>
      <c r="F19" s="33" t="n">
        <f aca="false">MIN(F16,Premissas!$B$34*12)+F17</f>
        <v>140000</v>
      </c>
      <c r="G19" s="33" t="n">
        <f aca="false">MIN(G16,Premissas!$B$34*12)+G17</f>
        <v>140000</v>
      </c>
      <c r="H19" s="33" t="n">
        <f aca="false">MIN(H16,Premissas!$B$34*12)+H17</f>
        <v>140000</v>
      </c>
      <c r="I19" s="33" t="n">
        <f aca="false">MIN(I16,Premissas!$B$34*12)+I17</f>
        <v>140000</v>
      </c>
      <c r="J19" s="33" t="n">
        <f aca="false">MIN(J16,Premissas!$B$34*12)+J17</f>
        <v>140000</v>
      </c>
      <c r="K19" s="33" t="n">
        <f aca="false">MIN(K16,Premissas!$B$34*12)+K17</f>
        <v>140000</v>
      </c>
      <c r="L19" s="33" t="n">
        <f aca="false">MIN(L16,Premissas!$B$34*12)+L17</f>
        <v>140000</v>
      </c>
      <c r="M19" s="33" t="n">
        <f aca="false">MIN(M16,Premissas!$B$34*12)+M17</f>
        <v>140000</v>
      </c>
      <c r="N19" s="33" t="n">
        <f aca="false">MIN(N16,Premissas!$B$34*12)+N17</f>
        <v>140000</v>
      </c>
      <c r="O19" s="33" t="n">
        <f aca="false">MIN(O16,Premissas!$B$34*12)+O17</f>
        <v>180000</v>
      </c>
      <c r="P19" s="33" t="n">
        <f aca="false">MIN(P16,Premissas!$B$34*12)+P17</f>
        <v>180000</v>
      </c>
      <c r="Q19" s="33" t="n">
        <f aca="false">MIN(Q16,Premissas!$B$34*12)+Q17</f>
        <v>180000</v>
      </c>
      <c r="R19" s="33" t="n">
        <f aca="false">MIN(R16,Premissas!$B$34*12)+R17</f>
        <v>180000</v>
      </c>
      <c r="S19" s="33" t="n">
        <f aca="false">MIN(S16,Premissas!$B$34*12)+S17</f>
        <v>180000</v>
      </c>
      <c r="T19" s="33" t="n">
        <f aca="false">MIN(T16,Premissas!$B$34*12)+T17</f>
        <v>180000</v>
      </c>
      <c r="U19" s="33" t="n">
        <f aca="false">MIN(U16,Premissas!$B$34*12)+U17</f>
        <v>260000</v>
      </c>
      <c r="V19" s="33" t="n">
        <f aca="false">MIN(V16,Premissas!$B$34*12)+V17</f>
        <v>260000</v>
      </c>
      <c r="W19" s="33" t="n">
        <f aca="false">MIN(W16,Premissas!$B$34*12)+W17</f>
        <v>260000</v>
      </c>
      <c r="X19" s="33" t="n">
        <f aca="false">MIN(X16,Premissas!$B$34*12)+X17</f>
        <v>260000</v>
      </c>
      <c r="Y19" s="33" t="n">
        <f aca="false">MIN(Y16,Premissas!$B$34*12)+Y17</f>
        <v>260000</v>
      </c>
      <c r="Z19" s="33" t="n">
        <f aca="false">MIN(Z16,Premissas!$B$34*12)+Z17</f>
        <v>260000</v>
      </c>
      <c r="AA19" s="33" t="n">
        <f aca="false">MIN(AA16,Premissas!$B$34*12)+AA17</f>
        <v>260000</v>
      </c>
      <c r="AB19" s="33" t="n">
        <f aca="false">MIN(AB16,Premissas!$B$34*12)+AB17</f>
        <v>250000</v>
      </c>
      <c r="AC19" s="33" t="n">
        <f aca="false">MIN(AC16,Premissas!$B$34*12)+AC17</f>
        <v>240000</v>
      </c>
      <c r="AD19" s="33" t="n">
        <f aca="false">MIN(AD16,Premissas!$B$34*12)+AD17</f>
        <v>230000</v>
      </c>
      <c r="AE19" s="33" t="n">
        <f aca="false">MIN(AE16,Premissas!$B$34*12)+AE17</f>
        <v>220000</v>
      </c>
      <c r="AF19" s="33" t="n">
        <f aca="false">MIN(AF16,Premissas!$B$34*12)+AF17</f>
        <v>210000</v>
      </c>
      <c r="AG19" s="33" t="n">
        <f aca="false">MIN(AG16,Premissas!$B$34*12)+AG17</f>
        <v>200000</v>
      </c>
      <c r="AH19" s="33" t="n">
        <f aca="false">MIN(AH16,Premissas!$B$34*12)+AH17</f>
        <v>200000</v>
      </c>
      <c r="AI19" s="33" t="n">
        <f aca="false">MIN(AI16,Premissas!$B$34*12)+AI17</f>
        <v>195000</v>
      </c>
      <c r="AJ19" s="33" t="n">
        <f aca="false">MIN(AJ16,Premissas!$B$34*12)+AJ17</f>
        <v>190000</v>
      </c>
      <c r="AK19" s="33" t="n">
        <f aca="false">MIN(AK16,Premissas!$B$34*12)+AK17</f>
        <v>185000</v>
      </c>
      <c r="AL19" s="33" t="n">
        <f aca="false">MIN(AL16,Premissas!$B$34*12)+AL17</f>
        <v>180000</v>
      </c>
    </row>
    <row r="20" customFormat="false" ht="15" hidden="false" customHeight="true" outlineLevel="0" collapsed="false">
      <c r="A20" s="32" t="s">
        <v>386</v>
      </c>
      <c r="C20" s="33" t="n">
        <f aca="false">C18-C19</f>
        <v>185000</v>
      </c>
      <c r="D20" s="33" t="n">
        <f aca="false">D18-D19</f>
        <v>180000</v>
      </c>
      <c r="E20" s="33" t="n">
        <f aca="false">E18-E19</f>
        <v>175000</v>
      </c>
      <c r="F20" s="33" t="n">
        <f aca="false">F18-F19</f>
        <v>170000</v>
      </c>
      <c r="G20" s="33" t="n">
        <f aca="false">G18-G19</f>
        <v>165000</v>
      </c>
      <c r="H20" s="33" t="n">
        <f aca="false">H18-H19</f>
        <v>160000</v>
      </c>
      <c r="I20" s="33" t="n">
        <f aca="false">I18-I19</f>
        <v>155000</v>
      </c>
      <c r="J20" s="33" t="n">
        <f aca="false">J18-J19</f>
        <v>150000</v>
      </c>
      <c r="K20" s="33" t="n">
        <f aca="false">K18-K19</f>
        <v>145000</v>
      </c>
      <c r="L20" s="33" t="n">
        <f aca="false">L18-L19</f>
        <v>140000</v>
      </c>
      <c r="M20" s="33" t="n">
        <f aca="false">M18-M19</f>
        <v>135000</v>
      </c>
      <c r="N20" s="33" t="n">
        <f aca="false">N18-N19</f>
        <v>130000</v>
      </c>
      <c r="O20" s="33" t="n">
        <f aca="false">O18-O19</f>
        <v>125000</v>
      </c>
      <c r="P20" s="33" t="n">
        <f aca="false">P18-P19</f>
        <v>120000</v>
      </c>
      <c r="Q20" s="33" t="n">
        <f aca="false">Q18-Q19</f>
        <v>115000</v>
      </c>
      <c r="R20" s="33" t="n">
        <f aca="false">R18-R19</f>
        <v>110000</v>
      </c>
      <c r="S20" s="33" t="n">
        <f aca="false">S18-S19</f>
        <v>105000</v>
      </c>
      <c r="T20" s="33" t="n">
        <f aca="false">T18-T19</f>
        <v>100000</v>
      </c>
      <c r="U20" s="33" t="n">
        <f aca="false">U18-U19</f>
        <v>95000</v>
      </c>
      <c r="V20" s="33" t="n">
        <f aca="false">V18-V19</f>
        <v>90000</v>
      </c>
      <c r="W20" s="33" t="n">
        <f aca="false">W18-W19</f>
        <v>85000</v>
      </c>
      <c r="X20" s="33" t="n">
        <f aca="false">X18-X19</f>
        <v>80000</v>
      </c>
      <c r="Y20" s="33" t="n">
        <f aca="false">Y18-Y19</f>
        <v>75000</v>
      </c>
      <c r="Z20" s="33" t="n">
        <f aca="false">Z18-Z19</f>
        <v>70000</v>
      </c>
      <c r="AA20" s="33" t="n">
        <f aca="false">AA18-AA19</f>
        <v>65000</v>
      </c>
      <c r="AB20" s="33" t="n">
        <f aca="false">AB18-AB19</f>
        <v>60000</v>
      </c>
      <c r="AC20" s="33" t="n">
        <f aca="false">AC18-AC19</f>
        <v>55000</v>
      </c>
      <c r="AD20" s="33" t="n">
        <f aca="false">AD18-AD19</f>
        <v>50000</v>
      </c>
      <c r="AE20" s="33" t="n">
        <f aca="false">AE18-AE19</f>
        <v>45000</v>
      </c>
      <c r="AF20" s="33" t="n">
        <f aca="false">AF18-AF19</f>
        <v>40000</v>
      </c>
      <c r="AG20" s="33" t="n">
        <f aca="false">AG18-AG19</f>
        <v>35000</v>
      </c>
      <c r="AH20" s="33" t="n">
        <f aca="false">AH18-AH19</f>
        <v>30000</v>
      </c>
      <c r="AI20" s="33" t="n">
        <f aca="false">AI18-AI19</f>
        <v>25000</v>
      </c>
      <c r="AJ20" s="33" t="n">
        <f aca="false">AJ18-AJ19</f>
        <v>20000</v>
      </c>
      <c r="AK20" s="33" t="n">
        <f aca="false">AK18-AK19</f>
        <v>15000</v>
      </c>
      <c r="AL20" s="33" t="n">
        <f aca="false">AL18-AL19</f>
        <v>10000</v>
      </c>
    </row>
    <row r="22" customFormat="false" ht="15" hidden="false" customHeight="true" outlineLevel="0" collapsed="false">
      <c r="A22" s="32" t="s">
        <v>387</v>
      </c>
      <c r="C22" s="33" t="n">
        <f aca="false">(C14+Premissas!$B$29)*Premissas!$B$6</f>
        <v>5280</v>
      </c>
      <c r="D22" s="33" t="n">
        <f aca="false">(D14+C17)*Premissas!$B$6</f>
        <v>5200</v>
      </c>
      <c r="E22" s="33" t="n">
        <f aca="false">(E14+D17)*Premissas!$B$6</f>
        <v>5120</v>
      </c>
      <c r="F22" s="33" t="n">
        <f aca="false">(F14+E17)*Premissas!$B$6</f>
        <v>5040</v>
      </c>
      <c r="G22" s="33" t="n">
        <f aca="false">(G14+F17)*Premissas!$B$6</f>
        <v>4960</v>
      </c>
      <c r="H22" s="33" t="n">
        <f aca="false">(H14+G17)*Premissas!$B$6</f>
        <v>4880</v>
      </c>
      <c r="I22" s="33" t="n">
        <f aca="false">(I14+H17)*Premissas!$B$6</f>
        <v>4800</v>
      </c>
      <c r="J22" s="33" t="n">
        <f aca="false">(J14+I17)*Premissas!$B$6</f>
        <v>4720</v>
      </c>
      <c r="K22" s="33" t="n">
        <f aca="false">(K14+J17)*Premissas!$B$6</f>
        <v>4640</v>
      </c>
      <c r="L22" s="33" t="n">
        <f aca="false">(L14+K17)*Premissas!$B$6</f>
        <v>4560</v>
      </c>
      <c r="M22" s="33" t="n">
        <f aca="false">(M14+L17)*Premissas!$B$6</f>
        <v>4480</v>
      </c>
      <c r="N22" s="33" t="n">
        <f aca="false">(N14+M17)*Premissas!$B$6</f>
        <v>4400</v>
      </c>
      <c r="O22" s="33" t="n">
        <f aca="false">(O14+N17)*Premissas!$B$6</f>
        <v>4320</v>
      </c>
      <c r="P22" s="33" t="n">
        <f aca="false">(P14+O17)*Premissas!$B$6</f>
        <v>4880</v>
      </c>
      <c r="Q22" s="33" t="n">
        <f aca="false">(Q14+P17)*Premissas!$B$6</f>
        <v>4800</v>
      </c>
      <c r="R22" s="33" t="n">
        <f aca="false">(R14+Q17)*Premissas!$B$6</f>
        <v>4720</v>
      </c>
      <c r="S22" s="33" t="n">
        <f aca="false">(S14+R17)*Premissas!$B$6</f>
        <v>4640</v>
      </c>
      <c r="T22" s="33" t="n">
        <f aca="false">(T14+S17)*Premissas!$B$6</f>
        <v>4560</v>
      </c>
      <c r="U22" s="33" t="n">
        <f aca="false">(U14+T17)*Premissas!$B$6</f>
        <v>4480</v>
      </c>
      <c r="V22" s="33" t="n">
        <f aca="false">(V14+U17)*Premissas!$B$6</f>
        <v>5680</v>
      </c>
      <c r="W22" s="33" t="n">
        <f aca="false">(W14+V17)*Premissas!$B$6</f>
        <v>5600</v>
      </c>
      <c r="X22" s="33" t="n">
        <f aca="false">(X14+W17)*Premissas!$B$6</f>
        <v>5520</v>
      </c>
      <c r="Y22" s="33" t="n">
        <f aca="false">(Y14+X17)*Premissas!$B$6</f>
        <v>5440</v>
      </c>
      <c r="Z22" s="33" t="n">
        <f aca="false">(Z14+Y17)*Premissas!$B$6</f>
        <v>5360</v>
      </c>
      <c r="AA22" s="33" t="n">
        <f aca="false">(AA14+Z17)*Premissas!$B$6</f>
        <v>5280</v>
      </c>
      <c r="AB22" s="33" t="n">
        <f aca="false">(AB14+AA17)*Premissas!$B$6</f>
        <v>5200</v>
      </c>
      <c r="AC22" s="33" t="n">
        <f aca="false">(AC14+AB17)*Premissas!$B$6</f>
        <v>4960</v>
      </c>
      <c r="AD22" s="33" t="n">
        <f aca="false">(AD14+AC17)*Premissas!$B$6</f>
        <v>4720</v>
      </c>
      <c r="AE22" s="33" t="n">
        <f aca="false">(AE14+AD17)*Premissas!$B$6</f>
        <v>4480</v>
      </c>
      <c r="AF22" s="33" t="n">
        <f aca="false">(AF14+AE17)*Premissas!$B$6</f>
        <v>4240</v>
      </c>
      <c r="AG22" s="33" t="n">
        <f aca="false">(AG14+AF17)*Premissas!$B$6</f>
        <v>4000</v>
      </c>
      <c r="AH22" s="33" t="n">
        <f aca="false">(AH14+AG17)*Premissas!$B$6</f>
        <v>3760</v>
      </c>
      <c r="AI22" s="33" t="n">
        <f aca="false">(AI14+AH17)*Premissas!$B$6</f>
        <v>3680</v>
      </c>
      <c r="AJ22" s="33" t="n">
        <f aca="false">(AJ14+AI17)*Premissas!$B$6</f>
        <v>3520</v>
      </c>
      <c r="AK22" s="33" t="n">
        <f aca="false">(AK14+AJ17)*Premissas!$B$6</f>
        <v>3360</v>
      </c>
      <c r="AL22" s="33" t="n">
        <f aca="false">(AL14+AK17)*Premissas!$B$6</f>
        <v>3200</v>
      </c>
    </row>
    <row r="23" customFormat="false" ht="15" hidden="false" customHeight="true" outlineLevel="0" collapsed="false">
      <c r="A23" s="32" t="s">
        <v>388</v>
      </c>
      <c r="C23" s="33" t="n">
        <f aca="false">DFC_Consolidado!C20*Premissas!$B$7</f>
        <v>4176</v>
      </c>
      <c r="D23" s="33" t="n">
        <f aca="false">DFC_Consolidado!D20*Premissas!$B$7</f>
        <v>4035.5612862</v>
      </c>
      <c r="E23" s="33" t="n">
        <f aca="false">DFC_Consolidado!E20*Premissas!$B$7</f>
        <v>4087.0632421641</v>
      </c>
      <c r="F23" s="33" t="n">
        <f aca="false">DFC_Consolidado!F20*Premissas!$B$7</f>
        <v>4040.74333719358</v>
      </c>
      <c r="G23" s="33" t="n">
        <f aca="false">DFC_Consolidado!G20*Premissas!$B$7</f>
        <v>4083.7694254916</v>
      </c>
      <c r="H23" s="33" t="n">
        <f aca="false">DFC_Consolidado!H20*Premissas!$B$7</f>
        <v>4066.12369897381</v>
      </c>
      <c r="I23" s="33" t="n">
        <f aca="false">DFC_Consolidado!I20*Premissas!$B$7</f>
        <v>3877.01912277359</v>
      </c>
      <c r="J23" s="33" t="n">
        <f aca="false">DFC_Consolidado!J20*Premissas!$B$7</f>
        <v>3651.7703374208</v>
      </c>
      <c r="K23" s="33" t="n">
        <f aca="false">DFC_Consolidado!K20*Premissas!$B$7</f>
        <v>3410.46935118877</v>
      </c>
      <c r="L23" s="33" t="n">
        <f aca="false">DFC_Consolidado!L20*Premissas!$B$7</f>
        <v>3392.67207736709</v>
      </c>
      <c r="M23" s="33" t="n">
        <f aca="false">DFC_Consolidado!M20*Premissas!$B$7</f>
        <v>3397.51411821483</v>
      </c>
      <c r="N23" s="33" t="n">
        <f aca="false">DFC_Consolidado!N20*Premissas!$B$7</f>
        <v>3532.87881274234</v>
      </c>
      <c r="O23" s="33" t="n">
        <f aca="false">DFC_Consolidado!O20*Premissas!$B$7</f>
        <v>3607.07100173741</v>
      </c>
      <c r="P23" s="33" t="n">
        <f aca="false">DFC_Consolidado!P20*Premissas!$B$7</f>
        <v>3954.96872096371</v>
      </c>
      <c r="Q23" s="33" t="n">
        <f aca="false">DFC_Consolidado!Q20*Premissas!$B$7</f>
        <v>3966.77554065238</v>
      </c>
      <c r="R23" s="33" t="n">
        <f aca="false">DFC_Consolidado!R20*Premissas!$B$7</f>
        <v>3795.86282481825</v>
      </c>
      <c r="S23" s="33" t="n">
        <f aca="false">DFC_Consolidado!S20*Premissas!$B$7</f>
        <v>3561.4070840752</v>
      </c>
      <c r="T23" s="33" t="n">
        <f aca="false">DFC_Consolidado!T20*Premissas!$B$7</f>
        <v>3301.26920518188</v>
      </c>
      <c r="U23" s="33" t="n">
        <f aca="false">DFC_Consolidado!U20*Premissas!$B$7</f>
        <v>3386.55355725839</v>
      </c>
      <c r="V23" s="33" t="n">
        <f aca="false">DFC_Consolidado!V20*Premissas!$B$7</f>
        <v>4335.35931939319</v>
      </c>
      <c r="W23" s="33" t="n">
        <f aca="false">DFC_Consolidado!W20*Premissas!$B$7</f>
        <v>4392.71477520941</v>
      </c>
      <c r="X23" s="33" t="n">
        <f aca="false">DFC_Consolidado!X20*Premissas!$B$7</f>
        <v>4459.24515158928</v>
      </c>
      <c r="Y23" s="33" t="n">
        <f aca="false">DFC_Consolidado!Y20*Premissas!$B$7</f>
        <v>4342.25520306912</v>
      </c>
      <c r="Z23" s="33" t="n">
        <f aca="false">DFC_Consolidado!Z20*Premissas!$B$7</f>
        <v>4341.63052787025</v>
      </c>
      <c r="AA23" s="33" t="n">
        <f aca="false">DFC_Consolidado!AA20*Premissas!$B$7</f>
        <v>4533.03939749672</v>
      </c>
      <c r="AB23" s="33" t="n">
        <f aca="false">DFC_Consolidado!AB20*Premissas!$B$7</f>
        <v>4425.03442975279</v>
      </c>
      <c r="AC23" s="33" t="n">
        <f aca="false">DFC_Consolidado!AC20*Premissas!$B$7</f>
        <v>4441.08396649375</v>
      </c>
      <c r="AD23" s="33" t="n">
        <f aca="false">DFC_Consolidado!AD20*Premissas!$B$7</f>
        <v>4096.62936299037</v>
      </c>
      <c r="AE23" s="33" t="n">
        <f aca="false">DFC_Consolidado!AE20*Premissas!$B$7</f>
        <v>3868.06298114211</v>
      </c>
      <c r="AF23" s="33" t="n">
        <f aca="false">DFC_Consolidado!AF20*Premissas!$B$7</f>
        <v>3467.93218035482</v>
      </c>
      <c r="AG23" s="33" t="n">
        <f aca="false">DFC_Consolidado!AG20*Premissas!$B$7</f>
        <v>3499.38718681731</v>
      </c>
      <c r="AH23" s="33" t="n">
        <f aca="false">DFC_Consolidado!AH20*Premissas!$B$7</f>
        <v>3530.41753453303</v>
      </c>
      <c r="AI23" s="33" t="n">
        <f aca="false">DFC_Consolidado!AI20*Premissas!$B$7</f>
        <v>3577.46372963966</v>
      </c>
      <c r="AJ23" s="33" t="n">
        <f aca="false">DFC_Consolidado!AJ20*Premissas!$B$7</f>
        <v>3592.69444559303</v>
      </c>
      <c r="AK23" s="33" t="n">
        <f aca="false">DFC_Consolidado!AK20*Premissas!$B$7</f>
        <v>3529.07505812575</v>
      </c>
      <c r="AL23" s="33" t="n">
        <f aca="false">DFC_Consolidado!AL20*Premissas!$B$7</f>
        <v>3410.15870283894</v>
      </c>
    </row>
    <row r="24" customFormat="false" ht="15" hidden="false" customHeight="true" outlineLevel="0" collapsed="false">
      <c r="A24" s="40" t="s">
        <v>389</v>
      </c>
      <c r="B24" s="41"/>
      <c r="C24" s="82" t="n">
        <f aca="false">C23-C22</f>
        <v>-1104</v>
      </c>
      <c r="D24" s="82" t="n">
        <f aca="false">D23-D22</f>
        <v>-1164.4387138</v>
      </c>
      <c r="E24" s="82" t="n">
        <f aca="false">E23-E22</f>
        <v>-1032.9367578359</v>
      </c>
      <c r="F24" s="82" t="n">
        <f aca="false">F23-F22</f>
        <v>-999.256662806423</v>
      </c>
      <c r="G24" s="82" t="n">
        <f aca="false">G23-G22</f>
        <v>-876.230574508403</v>
      </c>
      <c r="H24" s="82" t="n">
        <f aca="false">H23-H22</f>
        <v>-813.876301026191</v>
      </c>
      <c r="I24" s="82" t="n">
        <f aca="false">I23-I22</f>
        <v>-922.980877226406</v>
      </c>
      <c r="J24" s="82" t="n">
        <f aca="false">J23-J22</f>
        <v>-1068.2296625792</v>
      </c>
      <c r="K24" s="82" t="n">
        <f aca="false">K23-K22</f>
        <v>-1229.53064881123</v>
      </c>
      <c r="L24" s="82" t="n">
        <f aca="false">L23-L22</f>
        <v>-1167.32792263291</v>
      </c>
      <c r="M24" s="82" t="n">
        <f aca="false">M23-M22</f>
        <v>-1082.48588178517</v>
      </c>
      <c r="N24" s="82" t="n">
        <f aca="false">N23-N22</f>
        <v>-867.121187257656</v>
      </c>
      <c r="O24" s="82" t="n">
        <f aca="false">O23-O22</f>
        <v>-712.928998262587</v>
      </c>
      <c r="P24" s="82" t="n">
        <f aca="false">P23-P22</f>
        <v>-925.031279036293</v>
      </c>
      <c r="Q24" s="82" t="n">
        <f aca="false">Q23-Q22</f>
        <v>-833.224459347619</v>
      </c>
      <c r="R24" s="82" t="n">
        <f aca="false">R23-R22</f>
        <v>-924.137175181748</v>
      </c>
      <c r="S24" s="82" t="n">
        <f aca="false">S23-S22</f>
        <v>-1078.5929159248</v>
      </c>
      <c r="T24" s="82" t="n">
        <f aca="false">T23-T22</f>
        <v>-1258.73079481813</v>
      </c>
      <c r="U24" s="82" t="n">
        <f aca="false">U23-U22</f>
        <v>-1093.44644274161</v>
      </c>
      <c r="V24" s="82" t="n">
        <f aca="false">V23-V22</f>
        <v>-1344.64068060681</v>
      </c>
      <c r="W24" s="82" t="n">
        <f aca="false">W23-W22</f>
        <v>-1207.28522479059</v>
      </c>
      <c r="X24" s="82" t="n">
        <f aca="false">X23-X22</f>
        <v>-1060.75484841072</v>
      </c>
      <c r="Y24" s="82" t="n">
        <f aca="false">Y23-Y22</f>
        <v>-1097.74479693088</v>
      </c>
      <c r="Z24" s="82" t="n">
        <f aca="false">Z23-Z22</f>
        <v>-1018.36947212975</v>
      </c>
      <c r="AA24" s="82" t="n">
        <f aca="false">AA23-AA22</f>
        <v>-746.960602503283</v>
      </c>
      <c r="AB24" s="82" t="n">
        <f aca="false">AB23-AB22</f>
        <v>-774.965570247211</v>
      </c>
      <c r="AC24" s="82" t="n">
        <f aca="false">AC23-AC22</f>
        <v>-518.916033506251</v>
      </c>
      <c r="AD24" s="82" t="n">
        <f aca="false">AD23-AD22</f>
        <v>-623.370637009628</v>
      </c>
      <c r="AE24" s="82" t="n">
        <f aca="false">AE23-AE22</f>
        <v>-611.937018857891</v>
      </c>
      <c r="AF24" s="82" t="n">
        <f aca="false">AF23-AF22</f>
        <v>-772.067819645184</v>
      </c>
      <c r="AG24" s="82" t="n">
        <f aca="false">AG23-AG22</f>
        <v>-500.612813182693</v>
      </c>
      <c r="AH24" s="82" t="n">
        <f aca="false">AH23-AH22</f>
        <v>-229.582465466973</v>
      </c>
      <c r="AI24" s="82" t="n">
        <f aca="false">AI23-AI22</f>
        <v>-102.536270360344</v>
      </c>
      <c r="AJ24" s="82" t="n">
        <f aca="false">AJ23-AJ22</f>
        <v>72.6944455930288</v>
      </c>
      <c r="AK24" s="82" t="n">
        <f aca="false">AK23-AK22</f>
        <v>169.075058125745</v>
      </c>
      <c r="AL24" s="82" t="n">
        <f aca="false">AL23-AL22</f>
        <v>210.158702838936</v>
      </c>
      <c r="AM24" s="41"/>
      <c r="AN24" s="41"/>
      <c r="AO24" s="4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40"/>
    <col collapsed="false" customWidth="true" hidden="false" outlineLevel="0" max="3" min="3" style="1" width="15"/>
    <col collapsed="false" customWidth="true" hidden="false" outlineLevel="0" max="4" min="4" style="1" width="16"/>
    <col collapsed="false" customWidth="true" hidden="false" outlineLevel="0" max="6" min="5" style="1" width="18"/>
  </cols>
  <sheetData>
    <row r="1" customFormat="false" ht="15.75" hidden="false" customHeight="true" outlineLevel="0" collapsed="false">
      <c r="A1" s="28" t="s">
        <v>390</v>
      </c>
    </row>
    <row r="2" customFormat="false" ht="15" hidden="false" customHeight="true" outlineLevel="0" collapsed="false">
      <c r="A2" s="15" t="s">
        <v>391</v>
      </c>
    </row>
    <row r="4" customFormat="false" ht="23.25" hidden="false" customHeight="true" outlineLevel="0" collapsed="false">
      <c r="A4" s="25" t="s">
        <v>125</v>
      </c>
      <c r="B4" s="25" t="s">
        <v>392</v>
      </c>
      <c r="C4" s="25" t="s">
        <v>393</v>
      </c>
      <c r="D4" s="25" t="s">
        <v>394</v>
      </c>
      <c r="E4" s="25" t="s">
        <v>395</v>
      </c>
      <c r="F4" s="25" t="s">
        <v>396</v>
      </c>
    </row>
    <row r="5" customFormat="false" ht="15" hidden="false" customHeight="true" outlineLevel="0" collapsed="false">
      <c r="A5" s="32" t="s">
        <v>141</v>
      </c>
      <c r="B5" s="32" t="s">
        <v>397</v>
      </c>
      <c r="C5" s="83" t="n">
        <v>51.92</v>
      </c>
      <c r="D5" s="84" t="n">
        <f aca="false">C5*(1-VLOOKUP($A5,Premissas!$A$52:$P$56,2,0))</f>
        <v>36.344</v>
      </c>
      <c r="E5" s="84" t="n">
        <f aca="false">C5-D5</f>
        <v>15.576</v>
      </c>
      <c r="F5" s="37" t="n">
        <f aca="false">IF(C5=0,0,E5/C5)</f>
        <v>0.3</v>
      </c>
    </row>
    <row r="6" customFormat="false" ht="15" hidden="false" customHeight="true" outlineLevel="0" collapsed="false">
      <c r="A6" s="32" t="s">
        <v>141</v>
      </c>
      <c r="B6" s="32" t="s">
        <v>398</v>
      </c>
      <c r="C6" s="83" t="n">
        <v>608.01</v>
      </c>
      <c r="D6" s="84" t="n">
        <f aca="false">C6*(1-VLOOKUP($A6,Premissas!$A$52:$P$56,2,0))</f>
        <v>425.607</v>
      </c>
      <c r="E6" s="84" t="n">
        <f aca="false">C6-D6</f>
        <v>182.403</v>
      </c>
      <c r="F6" s="37" t="n">
        <f aca="false">IF(C6=0,0,E6/C6)</f>
        <v>0.3</v>
      </c>
    </row>
    <row r="7" customFormat="false" ht="15" hidden="false" customHeight="true" outlineLevel="0" collapsed="false">
      <c r="A7" s="32" t="s">
        <v>141</v>
      </c>
      <c r="B7" s="32" t="s">
        <v>399</v>
      </c>
      <c r="C7" s="83" t="n">
        <v>486.1</v>
      </c>
      <c r="D7" s="84" t="n">
        <f aca="false">C7*(1-VLOOKUP($A7,Premissas!$A$52:$P$56,2,0))</f>
        <v>340.27</v>
      </c>
      <c r="E7" s="84" t="n">
        <f aca="false">C7-D7</f>
        <v>145.83</v>
      </c>
      <c r="F7" s="37" t="n">
        <f aca="false">IF(C7=0,0,E7/C7)</f>
        <v>0.3</v>
      </c>
    </row>
    <row r="8" customFormat="false" ht="15" hidden="false" customHeight="true" outlineLevel="0" collapsed="false">
      <c r="A8" s="32" t="s">
        <v>141</v>
      </c>
      <c r="B8" s="32" t="s">
        <v>400</v>
      </c>
      <c r="C8" s="83" t="n">
        <v>56.95</v>
      </c>
      <c r="D8" s="84" t="n">
        <f aca="false">C8*(1-VLOOKUP($A8,Premissas!$A$52:$P$56,2,0))</f>
        <v>39.865</v>
      </c>
      <c r="E8" s="84" t="n">
        <f aca="false">C8-D8</f>
        <v>17.085</v>
      </c>
      <c r="F8" s="37" t="n">
        <f aca="false">IF(C8=0,0,E8/C8)</f>
        <v>0.3</v>
      </c>
    </row>
    <row r="9" customFormat="false" ht="15" hidden="false" customHeight="true" outlineLevel="0" collapsed="false">
      <c r="A9" s="32" t="s">
        <v>141</v>
      </c>
      <c r="B9" s="32" t="s">
        <v>401</v>
      </c>
      <c r="C9" s="83" t="n">
        <v>24.95</v>
      </c>
      <c r="D9" s="84" t="n">
        <f aca="false">C9*(1-VLOOKUP($A9,Premissas!$A$52:$P$56,2,0))</f>
        <v>17.465</v>
      </c>
      <c r="E9" s="84" t="n">
        <f aca="false">C9-D9</f>
        <v>7.485</v>
      </c>
      <c r="F9" s="37" t="n">
        <f aca="false">IF(C9=0,0,E9/C9)</f>
        <v>0.3</v>
      </c>
    </row>
    <row r="10" customFormat="false" ht="15" hidden="false" customHeight="true" outlineLevel="0" collapsed="false">
      <c r="A10" s="32" t="s">
        <v>141</v>
      </c>
      <c r="B10" s="32" t="s">
        <v>402</v>
      </c>
      <c r="C10" s="83" t="n">
        <v>24.68</v>
      </c>
      <c r="D10" s="84" t="n">
        <f aca="false">C10*(1-VLOOKUP($A10,Premissas!$A$52:$P$56,2,0))</f>
        <v>17.276</v>
      </c>
      <c r="E10" s="84" t="n">
        <f aca="false">C10-D10</f>
        <v>7.404</v>
      </c>
      <c r="F10" s="37" t="n">
        <f aca="false">IF(C10=0,0,E10/C10)</f>
        <v>0.3</v>
      </c>
    </row>
    <row r="11" customFormat="false" ht="15" hidden="false" customHeight="true" outlineLevel="0" collapsed="false">
      <c r="A11" s="32" t="s">
        <v>142</v>
      </c>
      <c r="B11" s="32" t="s">
        <v>403</v>
      </c>
      <c r="C11" s="83" t="n">
        <v>42.47</v>
      </c>
      <c r="D11" s="84" t="n">
        <f aca="false">C11*(1-VLOOKUP($A11,Premissas!$A$52:$P$56,2,0))</f>
        <v>26.3314</v>
      </c>
      <c r="E11" s="84" t="n">
        <f aca="false">C11-D11</f>
        <v>16.1386</v>
      </c>
      <c r="F11" s="37" t="n">
        <f aca="false">IF(C11=0,0,E11/C11)</f>
        <v>0.38</v>
      </c>
    </row>
    <row r="12" customFormat="false" ht="15" hidden="false" customHeight="true" outlineLevel="0" collapsed="false">
      <c r="A12" s="32" t="s">
        <v>142</v>
      </c>
      <c r="B12" s="32" t="s">
        <v>404</v>
      </c>
      <c r="C12" s="83" t="n">
        <v>12.27</v>
      </c>
      <c r="D12" s="84" t="n">
        <f aca="false">C12*(1-VLOOKUP($A12,Premissas!$A$52:$P$56,2,0))</f>
        <v>7.6074</v>
      </c>
      <c r="E12" s="84" t="n">
        <f aca="false">C12-D12</f>
        <v>4.6626</v>
      </c>
      <c r="F12" s="37" t="n">
        <f aca="false">IF(C12=0,0,E12/C12)</f>
        <v>0.38</v>
      </c>
    </row>
    <row r="13" customFormat="false" ht="15" hidden="false" customHeight="true" outlineLevel="0" collapsed="false">
      <c r="A13" s="32" t="s">
        <v>142</v>
      </c>
      <c r="B13" s="32" t="s">
        <v>405</v>
      </c>
      <c r="C13" s="83" t="n">
        <v>35.21</v>
      </c>
      <c r="D13" s="84" t="n">
        <f aca="false">C13*(1-VLOOKUP($A13,Premissas!$A$52:$P$56,2,0))</f>
        <v>21.8302</v>
      </c>
      <c r="E13" s="84" t="n">
        <f aca="false">C13-D13</f>
        <v>13.3798</v>
      </c>
      <c r="F13" s="37" t="n">
        <f aca="false">IF(C13=0,0,E13/C13)</f>
        <v>0.38</v>
      </c>
    </row>
    <row r="14" customFormat="false" ht="15" hidden="false" customHeight="true" outlineLevel="0" collapsed="false">
      <c r="A14" s="32" t="s">
        <v>142</v>
      </c>
      <c r="B14" s="32" t="s">
        <v>406</v>
      </c>
      <c r="C14" s="83" t="n">
        <v>1</v>
      </c>
      <c r="D14" s="84" t="n">
        <f aca="false">C14*(1-VLOOKUP($A14,Premissas!$A$52:$P$56,2,0))</f>
        <v>0.62</v>
      </c>
      <c r="E14" s="84" t="n">
        <f aca="false">C14-D14</f>
        <v>0.38</v>
      </c>
      <c r="F14" s="37" t="n">
        <f aca="false">IF(C14=0,0,E14/C14)</f>
        <v>0.38</v>
      </c>
    </row>
    <row r="15" customFormat="false" ht="15" hidden="false" customHeight="true" outlineLevel="0" collapsed="false">
      <c r="A15" s="32" t="s">
        <v>142</v>
      </c>
      <c r="B15" s="32" t="s">
        <v>407</v>
      </c>
      <c r="C15" s="83" t="n">
        <v>13.97</v>
      </c>
      <c r="D15" s="84" t="n">
        <f aca="false">C15*(1-VLOOKUP($A15,Premissas!$A$52:$P$56,2,0))</f>
        <v>8.6614</v>
      </c>
      <c r="E15" s="84" t="n">
        <f aca="false">C15-D15</f>
        <v>5.3086</v>
      </c>
      <c r="F15" s="37" t="n">
        <f aca="false">IF(C15=0,0,E15/C15)</f>
        <v>0.38</v>
      </c>
    </row>
    <row r="16" customFormat="false" ht="15" hidden="false" customHeight="true" outlineLevel="0" collapsed="false">
      <c r="A16" s="32" t="s">
        <v>142</v>
      </c>
      <c r="B16" s="32" t="s">
        <v>408</v>
      </c>
      <c r="C16" s="83" t="n">
        <v>33.8</v>
      </c>
      <c r="D16" s="84" t="n">
        <f aca="false">C16*(1-VLOOKUP($A16,Premissas!$A$52:$P$56,2,0))</f>
        <v>20.956</v>
      </c>
      <c r="E16" s="84" t="n">
        <f aca="false">C16-D16</f>
        <v>12.844</v>
      </c>
      <c r="F16" s="37" t="n">
        <f aca="false">IF(C16=0,0,E16/C16)</f>
        <v>0.38</v>
      </c>
    </row>
    <row r="17" customFormat="false" ht="15" hidden="false" customHeight="true" outlineLevel="0" collapsed="false">
      <c r="A17" s="32" t="s">
        <v>143</v>
      </c>
      <c r="B17" s="32" t="s">
        <v>409</v>
      </c>
      <c r="C17" s="83" t="n">
        <v>75.55</v>
      </c>
      <c r="D17" s="84" t="n">
        <f aca="false">C17*(1-VLOOKUP($A17,Premissas!$A$52:$P$56,2,0))</f>
        <v>43.819</v>
      </c>
      <c r="E17" s="84" t="n">
        <f aca="false">C17-D17</f>
        <v>31.731</v>
      </c>
      <c r="F17" s="37" t="n">
        <f aca="false">IF(C17=0,0,E17/C17)</f>
        <v>0.42</v>
      </c>
    </row>
    <row r="18" customFormat="false" ht="15" hidden="false" customHeight="true" outlineLevel="0" collapsed="false">
      <c r="A18" s="32" t="s">
        <v>143</v>
      </c>
      <c r="B18" s="32" t="s">
        <v>410</v>
      </c>
      <c r="C18" s="83" t="n">
        <v>284.91</v>
      </c>
      <c r="D18" s="84" t="n">
        <f aca="false">C18*(1-VLOOKUP($A18,Premissas!$A$52:$P$56,2,0))</f>
        <v>165.2478</v>
      </c>
      <c r="E18" s="84" t="n">
        <f aca="false">C18-D18</f>
        <v>119.6622</v>
      </c>
      <c r="F18" s="37" t="n">
        <f aca="false">IF(C18=0,0,E18/C18)</f>
        <v>0.42</v>
      </c>
    </row>
    <row r="19" customFormat="false" ht="15" hidden="false" customHeight="true" outlineLevel="0" collapsed="false">
      <c r="A19" s="32" t="s">
        <v>143</v>
      </c>
      <c r="B19" s="32" t="s">
        <v>411</v>
      </c>
      <c r="C19" s="83" t="n">
        <v>161.2</v>
      </c>
      <c r="D19" s="84" t="n">
        <f aca="false">C19*(1-VLOOKUP($A19,Premissas!$A$52:$P$56,2,0))</f>
        <v>93.496</v>
      </c>
      <c r="E19" s="84" t="n">
        <f aca="false">C19-D19</f>
        <v>67.704</v>
      </c>
      <c r="F19" s="37" t="n">
        <f aca="false">IF(C19=0,0,E19/C19)</f>
        <v>0.42</v>
      </c>
    </row>
    <row r="20" customFormat="false" ht="15" hidden="false" customHeight="true" outlineLevel="0" collapsed="false">
      <c r="A20" s="32" t="s">
        <v>143</v>
      </c>
      <c r="B20" s="32" t="s">
        <v>412</v>
      </c>
      <c r="C20" s="83" t="n">
        <v>282.87</v>
      </c>
      <c r="D20" s="84" t="n">
        <f aca="false">C20*(1-VLOOKUP($A20,Premissas!$A$52:$P$56,2,0))</f>
        <v>164.0646</v>
      </c>
      <c r="E20" s="84" t="n">
        <f aca="false">C20-D20</f>
        <v>118.8054</v>
      </c>
      <c r="F20" s="37" t="n">
        <f aca="false">IF(C20=0,0,E20/C20)</f>
        <v>0.42</v>
      </c>
    </row>
    <row r="21" customFormat="false" ht="15" hidden="false" customHeight="true" outlineLevel="0" collapsed="false">
      <c r="A21" s="32" t="s">
        <v>143</v>
      </c>
      <c r="B21" s="32" t="s">
        <v>413</v>
      </c>
      <c r="C21" s="83" t="n">
        <v>74.92</v>
      </c>
      <c r="D21" s="84" t="n">
        <f aca="false">C21*(1-VLOOKUP($A21,Premissas!$A$52:$P$56,2,0))</f>
        <v>43.4536</v>
      </c>
      <c r="E21" s="84" t="n">
        <f aca="false">C21-D21</f>
        <v>31.4664</v>
      </c>
      <c r="F21" s="37" t="n">
        <f aca="false">IF(C21=0,0,E21/C21)</f>
        <v>0.42</v>
      </c>
    </row>
    <row r="22" customFormat="false" ht="15" hidden="false" customHeight="true" outlineLevel="0" collapsed="false">
      <c r="A22" s="32" t="s">
        <v>143</v>
      </c>
      <c r="B22" s="32" t="s">
        <v>414</v>
      </c>
      <c r="C22" s="83" t="n">
        <v>332.55</v>
      </c>
      <c r="D22" s="84" t="n">
        <f aca="false">C22*(1-VLOOKUP($A22,Premissas!$A$52:$P$56,2,0))</f>
        <v>192.879</v>
      </c>
      <c r="E22" s="84" t="n">
        <f aca="false">C22-D22</f>
        <v>139.671</v>
      </c>
      <c r="F22" s="37" t="n">
        <f aca="false">IF(C22=0,0,E22/C22)</f>
        <v>0.42</v>
      </c>
    </row>
    <row r="23" customFormat="false" ht="15" hidden="false" customHeight="true" outlineLevel="0" collapsed="false">
      <c r="A23" s="32" t="s">
        <v>144</v>
      </c>
      <c r="B23" s="32" t="s">
        <v>415</v>
      </c>
      <c r="C23" s="83" t="n">
        <v>54.86</v>
      </c>
      <c r="D23" s="84" t="n">
        <f aca="false">C23*(1-VLOOKUP($A23,Premissas!$A$52:$P$56,2,0))</f>
        <v>29.6244</v>
      </c>
      <c r="E23" s="84" t="n">
        <f aca="false">C23-D23</f>
        <v>25.2356</v>
      </c>
      <c r="F23" s="37" t="n">
        <f aca="false">IF(C23=0,0,E23/C23)</f>
        <v>0.46</v>
      </c>
    </row>
    <row r="24" customFormat="false" ht="15" hidden="false" customHeight="true" outlineLevel="0" collapsed="false">
      <c r="A24" s="32" t="s">
        <v>144</v>
      </c>
      <c r="B24" s="32" t="s">
        <v>416</v>
      </c>
      <c r="C24" s="83" t="n">
        <v>194</v>
      </c>
      <c r="D24" s="84" t="n">
        <f aca="false">C24*(1-VLOOKUP($A24,Premissas!$A$52:$P$56,2,0))</f>
        <v>104.76</v>
      </c>
      <c r="E24" s="84" t="n">
        <f aca="false">C24-D24</f>
        <v>89.24</v>
      </c>
      <c r="F24" s="37" t="n">
        <f aca="false">IF(C24=0,0,E24/C24)</f>
        <v>0.46</v>
      </c>
    </row>
    <row r="25" customFormat="false" ht="15" hidden="false" customHeight="true" outlineLevel="0" collapsed="false">
      <c r="A25" s="32" t="s">
        <v>144</v>
      </c>
      <c r="B25" s="32" t="s">
        <v>417</v>
      </c>
      <c r="C25" s="83" t="n">
        <v>498.31</v>
      </c>
      <c r="D25" s="84" t="n">
        <f aca="false">C25*(1-VLOOKUP($A25,Premissas!$A$52:$P$56,2,0))</f>
        <v>269.0874</v>
      </c>
      <c r="E25" s="84" t="n">
        <f aca="false">C25-D25</f>
        <v>229.2226</v>
      </c>
      <c r="F25" s="37" t="n">
        <f aca="false">IF(C25=0,0,E25/C25)</f>
        <v>0.46</v>
      </c>
    </row>
    <row r="26" customFormat="false" ht="15" hidden="false" customHeight="true" outlineLevel="0" collapsed="false">
      <c r="A26" s="32" t="s">
        <v>144</v>
      </c>
      <c r="B26" s="32" t="s">
        <v>418</v>
      </c>
      <c r="C26" s="83" t="n">
        <v>56.33</v>
      </c>
      <c r="D26" s="84" t="n">
        <f aca="false">C26*(1-VLOOKUP($A26,Premissas!$A$52:$P$56,2,0))</f>
        <v>30.4182</v>
      </c>
      <c r="E26" s="84" t="n">
        <f aca="false">C26-D26</f>
        <v>25.9118</v>
      </c>
      <c r="F26" s="37" t="n">
        <f aca="false">IF(C26=0,0,E26/C26)</f>
        <v>0.46</v>
      </c>
    </row>
    <row r="27" customFormat="false" ht="15" hidden="false" customHeight="true" outlineLevel="0" collapsed="false">
      <c r="A27" s="32" t="s">
        <v>144</v>
      </c>
      <c r="B27" s="32" t="s">
        <v>419</v>
      </c>
      <c r="C27" s="83" t="n">
        <v>477.14</v>
      </c>
      <c r="D27" s="84" t="n">
        <f aca="false">C27*(1-VLOOKUP($A27,Premissas!$A$52:$P$56,2,0))</f>
        <v>257.6556</v>
      </c>
      <c r="E27" s="84" t="n">
        <f aca="false">C27-D27</f>
        <v>219.4844</v>
      </c>
      <c r="F27" s="37" t="n">
        <f aca="false">IF(C27=0,0,E27/C27)</f>
        <v>0.46</v>
      </c>
    </row>
    <row r="28" customFormat="false" ht="15" hidden="false" customHeight="true" outlineLevel="0" collapsed="false">
      <c r="A28" s="32" t="s">
        <v>144</v>
      </c>
      <c r="B28" s="32" t="s">
        <v>420</v>
      </c>
      <c r="C28" s="83" t="n">
        <v>50.67</v>
      </c>
      <c r="D28" s="84" t="n">
        <f aca="false">C28*(1-VLOOKUP($A28,Premissas!$A$52:$P$56,2,0))</f>
        <v>27.3618</v>
      </c>
      <c r="E28" s="84" t="n">
        <f aca="false">C28-D28</f>
        <v>23.3082</v>
      </c>
      <c r="F28" s="37" t="n">
        <f aca="false">IF(C28=0,0,E28/C28)</f>
        <v>0.46</v>
      </c>
    </row>
    <row r="29" customFormat="false" ht="15" hidden="false" customHeight="true" outlineLevel="0" collapsed="false">
      <c r="A29" s="32" t="s">
        <v>145</v>
      </c>
      <c r="B29" s="32" t="s">
        <v>421</v>
      </c>
      <c r="C29" s="83" t="n">
        <v>18.67</v>
      </c>
      <c r="D29" s="84" t="n">
        <f aca="false">C29*(1-VLOOKUP($A29,Premissas!$A$52:$P$56,2,0))</f>
        <v>8.9616</v>
      </c>
      <c r="E29" s="84" t="n">
        <f aca="false">C29-D29</f>
        <v>9.7084</v>
      </c>
      <c r="F29" s="37" t="n">
        <f aca="false">IF(C29=0,0,E29/C29)</f>
        <v>0.52</v>
      </c>
    </row>
    <row r="30" customFormat="false" ht="15" hidden="false" customHeight="true" outlineLevel="0" collapsed="false">
      <c r="A30" s="32" t="s">
        <v>145</v>
      </c>
      <c r="B30" s="32" t="s">
        <v>422</v>
      </c>
      <c r="C30" s="83" t="n">
        <v>16.34</v>
      </c>
      <c r="D30" s="84" t="n">
        <f aca="false">C30*(1-VLOOKUP($A30,Premissas!$A$52:$P$56,2,0))</f>
        <v>7.8432</v>
      </c>
      <c r="E30" s="84" t="n">
        <f aca="false">C30-D30</f>
        <v>8.4968</v>
      </c>
      <c r="F30" s="37" t="n">
        <f aca="false">IF(C30=0,0,E30/C30)</f>
        <v>0.52</v>
      </c>
    </row>
    <row r="31" customFormat="false" ht="15" hidden="false" customHeight="true" outlineLevel="0" collapsed="false">
      <c r="A31" s="32" t="s">
        <v>145</v>
      </c>
      <c r="B31" s="32" t="s">
        <v>423</v>
      </c>
      <c r="C31" s="83" t="n">
        <v>9.88</v>
      </c>
      <c r="D31" s="84" t="n">
        <f aca="false">C31*(1-VLOOKUP($A31,Premissas!$A$52:$P$56,2,0))</f>
        <v>4.7424</v>
      </c>
      <c r="E31" s="84" t="n">
        <f aca="false">C31-D31</f>
        <v>5.1376</v>
      </c>
      <c r="F31" s="37" t="n">
        <f aca="false">IF(C31=0,0,E31/C31)</f>
        <v>0.52</v>
      </c>
    </row>
    <row r="32" customFormat="false" ht="15" hidden="false" customHeight="true" outlineLevel="0" collapsed="false">
      <c r="A32" s="32" t="s">
        <v>145</v>
      </c>
      <c r="B32" s="32" t="s">
        <v>424</v>
      </c>
      <c r="C32" s="83" t="n">
        <v>12.47</v>
      </c>
      <c r="D32" s="84" t="n">
        <f aca="false">C32*(1-VLOOKUP($A32,Premissas!$A$52:$P$56,2,0))</f>
        <v>5.9856</v>
      </c>
      <c r="E32" s="84" t="n">
        <f aca="false">C32-D32</f>
        <v>6.4844</v>
      </c>
      <c r="F32" s="37" t="n">
        <f aca="false">IF(C32=0,0,E32/C32)</f>
        <v>0.52</v>
      </c>
    </row>
    <row r="33" customFormat="false" ht="15" hidden="false" customHeight="true" outlineLevel="0" collapsed="false">
      <c r="A33" s="32" t="s">
        <v>145</v>
      </c>
      <c r="B33" s="32" t="s">
        <v>425</v>
      </c>
      <c r="C33" s="83" t="n">
        <v>18.68</v>
      </c>
      <c r="D33" s="84" t="n">
        <f aca="false">C33*(1-VLOOKUP($A33,Premissas!$A$52:$P$56,2,0))</f>
        <v>8.9664</v>
      </c>
      <c r="E33" s="84" t="n">
        <f aca="false">C33-D33</f>
        <v>9.7136</v>
      </c>
      <c r="F33" s="37" t="n">
        <f aca="false">IF(C33=0,0,E33/C33)</f>
        <v>0.52</v>
      </c>
    </row>
    <row r="34" customFormat="false" ht="15" hidden="false" customHeight="true" outlineLevel="0" collapsed="false">
      <c r="A34" s="32" t="s">
        <v>145</v>
      </c>
      <c r="B34" s="32" t="s">
        <v>426</v>
      </c>
      <c r="C34" s="83" t="n">
        <v>13.68</v>
      </c>
      <c r="D34" s="84" t="n">
        <f aca="false">C34*(1-VLOOKUP($A34,Premissas!$A$52:$P$56,2,0))</f>
        <v>6.5664</v>
      </c>
      <c r="E34" s="84" t="n">
        <f aca="false">C34-D34</f>
        <v>7.1136</v>
      </c>
      <c r="F34" s="37" t="n">
        <f aca="false">IF(C34=0,0,E34/C34)</f>
        <v>0.52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2026-07-09T14:04:54Z</dcterms:created>
  <dc:creator>openpyxl</dc:creator>
  <dc:description/>
  <dc:language>en-US</dc:language>
  <cp:lastModifiedBy/>
  <dcterms:modified xsi:type="dcterms:W3CDTF">2026-07-09T14:19:59Z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